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RGIAS PARTICIPANTES " sheetId="1" r:id="rId5"/>
    <sheet state="visible" name="Cumpleaños" sheetId="2" r:id="rId6"/>
    <sheet state="visible" name="ALERGIAS CONSEJEROS" sheetId="3" r:id="rId7"/>
    <sheet state="visible" name="CONTROL MEDICAMENTOS Y ATENCION" sheetId="4" r:id="rId8"/>
    <sheet state="visible" name="NECESIDADES ESPECIALES " sheetId="5" r:id="rId9"/>
    <sheet state="visible" name="ORIGINAL" sheetId="6" r:id="rId10"/>
  </sheets>
  <definedNames>
    <definedName hidden="1" localSheetId="5" name="_xlnm._FilterDatabase">ORIGINAL!$S$1:$S$1000</definedName>
  </definedNames>
  <calcPr/>
</workbook>
</file>

<file path=xl/sharedStrings.xml><?xml version="1.0" encoding="utf-8"?>
<sst xmlns="http://schemas.openxmlformats.org/spreadsheetml/2006/main" count="44242" uniqueCount="5062">
  <si>
    <t>Nombre del Participante</t>
  </si>
  <si>
    <t>Cumpleaños</t>
  </si>
  <si>
    <t>Nombre de pila</t>
  </si>
  <si>
    <t>Barrio</t>
  </si>
  <si>
    <t>Estaca</t>
  </si>
  <si>
    <t>Apellido</t>
  </si>
  <si>
    <t>Nombre que se prefiere</t>
  </si>
  <si>
    <t>Sexo</t>
  </si>
  <si>
    <t>Marvin Iván Rodríguez Quiralte</t>
  </si>
  <si>
    <t>Teléfono</t>
  </si>
  <si>
    <t>Correo electrónico</t>
  </si>
  <si>
    <t>Talla de camiseta</t>
  </si>
  <si>
    <t>Información alimentaria</t>
  </si>
  <si>
    <t>Universidad</t>
  </si>
  <si>
    <t>Nombre del contacto 1</t>
  </si>
  <si>
    <t>Ensenada México</t>
  </si>
  <si>
    <t>Correo electrónico del contacto 1</t>
  </si>
  <si>
    <t>Teléfono del contacto 1</t>
  </si>
  <si>
    <t>Nombre del contacto 2</t>
  </si>
  <si>
    <t>Correo electrónico del contacto 2</t>
  </si>
  <si>
    <t>Teléfono del contacto 2</t>
  </si>
  <si>
    <t>Edad</t>
  </si>
  <si>
    <t>Fecha</t>
  </si>
  <si>
    <t>Estado</t>
  </si>
  <si>
    <t>Moroni Haro Trujillo</t>
  </si>
  <si>
    <t>Tipo</t>
  </si>
  <si>
    <t>Nombre de la estaca o distrito</t>
  </si>
  <si>
    <t>Nombre del barrio o rama</t>
  </si>
  <si>
    <t>Cedral</t>
  </si>
  <si>
    <t>Correo electrónico del obispo</t>
  </si>
  <si>
    <t>Nombre del obispo</t>
  </si>
  <si>
    <t>México City Tlalpan</t>
  </si>
  <si>
    <t>¿Requiere una dieta especial?</t>
  </si>
  <si>
    <t>Si la respuesta es Sí, especifique las restricciones alimentarias</t>
  </si>
  <si>
    <t>¿Tiene el participante alergias?</t>
  </si>
  <si>
    <t>Si la respuesta es sí, especifique las alergias</t>
  </si>
  <si>
    <t>¿Toma algún medicamento o medicina de venta libre?</t>
  </si>
  <si>
    <t>Yamdra Mata Rojas</t>
  </si>
  <si>
    <t>Si la respuesta es sí, ¿puede el participante autoadministrarse el medicamento?</t>
  </si>
  <si>
    <t>Narvarte</t>
  </si>
  <si>
    <t>Enumere todas las prescripciones y medicinas de venta libre que el participante toma</t>
  </si>
  <si>
    <t>México City Ermita</t>
  </si>
  <si>
    <t>¿Tiene una enfermedad crónica o recurrente?</t>
  </si>
  <si>
    <t>Si la respuesta es sí, especifique la enfermedad</t>
  </si>
  <si>
    <t>¿Ha tenido el participante una cirugía o una enfermedad grave en el último año?</t>
  </si>
  <si>
    <t>Si la respuesta es sí, especifique las cirugías y/o enfermedades</t>
  </si>
  <si>
    <t>Paola Lisset Martinez Tolentino</t>
  </si>
  <si>
    <t>¿Hay alguna situación emocional, psicológica o física que debamos conocer, para acompañar mejor al participante durante el campamento. (ej. ansiedad, tdah, autismo, alguna discapacidad o condición médica relevante)</t>
  </si>
  <si>
    <t>Si la respuesta es Sí, por favor descríbela brevemente y menciona si requiere algún tipo de apoyo especial</t>
  </si>
  <si>
    <t>Topilejo</t>
  </si>
  <si>
    <t>Mencione cualquier otra limitación, restricción o discapacidad que pudiera impedir que el participante forme parte plenamente del evento</t>
  </si>
  <si>
    <t>Selecciona tu PRIMERA preferencia de clase</t>
  </si>
  <si>
    <t>Selecciona tu SEGUNDA preferencia de clase</t>
  </si>
  <si>
    <t>Selecciona tu TERCERA preferencia de clase</t>
  </si>
  <si>
    <t>Santiago Moroni Ventura Damian</t>
  </si>
  <si>
    <t>Columna 1</t>
  </si>
  <si>
    <t>QR</t>
  </si>
  <si>
    <t>Bosque de Tlalpan</t>
  </si>
  <si>
    <t>Selecciona tu CUARTA preferencia de clase</t>
  </si>
  <si>
    <t>México City Contreras</t>
  </si>
  <si>
    <t>Column 42</t>
  </si>
  <si>
    <t>Josue Galindo Muñoz</t>
  </si>
  <si>
    <t>Nelson Aguilera Fernández</t>
  </si>
  <si>
    <t>Educación</t>
  </si>
  <si>
    <t>México City Churubusco</t>
  </si>
  <si>
    <t>Luz Elena Rodríguez Jiménez</t>
  </si>
  <si>
    <t>Milpa Alta</t>
  </si>
  <si>
    <t>México City Villa Coapa</t>
  </si>
  <si>
    <t>Amy Yahel Flores Tlapale</t>
  </si>
  <si>
    <t>Azteca</t>
  </si>
  <si>
    <t>Aylin Danae Hernandez Nunez</t>
  </si>
  <si>
    <t xml:space="preserve">          ALERGIA A ALGÚN ALIMENTO   </t>
  </si>
  <si>
    <t>Rafael Rodriguez Rocha</t>
  </si>
  <si>
    <t xml:space="preserve">     ALERGIA A ALGÚN MEDICAMENTO </t>
  </si>
  <si>
    <t>Del Valle</t>
  </si>
  <si>
    <t xml:space="preserve">ALERGIA  A ANIMALES O INSECTOS,ETC </t>
  </si>
  <si>
    <t>Gonzalez Serrano David Itzamna</t>
  </si>
  <si>
    <t>Contreras</t>
  </si>
  <si>
    <t>Antonio Kasparov Calixto Morales</t>
  </si>
  <si>
    <t xml:space="preserve">NECESITA </t>
  </si>
  <si>
    <t>Estrella</t>
  </si>
  <si>
    <t>MEDICACIÓN</t>
  </si>
  <si>
    <t xml:space="preserve">RESTRICCIÓN </t>
  </si>
  <si>
    <t xml:space="preserve">FÍSICA </t>
  </si>
  <si>
    <t>Monserrat Bautista Cosme</t>
  </si>
  <si>
    <t>Gustavo Isaí Sandoval Cureño</t>
  </si>
  <si>
    <t>Buenavista</t>
  </si>
  <si>
    <t>México City Meyehualco</t>
  </si>
  <si>
    <t>Briceyda Natalia Rojas Dominguez</t>
  </si>
  <si>
    <t xml:space="preserve">MEDICAMENTO </t>
  </si>
  <si>
    <t>Mirasoles</t>
  </si>
  <si>
    <t>México City Tlahuac</t>
  </si>
  <si>
    <t>Santiago Neri Romero</t>
  </si>
  <si>
    <t>Chinampas</t>
  </si>
  <si>
    <t>PARTICIPANTES</t>
  </si>
  <si>
    <t>Romina Gabriela</t>
  </si>
  <si>
    <t>García Alcalá</t>
  </si>
  <si>
    <t>Romina Gabriela García Alcalá</t>
  </si>
  <si>
    <t>Mujer</t>
  </si>
  <si>
    <t>romisgal09@gmail.com</t>
  </si>
  <si>
    <t>Carla Leilani</t>
  </si>
  <si>
    <t>M</t>
  </si>
  <si>
    <t>sin chile o picante</t>
  </si>
  <si>
    <t>Ortiz Ruiz</t>
  </si>
  <si>
    <t>Gabriel Garcia Contreras</t>
  </si>
  <si>
    <t>Carla Leilani Ortiz Ruiz</t>
  </si>
  <si>
    <t>ggarciacontreras09@gmail.com</t>
  </si>
  <si>
    <t>Aprobado</t>
  </si>
  <si>
    <t>xdsudd@gmail.com</t>
  </si>
  <si>
    <t>Participante</t>
  </si>
  <si>
    <t>XXG</t>
  </si>
  <si>
    <t>México City Tlalpan Stake</t>
  </si>
  <si>
    <t>Rosal Ward</t>
  </si>
  <si>
    <t>Sin sal o lo menos posible y pocas grasas</t>
  </si>
  <si>
    <t>lds_ram@hotmail.com</t>
  </si>
  <si>
    <t>Ramnses Avila Vazquez</t>
  </si>
  <si>
    <t>Itzelli Verenise Ruiz Gutierrez</t>
  </si>
  <si>
    <t>Sí</t>
  </si>
  <si>
    <t>veretoty@gmail.com</t>
  </si>
  <si>
    <t>al sol y de polvo</t>
  </si>
  <si>
    <t>No</t>
  </si>
  <si>
    <t>Tiana Berenice Naomi Ortiz Ruiz</t>
  </si>
  <si>
    <t>ortiztiana013@gmail.com</t>
  </si>
  <si>
    <t>estres, no exijir en las actividades</t>
  </si>
  <si>
    <t>Promesas (un ancla de Esperanza) ¿Que promesas hay en el Libro de Mormón para los jóvenes?</t>
  </si>
  <si>
    <t>Consejero</t>
  </si>
  <si>
    <t>Nuestro progreso en la tierra. (English Connect, BYU Pathway-La educación como principio de exaltación)</t>
  </si>
  <si>
    <t>México City Meyehualco Stake</t>
  </si>
  <si>
    <t>¡Escúchalo!</t>
  </si>
  <si>
    <t>El brazo protector de Jesucristo</t>
  </si>
  <si>
    <t>Meyehualco Ward</t>
  </si>
  <si>
    <t>raul.medina8623@gmail.com</t>
  </si>
  <si>
    <t>Raul Medina Rodriguez</t>
  </si>
  <si>
    <t>Sin sal y pocas grasas</t>
  </si>
  <si>
    <t>Nunguna</t>
  </si>
  <si>
    <t>Ninguna</t>
  </si>
  <si>
    <t>Samantha</t>
  </si>
  <si>
    <t>Samantha García Alcalá</t>
  </si>
  <si>
    <t>Mira que te mando que te esfuerces y seas valiente (Resiliencia)</t>
  </si>
  <si>
    <t>noooyunn23@gmail.com</t>
  </si>
  <si>
    <t>CH</t>
  </si>
  <si>
    <t>José Smith y la restauración</t>
  </si>
  <si>
    <t>sin chile o picantes</t>
  </si>
  <si>
    <t>Gabriel García Contreras</t>
  </si>
  <si>
    <t>Aurora Guadalupe de García Alcalá</t>
  </si>
  <si>
    <t>anorexica_agas@hotmail.com</t>
  </si>
  <si>
    <t>Valentina Dacil</t>
  </si>
  <si>
    <t>Martinez Segura</t>
  </si>
  <si>
    <t>Valentina Dacil Martinez Segura</t>
  </si>
  <si>
    <t>valenecokawai07@gmail.com</t>
  </si>
  <si>
    <t>G</t>
  </si>
  <si>
    <t>al sol</t>
  </si>
  <si>
    <t>Vegetariana</t>
  </si>
  <si>
    <t>asma y gastritis</t>
  </si>
  <si>
    <t>Padró Martínez Segura</t>
  </si>
  <si>
    <t>pedromartinezsegura5@gmail.com</t>
  </si>
  <si>
    <t>¿Quien soy yo? (Ser un disípulo de Jesucristo para siempre)</t>
  </si>
  <si>
    <t>Natalia</t>
  </si>
  <si>
    <t>Gonzalez Sanchez</t>
  </si>
  <si>
    <t>Natalia Gonzalez Sanchez</t>
  </si>
  <si>
    <t>México City Tlahuac Stake</t>
  </si>
  <si>
    <t>Tlaltenco Ward</t>
  </si>
  <si>
    <t>natillasud10@gmail.com</t>
  </si>
  <si>
    <t>almorrison771117@hotmail.com</t>
  </si>
  <si>
    <t>Ella tiene problemas de gatritis por lo cual debe evitar cualquier irritante</t>
  </si>
  <si>
    <t>Alvaro Morales Palacios</t>
  </si>
  <si>
    <t>Adanely Sanchez Oliva</t>
  </si>
  <si>
    <t>isramorales42@gmail.com</t>
  </si>
  <si>
    <t>No carne</t>
  </si>
  <si>
    <t>Metamisol sodico</t>
  </si>
  <si>
    <t>Henry Helaman</t>
  </si>
  <si>
    <t>México City Villa Coapa Stake</t>
  </si>
  <si>
    <t>Rosas Vazquez</t>
  </si>
  <si>
    <t>Milpa Alta Ward</t>
  </si>
  <si>
    <t>Henry Helaman Rosas Vazquez</t>
  </si>
  <si>
    <t>Gustavo Israel Alva Morales</t>
  </si>
  <si>
    <t>NO IRRITANTES Y PROCESADOS</t>
  </si>
  <si>
    <t>Hombre</t>
  </si>
  <si>
    <t>Ansiedad</t>
  </si>
  <si>
    <t>henryhelamanrosavazquez@gmail.com</t>
  </si>
  <si>
    <t>Cómo de todo, excepto picante</t>
  </si>
  <si>
    <t>ITZELT ARIANNA VAZQUEZ NUÑEZ</t>
  </si>
  <si>
    <t>Transtorno mixto ansioso depresivo, el apoyo que puede recibir ante una crisis es estar con la Hna Abril Morones Buendia del barrio Milpa Alta , ella sabrá manejar la situacion</t>
  </si>
  <si>
    <t>ariavanz@hotmail.com</t>
  </si>
  <si>
    <t>Valdemar Rosas Méndez</t>
  </si>
  <si>
    <t>Yo quiero un misionero ser (Preparación espiritual, emocional, física, económica)</t>
  </si>
  <si>
    <t>valdemarmen@gmail.com</t>
  </si>
  <si>
    <t>Lucas Alejandro</t>
  </si>
  <si>
    <t>Rojas Prieto</t>
  </si>
  <si>
    <t>Isabella Ivonne</t>
  </si>
  <si>
    <t>Pantoja Tello</t>
  </si>
  <si>
    <t>Lucas Alejandro Rojas Prieto</t>
  </si>
  <si>
    <t>México City Ermita Stake</t>
  </si>
  <si>
    <t>ivonnetellom@gmail.com</t>
  </si>
  <si>
    <t>winisomg@gmail.com</t>
  </si>
  <si>
    <t>Narvarte Ward</t>
  </si>
  <si>
    <t>Evita consumo alto en condimentos y sazonadores (axiote, etc). No consume picante. Consume poca cereza natural</t>
  </si>
  <si>
    <t>Ivonne Tello Morales</t>
  </si>
  <si>
    <t>barrydeantunano@yahoo.com.mx</t>
  </si>
  <si>
    <t>Intolerante a la lactosa.</t>
  </si>
  <si>
    <t>Marion Barry De Antuñano Muñoz</t>
  </si>
  <si>
    <t>5525622333 / 5561891892</t>
  </si>
  <si>
    <t>Jose Baldir Rojas Salazar</t>
  </si>
  <si>
    <t>baldyryfy@gmail.com</t>
  </si>
  <si>
    <t>México City Contreras Stake</t>
  </si>
  <si>
    <t>Independencia Ward</t>
  </si>
  <si>
    <t>mmedinapera@hotmail.com</t>
  </si>
  <si>
    <t>Miguel Angel Medina Peralta</t>
  </si>
  <si>
    <t>México City Churubusco Stake</t>
  </si>
  <si>
    <t>Coyoacán Ward</t>
  </si>
  <si>
    <t>mota.edgardo@gmail.com</t>
  </si>
  <si>
    <t>Edgardo Omar Mota Carrillo</t>
  </si>
  <si>
    <t>Leche entera</t>
  </si>
  <si>
    <t>Ivanna Isabela</t>
  </si>
  <si>
    <t>Valdez Vazquez</t>
  </si>
  <si>
    <t>Ivanna Isabela Valdez Vazquez</t>
  </si>
  <si>
    <t>Proclamación de la familia (Matrimonio y su propósito en el plan de salvación)</t>
  </si>
  <si>
    <t>Lissette Georgeth</t>
  </si>
  <si>
    <t>ivanna19ifk@gmail.com</t>
  </si>
  <si>
    <t>Altamirano Hernandez</t>
  </si>
  <si>
    <t>Lissette Georgeth Altamirano Hernandez</t>
  </si>
  <si>
    <t>Mi hija tiene varias alergias alimentarias y al ambiente controladas, sin embargo por lo mismo ella no come mayonesa, queso, crema, pescado, (marisco) fresa, piña, aguacate, picante; ella come verduras al vapor y carne asada, leche si toma pero mas bien como de pequeña no se le dio no tolera muchas cosas ni las combinaciones</t>
  </si>
  <si>
    <t>Careli del Carmen Valdez Vazquez</t>
  </si>
  <si>
    <t>care_0102ly@hotmail.com</t>
  </si>
  <si>
    <t>GEORGERH18ALTAMIRANO@GMAIL.COM</t>
  </si>
  <si>
    <t>no come frutas, de ningun tipo de ninguna presentacion</t>
  </si>
  <si>
    <t>javier huanosta</t>
  </si>
  <si>
    <t>huanostajavier48@gmail.com</t>
  </si>
  <si>
    <t>Estrella Ward</t>
  </si>
  <si>
    <t>jehovany_cotero@outlook.com</t>
  </si>
  <si>
    <t>Jehovany Alexis Cortes Cotero</t>
  </si>
  <si>
    <t>En lista de espera</t>
  </si>
  <si>
    <t>queso, crema, mayonesa, picante, aguacate, y todo citrico que le dañe la luenga geografica</t>
  </si>
  <si>
    <t>rinitis alergica, alimentarias descritas arriba y ambiantales, acaros, gatos, perros, etc</t>
  </si>
  <si>
    <t>Buenavista Ward</t>
  </si>
  <si>
    <t>sterimar, avamys</t>
  </si>
  <si>
    <t>Javier Huanosta Huanosta</t>
  </si>
  <si>
    <t>no frutas</t>
  </si>
  <si>
    <t>a las frutas</t>
  </si>
  <si>
    <t>el año pasado se fracturo el dedo gordo del pie derecho y aun le estresa hacer algunas cosas por miedo a volver a fracturarse pero esta sana en general</t>
  </si>
  <si>
    <t>Mi identidad cibernética</t>
  </si>
  <si>
    <t>gastritis</t>
  </si>
  <si>
    <t>Accediendo a los poderes celestiales (oración, diezmo, ayuno, templo, Servicio, reunion sacramental, obediencia)</t>
  </si>
  <si>
    <t>Alejandra</t>
  </si>
  <si>
    <t>Lazcano Sánchez</t>
  </si>
  <si>
    <t>Alejandra Lazcano Sánchez</t>
  </si>
  <si>
    <t>Guillermo Efraín</t>
  </si>
  <si>
    <t>aliitadepollo0730@gmail.com</t>
  </si>
  <si>
    <t>Sánchez Villavicencio</t>
  </si>
  <si>
    <t>Guillermo Efraín Sánchez Villavicencio</t>
  </si>
  <si>
    <t>No consumo pescado, pocas harinas, no irritantes, pocas azucares,</t>
  </si>
  <si>
    <t>Alejandro Rodrigo Lazcano Moreno</t>
  </si>
  <si>
    <t>desarrolloempresarialalemi@gmail.com</t>
  </si>
  <si>
    <t>Patricia Sánchez Hernández</t>
  </si>
  <si>
    <t>palemi1123@gmail.com</t>
  </si>
  <si>
    <t>guillermosanchez.3033@gmail.com</t>
  </si>
  <si>
    <t>Alergia a los lácteos</t>
  </si>
  <si>
    <t>Mirella Villavicencio Salazar</t>
  </si>
  <si>
    <t>marinaluna51015@gmail.com</t>
  </si>
  <si>
    <t>No pescado, pocas harinas, no irritantes ni colorantes fuertes, pocas azucares</t>
  </si>
  <si>
    <t>Pendiente de aprobación</t>
  </si>
  <si>
    <t>Esomeprazol, sacral faro, macrogol 3350</t>
  </si>
  <si>
    <t>San Pablo Branch</t>
  </si>
  <si>
    <t>marcoaurelio.moralesperez@yahoo.com.mx</t>
  </si>
  <si>
    <t>Marco Aurelio Morales Perez</t>
  </si>
  <si>
    <t>Alimentos sin lácteos</t>
  </si>
  <si>
    <t>Maydi Sofia</t>
  </si>
  <si>
    <t>Lopez Palma</t>
  </si>
  <si>
    <t>Al polvo, exposición prolongada al sol, alergia a los lácteos.</t>
  </si>
  <si>
    <t>Maydi Sofia Lopez Palma</t>
  </si>
  <si>
    <t>maylopsof@gmail.com</t>
  </si>
  <si>
    <t xml:space="preserve">No come Brocolis </t>
  </si>
  <si>
    <t>Juan Manuel Lopez Ibarra</t>
  </si>
  <si>
    <t>manuel_ybarra@live.com</t>
  </si>
  <si>
    <t>Diana Palma Avalos</t>
  </si>
  <si>
    <t>Pablo Uriel</t>
  </si>
  <si>
    <t>anaidab@hotmail.com</t>
  </si>
  <si>
    <t>Guzmán Ramirez</t>
  </si>
  <si>
    <t>Pablo Uriel Guzmán Ramirez</t>
  </si>
  <si>
    <t>Quetzal Ward</t>
  </si>
  <si>
    <t>cmontoyaj@gmail.com</t>
  </si>
  <si>
    <t>pablomasstaerss@gmail.com</t>
  </si>
  <si>
    <t>Carlos Montoya Juarez</t>
  </si>
  <si>
    <t>No come brocolis</t>
  </si>
  <si>
    <t>Alergia a fresas</t>
  </si>
  <si>
    <t>Penicilina</t>
  </si>
  <si>
    <t>Marijose</t>
  </si>
  <si>
    <t>MAGDALENA RAMIREZ BELTRAN</t>
  </si>
  <si>
    <t>Moreno Rosas</t>
  </si>
  <si>
    <t>magdarb79@gmail.com</t>
  </si>
  <si>
    <t>Marijose Moreno Rosas</t>
  </si>
  <si>
    <t>marijosemoreno23@gmail.com</t>
  </si>
  <si>
    <t>Anali</t>
  </si>
  <si>
    <t>anali114@gmail.com</t>
  </si>
  <si>
    <t>Paola Raquel</t>
  </si>
  <si>
    <t>Padierna Ward</t>
  </si>
  <si>
    <t>Cisneros Rendon</t>
  </si>
  <si>
    <t>Paola Raquel Cisneros Rendon</t>
  </si>
  <si>
    <t>cesar_fon03@yahoo.com.mx</t>
  </si>
  <si>
    <t>Pedro César Guzmán Pérez</t>
  </si>
  <si>
    <t>raquel.cisneros32@gmail.com</t>
  </si>
  <si>
    <t>Alegria a fresas</t>
  </si>
  <si>
    <t>Alérgica a las fresas y piña</t>
  </si>
  <si>
    <t>Jazmin Sarahi de Cisneros Rendon</t>
  </si>
  <si>
    <t>jazzsrr@yahoo.com.mx</t>
  </si>
  <si>
    <t>Gabriel Cisneros Alamilla</t>
  </si>
  <si>
    <t>ci.gabe@outlook.com</t>
  </si>
  <si>
    <t>Loratadina, cetirizina</t>
  </si>
  <si>
    <t>Tlahuac Ward</t>
  </si>
  <si>
    <t>ggm0104@hotmail.com</t>
  </si>
  <si>
    <t>Marcelino Garcia Guzman</t>
  </si>
  <si>
    <t>Picacho Ward</t>
  </si>
  <si>
    <t>carlosoteran@gmail.com</t>
  </si>
  <si>
    <t>Carlos Alberto Garcia Teran</t>
  </si>
  <si>
    <t>no carne de puerco</t>
  </si>
  <si>
    <t>Alergia a fresas y piña</t>
  </si>
  <si>
    <t>Fresas y piña</t>
  </si>
  <si>
    <t>MoisesCharles</t>
  </si>
  <si>
    <t>Reyes Clemente</t>
  </si>
  <si>
    <t>bakugoukatsukiboycatletualet@gmail.com</t>
  </si>
  <si>
    <t>Intolerancia a papaya zanahoria, melón</t>
  </si>
  <si>
    <t>Ursula Ana Reyes Redondo</t>
  </si>
  <si>
    <t>Sara Ximena</t>
  </si>
  <si>
    <t>michic217@gmail.com</t>
  </si>
  <si>
    <t>Santos Araiza</t>
  </si>
  <si>
    <t>Sara Ximena Santos Araiza</t>
  </si>
  <si>
    <t>55 7386 4515</t>
  </si>
  <si>
    <t>saraximena13@hotmail.com</t>
  </si>
  <si>
    <t>Nancy Araiza</t>
  </si>
  <si>
    <t>El Molino Ward</t>
  </si>
  <si>
    <t>estrellalxb@hotmail.com</t>
  </si>
  <si>
    <t>mariodelangel.h@gmail.com</t>
  </si>
  <si>
    <t>Mario Del Angel Hernandez</t>
  </si>
  <si>
    <t>todo tipo de hormigas</t>
  </si>
  <si>
    <t>Paracetamol</t>
  </si>
  <si>
    <t>Sinusitis crónica</t>
  </si>
  <si>
    <t>No puede correr mucho debido a la sinusitis</t>
  </si>
  <si>
    <t>Julieta</t>
  </si>
  <si>
    <t>Ramírez Sánchez</t>
  </si>
  <si>
    <t>Julieta Ramírez Sánchez</t>
  </si>
  <si>
    <t>jul.ramirez.sanchez@gmail.com</t>
  </si>
  <si>
    <t>Alergias alimentarias a: Manzana, durazno, pera, kiwi, cerezas, ciruelas</t>
  </si>
  <si>
    <t>Aldo Ramirez Bautista</t>
  </si>
  <si>
    <t>aldo.ramirez.bautista@gmail.com</t>
  </si>
  <si>
    <t>Gael</t>
  </si>
  <si>
    <t>Sandoval Garcia</t>
  </si>
  <si>
    <t>Alicia de Ramirez Sanchez</t>
  </si>
  <si>
    <t>Gael Sandoval Garcia</t>
  </si>
  <si>
    <t>a74_sanchez@yahoo.com.mx</t>
  </si>
  <si>
    <t>Gloria Fernanda</t>
  </si>
  <si>
    <t>Hernandez Antonio</t>
  </si>
  <si>
    <t>55 1190 6120</t>
  </si>
  <si>
    <t>Gloria Fernanda Hernandez Antonio</t>
  </si>
  <si>
    <t>sandovalgael44@gmail.com</t>
  </si>
  <si>
    <t>hernandezantoniogloriafernanda@gmail.com</t>
  </si>
  <si>
    <t>Omar</t>
  </si>
  <si>
    <t>Intolerancia a papaya. nueces, almendras, aguacate</t>
  </si>
  <si>
    <t>Contreras Ward</t>
  </si>
  <si>
    <t>Arali Antonio Hernandez</t>
  </si>
  <si>
    <t>estradam2000@gmail.com</t>
  </si>
  <si>
    <t>oasglic_@yahoo.com</t>
  </si>
  <si>
    <t>arali_mariana@hotmail.com</t>
  </si>
  <si>
    <t>Miguel Mujica Estrada</t>
  </si>
  <si>
    <t>No puedo comer Manzana, durazno, pera, kiwi, cerezas, ciruelas</t>
  </si>
  <si>
    <t>Manzana, durazno, pera, kiwi, cerezas, ciruelas</t>
  </si>
  <si>
    <t>Salbutamol</t>
  </si>
  <si>
    <t>Asma</t>
  </si>
  <si>
    <t>Hidalgo Ward</t>
  </si>
  <si>
    <t>rubenog1993@gmail.com</t>
  </si>
  <si>
    <t>Ruben Osorio Garcia</t>
  </si>
  <si>
    <t>Kyana Paola</t>
  </si>
  <si>
    <t>Bruno</t>
  </si>
  <si>
    <t>Uribe Rodriguez</t>
  </si>
  <si>
    <t>Yescas Godínez</t>
  </si>
  <si>
    <t>Kyana Paola Uribe Rodriguez</t>
  </si>
  <si>
    <t>Bruno Yescas Godínez</t>
  </si>
  <si>
    <t>55 3780 0538</t>
  </si>
  <si>
    <t>325287342@alumno.enp.unam.mx</t>
  </si>
  <si>
    <t>55 8431 0518</t>
  </si>
  <si>
    <t>kyana.ur09@gmail.com</t>
  </si>
  <si>
    <t>Alérgico al aguacate y manzanas.</t>
  </si>
  <si>
    <t>Mariana Godínez Morales</t>
  </si>
  <si>
    <t>XG</t>
  </si>
  <si>
    <t>marianagh7@hotmail.com</t>
  </si>
  <si>
    <t>Alergias a la piña y todas las leguminosas Intolerancia a la lactosa</t>
  </si>
  <si>
    <t>Ariel Uribe Labra</t>
  </si>
  <si>
    <t>arieluribe07@gmail.com</t>
  </si>
  <si>
    <t>Ariana</t>
  </si>
  <si>
    <t>Acoxpan Ward</t>
  </si>
  <si>
    <t>grolain@hotmail.com</t>
  </si>
  <si>
    <t>María Fernanda Rodríguez Ramos</t>
  </si>
  <si>
    <t>Rodriguez Huerta</t>
  </si>
  <si>
    <t>Julio César Celón Altamirano</t>
  </si>
  <si>
    <t>rrmaryfere@gmail.com</t>
  </si>
  <si>
    <t>Ariana Rodriguez Huerta</t>
  </si>
  <si>
    <t>Solo evitar el aguacate y manzana.</t>
  </si>
  <si>
    <t>Aguacate y manzanas.</t>
  </si>
  <si>
    <t>huertaariana34@gmail.com</t>
  </si>
  <si>
    <t>Tlalpan Ward</t>
  </si>
  <si>
    <t>joacorona1717@gmail.com</t>
  </si>
  <si>
    <t>José Joaquín Corona Muñoz</t>
  </si>
  <si>
    <t>Jaeimy Rodriguez huerta</t>
  </si>
  <si>
    <t>picsis_jaeimy@hotmail.com.mx</t>
  </si>
  <si>
    <t>Sin leguminosas, sin piña, sin picante, sin lactosa</t>
  </si>
  <si>
    <t>Penicilina, clindamicina y todos sus derivados</t>
  </si>
  <si>
    <t>Lysteda</t>
  </si>
  <si>
    <t>Arritmias, epilepsia, disautonomía y wombilebran</t>
  </si>
  <si>
    <t>Ajusco Branch</t>
  </si>
  <si>
    <t>velazquezlaman@gmail.com</t>
  </si>
  <si>
    <t>Laman Velazquez Yañez</t>
  </si>
  <si>
    <t>Tdah y arritmias</t>
  </si>
  <si>
    <t>Arritmias</t>
  </si>
  <si>
    <t>Karol Angelyn</t>
  </si>
  <si>
    <t>Calixto Morales</t>
  </si>
  <si>
    <t>Karol Angelyn Calixto Morales</t>
  </si>
  <si>
    <t>calixtomoraleskarol@gmail.com</t>
  </si>
  <si>
    <t>No como cebolla, alérgica a la cebolla, intolerante a la lactosa,</t>
  </si>
  <si>
    <t>Rosita Estefanía Morales Bustos</t>
  </si>
  <si>
    <t>rositamb78@gmail.com</t>
  </si>
  <si>
    <t>Linda Cecilia</t>
  </si>
  <si>
    <t>Rodriguez Navarro</t>
  </si>
  <si>
    <t>Linda Cecilia Rodriguez Navarro</t>
  </si>
  <si>
    <t>ceciliardrgz@hotmail.com</t>
  </si>
  <si>
    <t>Verónica Navarro Vázquez</t>
  </si>
  <si>
    <t>veritonavarrovazquez@yahoo.com.mx</t>
  </si>
  <si>
    <t>Intolerante a la lactosa, alérgica a la cebolla</t>
  </si>
  <si>
    <t xml:space="preserve"> paracetamol, Maquillaje y cebolla</t>
  </si>
  <si>
    <t>Flagenase e ibuprofeno</t>
  </si>
  <si>
    <t>Espartaco Ward</t>
  </si>
  <si>
    <t>rjimenoth@yahoo.com.mx</t>
  </si>
  <si>
    <t>Raul Alfredo Jimeno Thomas</t>
  </si>
  <si>
    <t>Dulce Victoria</t>
  </si>
  <si>
    <t>García Aguirre</t>
  </si>
  <si>
    <t>Carne</t>
  </si>
  <si>
    <t>Dulce Victoria García Aguirre</t>
  </si>
  <si>
    <t>Isotretinoina</t>
  </si>
  <si>
    <t>supervisoratecnicomtz@gmail.com</t>
  </si>
  <si>
    <t>No puede comer piña</t>
  </si>
  <si>
    <t>Arturo</t>
  </si>
  <si>
    <t>María Esther Aguirre Arellano</t>
  </si>
  <si>
    <t>palomaaguirre1174@gmail.com</t>
  </si>
  <si>
    <t>Hernández Cruz</t>
  </si>
  <si>
    <t>Arturo Hernández Cruz</t>
  </si>
  <si>
    <t>arturocruzlopezacl@gmail.com</t>
  </si>
  <si>
    <t>Xochimilco Ward</t>
  </si>
  <si>
    <t>antoniocasri.120@hotmail.com</t>
  </si>
  <si>
    <t>Antonio Castellanos Rivera</t>
  </si>
  <si>
    <t>Intolerante a lactosa</t>
  </si>
  <si>
    <t>Benita Rafaela Cruz Lopez</t>
  </si>
  <si>
    <t>rafaelacruzlopezercl@gmail.com</t>
  </si>
  <si>
    <t>A la piña</t>
  </si>
  <si>
    <t>Carolina</t>
  </si>
  <si>
    <t>Hernandez Alpizar</t>
  </si>
  <si>
    <t>Carolina Hernandez Alpizar</t>
  </si>
  <si>
    <t>Es un poco nerviosa y miedosa</t>
  </si>
  <si>
    <t>carolinaha9@gmail.com</t>
  </si>
  <si>
    <t>Luis</t>
  </si>
  <si>
    <t>Carolinaha9@gmail.com</t>
  </si>
  <si>
    <t>Intolerante a la lactosa</t>
  </si>
  <si>
    <t>Butilhioscina</t>
  </si>
  <si>
    <t>Alexander Valdemar</t>
  </si>
  <si>
    <t>Alexander Valdemar Rosas Vazquez</t>
  </si>
  <si>
    <t>alexanderutopia21@gmail.com</t>
  </si>
  <si>
    <t>Riande Aguilar</t>
  </si>
  <si>
    <t>Julieta Mynoa</t>
  </si>
  <si>
    <t>Valdemar Rosas Mendez</t>
  </si>
  <si>
    <t>Riande Aguilar Julieta Mynoa</t>
  </si>
  <si>
    <t>jriandea@gmail.com</t>
  </si>
  <si>
    <t>Itzelt Arianna Vázquez Nuñez</t>
  </si>
  <si>
    <t>Intolerante a lactosa.</t>
  </si>
  <si>
    <t>ariavanz32@gmail.com</t>
  </si>
  <si>
    <t>annie mynoa aguilar garcia</t>
  </si>
  <si>
    <t>anniemynoa.aguilar@gmail.com</t>
  </si>
  <si>
    <t>Jared Emanuel</t>
  </si>
  <si>
    <t>Mendez Varela</t>
  </si>
  <si>
    <t>Miguel Angel Riande Sanchez</t>
  </si>
  <si>
    <t>mriande@gmail.com</t>
  </si>
  <si>
    <t>Jared Emanuel Mendez Varela</t>
  </si>
  <si>
    <t>Taxqueña Ward</t>
  </si>
  <si>
    <t>teddymvjr@gmail.com</t>
  </si>
  <si>
    <t>jorugasante@yahoo.com</t>
  </si>
  <si>
    <t>Jorge Ugalde Santelices</t>
  </si>
  <si>
    <t>Guillermina espinosa</t>
  </si>
  <si>
    <t>bonitaespinosa1@gmail.com</t>
  </si>
  <si>
    <t>56 5329 6229</t>
  </si>
  <si>
    <t>Jardines Ward</t>
  </si>
  <si>
    <t>nefi_am@hotmail.com</t>
  </si>
  <si>
    <t>Nefi Irving Alcala Mariscal</t>
  </si>
  <si>
    <t>Vania Daniela</t>
  </si>
  <si>
    <t>Villagomez Hernandez</t>
  </si>
  <si>
    <t>Vania Daniela Villagomez Hernandez</t>
  </si>
  <si>
    <t>vaniavillag@gmail.com</t>
  </si>
  <si>
    <t>Soy intolerante a la lactosa, no consumo 🥚🐣 huevo</t>
  </si>
  <si>
    <t>Jose Villagomez Morales</t>
  </si>
  <si>
    <t>villamora13@gmail.com</t>
  </si>
  <si>
    <t>Miriam Hernandez de La Peña</t>
  </si>
  <si>
    <t>miherna@hotmail.com</t>
  </si>
  <si>
    <t>Andrea</t>
  </si>
  <si>
    <t>Flandes Montalban</t>
  </si>
  <si>
    <t>Andrea Flandes Montalban</t>
  </si>
  <si>
    <t>Sin lácteos y huevo</t>
  </si>
  <si>
    <t>andreaflandes2004@gmail.com</t>
  </si>
  <si>
    <t>-</t>
  </si>
  <si>
    <t>Axel Montalbán Astudillo</t>
  </si>
  <si>
    <t>axel_montalban44@hotmail.com</t>
  </si>
  <si>
    <t>Ermita Ward</t>
  </si>
  <si>
    <t>acastro_gutierrez@hotmail.com</t>
  </si>
  <si>
    <t>Antonio Gabriel Castro Gutierrez</t>
  </si>
  <si>
    <t>Eduardo Helaman</t>
  </si>
  <si>
    <t>Aguado Alanis</t>
  </si>
  <si>
    <t>Isabella</t>
  </si>
  <si>
    <t>Eduardo Helaman Aguado Alanis</t>
  </si>
  <si>
    <t>Basaldúa Pérez</t>
  </si>
  <si>
    <t>Isabella Basaldúa Pérez</t>
  </si>
  <si>
    <t>gavipeji75@gmail.com</t>
  </si>
  <si>
    <t>heduard1121@gmail.com</t>
  </si>
  <si>
    <t>intolerante a la lactosa</t>
  </si>
  <si>
    <t>Juan Fernando Basaldúa Mayr</t>
  </si>
  <si>
    <t>De todo, excepto leche entera y camarón.</t>
  </si>
  <si>
    <t>jfbasaldua@bancoppel.com</t>
  </si>
  <si>
    <t>Emmanuel Aguado Valencia</t>
  </si>
  <si>
    <t>Gabriela Pérez Jiménez</t>
  </si>
  <si>
    <t>avelds21@gmail.com</t>
  </si>
  <si>
    <t>Georgina Alanis Sánchez</t>
  </si>
  <si>
    <t>asgml0509@gmail.com</t>
  </si>
  <si>
    <t>No aplica</t>
  </si>
  <si>
    <t>Villa Coapa Ward</t>
  </si>
  <si>
    <t>w.alexander.santos.s@gmail.com</t>
  </si>
  <si>
    <t>Wolfgang Alexander Santos Salgado</t>
  </si>
  <si>
    <t>leche y sus derivados deslactosados</t>
  </si>
  <si>
    <t>ampicilina</t>
  </si>
  <si>
    <t>Las Peñas Ward</t>
  </si>
  <si>
    <t>manuelsand80@gmail.com</t>
  </si>
  <si>
    <t>Jessica Sarai Jessi</t>
  </si>
  <si>
    <t>Manuel Alejandro Sandoval Padilla</t>
  </si>
  <si>
    <t>Paredes Salcedo</t>
  </si>
  <si>
    <t>ansiedad y depresión</t>
  </si>
  <si>
    <t>Jessica Sarai Jessi Paredes Salcedo</t>
  </si>
  <si>
    <t>No lactosa, no camarón</t>
  </si>
  <si>
    <t>rinitis alérgica por el polvo</t>
  </si>
  <si>
    <t>Loratadina tableta de 10 MG. 1 cada 24 hrs. En caso de rinitis.</t>
  </si>
  <si>
    <t>jesi.casps@gmail.com</t>
  </si>
  <si>
    <t>Josefina Salcedo Roldan</t>
  </si>
  <si>
    <t>Barry</t>
  </si>
  <si>
    <t>De Antuñano Muñoz</t>
  </si>
  <si>
    <t>Barry De Antuñano Muñoz</t>
  </si>
  <si>
    <t>Cancelado</t>
  </si>
  <si>
    <t>Barryjr2109@gmail.com</t>
  </si>
  <si>
    <t>México City Tacubaya Stake</t>
  </si>
  <si>
    <t>No comer exceso de azúcar por favor</t>
  </si>
  <si>
    <t>Alta Tension Ward</t>
  </si>
  <si>
    <t>eloyvelur@gmail.com</t>
  </si>
  <si>
    <t>Eloy Velasco Uribe</t>
  </si>
  <si>
    <t>No puede comer exceso de azúcar y carbohidratos</t>
  </si>
  <si>
    <t>Asmático</t>
  </si>
  <si>
    <t>Convivent</t>
  </si>
  <si>
    <t>Carolina Rojas Prieto</t>
  </si>
  <si>
    <t>Asmático controlado</t>
  </si>
  <si>
    <t>toninarojas20@gmail.com</t>
  </si>
  <si>
    <t>No lácticos, no Huevo, no frijoles, No pescado</t>
  </si>
  <si>
    <t>José Baldir Rojas Salazar</t>
  </si>
  <si>
    <t>Alma Cristina</t>
  </si>
  <si>
    <t>Rodriguez Martinez</t>
  </si>
  <si>
    <t>Karen Yhoalibeth</t>
  </si>
  <si>
    <t>Alma Cristina Rodriguez Martinez</t>
  </si>
  <si>
    <t>Karen Yhoalibeth Villagomez Hernandez</t>
  </si>
  <si>
    <t>aandreamtz4@gmail.com</t>
  </si>
  <si>
    <t>Si, requiere dieta baja en calorías, no pastas, pan, o alimentos altos en calorías, no jugos, requiere consumir alimentos cada 3 horas, colaciones de verdura y fruta o semillas. Diagnosticada como prediabética e hipotiroidismo por lo que requiere consumir, medicamentos.</t>
  </si>
  <si>
    <t>Alma Andrea Martínez Angel</t>
  </si>
  <si>
    <t>karenyhoalibeth28@gmail.com</t>
  </si>
  <si>
    <t>Pescado, Nuez</t>
  </si>
  <si>
    <t>Cesar Daniel Maravilla Sanchez</t>
  </si>
  <si>
    <t>cesardanielmaravilla@gmail.com</t>
  </si>
  <si>
    <t>Alergía a las almendras Alergía al chocolate Alergía al chorizo</t>
  </si>
  <si>
    <t>Miriam Hernández de la Peña</t>
  </si>
  <si>
    <t>Depresión</t>
  </si>
  <si>
    <t>no pastas, no jugos, no pan o alimentos con alto valor calórico, no alimentos altos en azúcares, de preferencia verduras proteína como pollo, carne o pescado.</t>
  </si>
  <si>
    <t>toma 40 minutos antes del desayuno levotiroxina y con el desayuno y la cena toma una pastilla de dabex</t>
  </si>
  <si>
    <t>prediabetes e hipotiroidismo</t>
  </si>
  <si>
    <t>Almendras, chcolate, chorizo</t>
  </si>
  <si>
    <t>Jetro</t>
  </si>
  <si>
    <t>Meza Garduño</t>
  </si>
  <si>
    <t>Jetro Meza Garduño</t>
  </si>
  <si>
    <t>jetromezagarduno682@gmail.com</t>
  </si>
  <si>
    <t>Come de todo</t>
  </si>
  <si>
    <t>Griselda Garduño Contreras</t>
  </si>
  <si>
    <t>Hola</t>
  </si>
  <si>
    <t>Edgar Leonardo</t>
  </si>
  <si>
    <t>Lagunas Avila</t>
  </si>
  <si>
    <t>Edgar Leonardo Lagunas Avila</t>
  </si>
  <si>
    <t>Zara Michel</t>
  </si>
  <si>
    <t>Monroy Meza</t>
  </si>
  <si>
    <t>Zara Michel Monroy Meza</t>
  </si>
  <si>
    <t>edglag04@gmail.com</t>
  </si>
  <si>
    <t>Alergia a Atún Intolerante a lactosa</t>
  </si>
  <si>
    <t>Edgar Odilon Lagunas Castañeda</t>
  </si>
  <si>
    <t>eolagunas@gmail.com</t>
  </si>
  <si>
    <t>Iris Yazmin de Galvan Avila</t>
  </si>
  <si>
    <t>irisavila27@hotmail.com</t>
  </si>
  <si>
    <t>zaramichelmonry@gmail.com</t>
  </si>
  <si>
    <t>Alergia a nueces</t>
  </si>
  <si>
    <t>Educación Ward</t>
  </si>
  <si>
    <t>pepis_toy2003@yahoo.com.mx</t>
  </si>
  <si>
    <t>Adrian Ramirez Arevalo</t>
  </si>
  <si>
    <t>Alergia a Amicacina, Ampicilina</t>
  </si>
  <si>
    <t>Fernando</t>
  </si>
  <si>
    <t>Archundia Moraga</t>
  </si>
  <si>
    <t>Fernando Archundia Moraga</t>
  </si>
  <si>
    <t>ferchoarchundia@gmail.com</t>
  </si>
  <si>
    <t>Iztacalco Ward</t>
  </si>
  <si>
    <t>Lidia Moraga</t>
  </si>
  <si>
    <t>fabian@mexicomail.com</t>
  </si>
  <si>
    <t>Fabian Sosa Escutia</t>
  </si>
  <si>
    <t>gigi26.lmo@gmail.com</t>
  </si>
  <si>
    <t>Christina Alesy</t>
  </si>
  <si>
    <t>Borrego Zuñiga</t>
  </si>
  <si>
    <t>Christina Alesy Borrego Zuñiga</t>
  </si>
  <si>
    <t>christinaborrego01@gmail.com</t>
  </si>
  <si>
    <t>No nueces</t>
  </si>
  <si>
    <t>Laura Isela Zuñiga Villegas</t>
  </si>
  <si>
    <t>Elias</t>
  </si>
  <si>
    <t>iselazuniga1078@gmail.com</t>
  </si>
  <si>
    <t>Gomez Hernandez</t>
  </si>
  <si>
    <t>Rogelio</t>
  </si>
  <si>
    <t>Elias Gomez Hernandez</t>
  </si>
  <si>
    <t>Mulato Silva</t>
  </si>
  <si>
    <t>Cristian Romeo Borrego Gome</t>
  </si>
  <si>
    <t>Rogelio Mulato Silva</t>
  </si>
  <si>
    <t>sonoradisco@hormail.com</t>
  </si>
  <si>
    <t>elias_gh@outlook.com</t>
  </si>
  <si>
    <t>baja en azúcar</t>
  </si>
  <si>
    <t>Horacio Gomez Domínguez</t>
  </si>
  <si>
    <t>horaciogomez98640@gmail.com</t>
  </si>
  <si>
    <t>teresache110184@gmail.com</t>
  </si>
  <si>
    <t>Navojoa México District</t>
  </si>
  <si>
    <t>Navojoa Branch</t>
  </si>
  <si>
    <t>Teresa silva Gonzalez</t>
  </si>
  <si>
    <t>javiermirandacota@gmail.com</t>
  </si>
  <si>
    <t>Azteca Ward</t>
  </si>
  <si>
    <t>gomez_azulyoro@hotmail.com</t>
  </si>
  <si>
    <t>Francisco Javier Miranda Cota</t>
  </si>
  <si>
    <t>Gerardo Gomez Dominguez</t>
  </si>
  <si>
    <t>Diabetes tipo 1</t>
  </si>
  <si>
    <t>Antiespasmódicos. Melatonina. Ácido Fólico.</t>
  </si>
  <si>
    <t>Ansiedad no diagnosticado. Suelo tener crisis pero tengo mucha fuerza sobre mi.</t>
  </si>
  <si>
    <t>Regina</t>
  </si>
  <si>
    <t>Velazquez Hernandez</t>
  </si>
  <si>
    <t>Regina Velazquez Hernandez</t>
  </si>
  <si>
    <t>regina.velazquez1901@gmail.com</t>
  </si>
  <si>
    <t>No puedo comer carne nada de carne Roja.</t>
  </si>
  <si>
    <t>Amanda Herndez Cedillo</t>
  </si>
  <si>
    <t>Nadia Yolotzin</t>
  </si>
  <si>
    <t>amanda.cedillo.hernandez@gmail.com</t>
  </si>
  <si>
    <t>Sánchez Silva</t>
  </si>
  <si>
    <t>Nadia Yolotzin Sánchez Silva</t>
  </si>
  <si>
    <t>nadiasanchezsilva325@gmail.com</t>
  </si>
  <si>
    <t>Soy alérgica a la papa.</t>
  </si>
  <si>
    <t>San Pedro Mártir 2nd Ward</t>
  </si>
  <si>
    <t>Homero Sanchez Ferra</t>
  </si>
  <si>
    <t>fmoncadajuarez@gmail.com</t>
  </si>
  <si>
    <t>Emmanuel</t>
  </si>
  <si>
    <t>homerbook@gmail.com</t>
  </si>
  <si>
    <t>Francisco Alberto Moncada Juárez</t>
  </si>
  <si>
    <t>Oliva Alvarado</t>
  </si>
  <si>
    <t>NO PUEDO COMER NADA DE CARNE ROJA</t>
  </si>
  <si>
    <t>Emmanuel Oliva Alvarado</t>
  </si>
  <si>
    <t>Carne Roja</t>
  </si>
  <si>
    <t>n/a</t>
  </si>
  <si>
    <t>oliva.emmanuel.08@hotmail.com</t>
  </si>
  <si>
    <t>Maria Guadalupe Oliva Alvarado</t>
  </si>
  <si>
    <t>oliva_gpe@hotmail.com</t>
  </si>
  <si>
    <t>A la papa</t>
  </si>
  <si>
    <t>Guerrero Ward</t>
  </si>
  <si>
    <t>alfredo_mariscal1@hotmail.com</t>
  </si>
  <si>
    <t>Alfredo Paulo Mariscal Alvarado</t>
  </si>
  <si>
    <t>Yetzabelli</t>
  </si>
  <si>
    <t>Rivera Cruz</t>
  </si>
  <si>
    <t>Yetzabelli Rivera Cruz</t>
  </si>
  <si>
    <t>55 8032 7043</t>
  </si>
  <si>
    <t>yetzabelli.rivera23@gmail.com</t>
  </si>
  <si>
    <t>Alergia al kiwi</t>
  </si>
  <si>
    <t>María Elizabeth Cruz Soreque</t>
  </si>
  <si>
    <t>talita_ixo@yahoo.es</t>
  </si>
  <si>
    <t>Itati Yetlanezi</t>
  </si>
  <si>
    <t>Sanchez Silva</t>
  </si>
  <si>
    <t>Mónica Daniela</t>
  </si>
  <si>
    <t>Itati Yetlanezi Sanchez Silva</t>
  </si>
  <si>
    <t>Velázquez Santos</t>
  </si>
  <si>
    <t>Mónica Daniela Velázquez Santos</t>
  </si>
  <si>
    <t>itatizsansil848@gmail.com</t>
  </si>
  <si>
    <t>No puedo comer nada que tenga COLORANTE ROJO, Siempre debe comer alguna ENSALADA No me gusta la avena ya que me genera vomito</t>
  </si>
  <si>
    <t>Perla Xochitl Silva Martinez</t>
  </si>
  <si>
    <t>55 7246 2114</t>
  </si>
  <si>
    <t>perlitaxbonita@gmail.com</t>
  </si>
  <si>
    <t>ilsejazminvelazquez@gmail.com</t>
  </si>
  <si>
    <t>Mónica Daniela Velázquez</t>
  </si>
  <si>
    <t>NA</t>
  </si>
  <si>
    <t>Debo comer alguna ensalada al día</t>
  </si>
  <si>
    <t>Colorante rojo de cualquier tipo en alimentos y bebidas</t>
  </si>
  <si>
    <t>Bosque de Tlalpan Ward</t>
  </si>
  <si>
    <t>jesusisrael.sandoval@hotmail.com</t>
  </si>
  <si>
    <t>Me da un poco de ansiedad cuando me presionan demasiado o me quieren obligar a algo</t>
  </si>
  <si>
    <t>Jesus Israel Sandoval Melendez</t>
  </si>
  <si>
    <t>Benjamin Adai</t>
  </si>
  <si>
    <t>Bernal Espinoza</t>
  </si>
  <si>
    <t>Benjamin Adai Bernal Espinoza</t>
  </si>
  <si>
    <t>56 3383 5854</t>
  </si>
  <si>
    <t>brenjaminxd@gmail.com</t>
  </si>
  <si>
    <t>Alergia a las frutas crudas</t>
  </si>
  <si>
    <t>Oscar flores</t>
  </si>
  <si>
    <t>Romina</t>
  </si>
  <si>
    <t>05fridava@gmail.com</t>
  </si>
  <si>
    <t>Ruiz Sanchez</t>
  </si>
  <si>
    <t>55 1116 7630</t>
  </si>
  <si>
    <t>Romina Ruiz Sanchez</t>
  </si>
  <si>
    <t>55 1647 2378</t>
  </si>
  <si>
    <t>m_bacex@hotmail.com</t>
  </si>
  <si>
    <t>Melek Adriana de Ruiz Sanchez</t>
  </si>
  <si>
    <t xml:space="preserve">TRASTORNO </t>
  </si>
  <si>
    <t>Asma controlada con salbutamol en inhalador</t>
  </si>
  <si>
    <t xml:space="preserve">RASGO </t>
  </si>
  <si>
    <t>Mariana Aralí</t>
  </si>
  <si>
    <t>Mariana Aralí Hernandez Antonio</t>
  </si>
  <si>
    <t>marianann0304@gmail.com</t>
  </si>
  <si>
    <t>Shanon</t>
  </si>
  <si>
    <t>Bezares Thomé</t>
  </si>
  <si>
    <t>Shanon Bezares Thomé</t>
  </si>
  <si>
    <t>Estalam957@gmail.com</t>
  </si>
  <si>
    <t>Alejandra thomé</t>
  </si>
  <si>
    <t>estalam957@gmail.com</t>
  </si>
  <si>
    <t>Monserrat</t>
  </si>
  <si>
    <t>Delgado Nieto</t>
  </si>
  <si>
    <t>Monserrat Delgado Nieto</t>
  </si>
  <si>
    <t>monserratdelgadonieto@gmail.com</t>
  </si>
  <si>
    <t>Maribel Asunción Nieto Resendiz</t>
  </si>
  <si>
    <t>maribelin1@yahoo.com.mx</t>
  </si>
  <si>
    <t>Camila D'Jael</t>
  </si>
  <si>
    <t>Gomez Casiano</t>
  </si>
  <si>
    <t>Camila D'Jael Gomez Casiano</t>
  </si>
  <si>
    <t>camilagomezcasiano@gmail.com</t>
  </si>
  <si>
    <t>Intolerancia a la lactosa</t>
  </si>
  <si>
    <t>María Guadalupe Casiano Antonio</t>
  </si>
  <si>
    <t>magucas21@gmail.com</t>
  </si>
  <si>
    <t>Edgar Miguel Gómez Mascareñas</t>
  </si>
  <si>
    <t>Edwin Leon</t>
  </si>
  <si>
    <t>gome900819hdf@gmail.com</t>
  </si>
  <si>
    <t>Romero Miranda</t>
  </si>
  <si>
    <t>Edwin Leon Romero Miranda</t>
  </si>
  <si>
    <t>romeroedwinleon@gmail.com</t>
  </si>
  <si>
    <t>Del Valle Ward</t>
  </si>
  <si>
    <t>morphindustries01@yahoo.com</t>
  </si>
  <si>
    <t>Benito Del Río de Hoyos</t>
  </si>
  <si>
    <t>Ulises romero</t>
  </si>
  <si>
    <t>Ashley Sarahi</t>
  </si>
  <si>
    <t>Carbajal Rojas</t>
  </si>
  <si>
    <t>Ashley Sarahi Carbajal Rojas</t>
  </si>
  <si>
    <t>56 1313 1599</t>
  </si>
  <si>
    <t>familia2006.eijad@gmail.com</t>
  </si>
  <si>
    <t>Israel Carbajal Barron</t>
  </si>
  <si>
    <t>israelcarbajal2008@hotmail.com</t>
  </si>
  <si>
    <t>Jessica Paola</t>
  </si>
  <si>
    <t>55 1318 8924</t>
  </si>
  <si>
    <t>Balderas Romero</t>
  </si>
  <si>
    <t>Jessica Paola Balderas Romero</t>
  </si>
  <si>
    <t>jessicapaolabalderas72@gmail.com</t>
  </si>
  <si>
    <t>Adriana romero carrillo</t>
  </si>
  <si>
    <t>Constitución Ward</t>
  </si>
  <si>
    <t>lalorj1995@gmail.com</t>
  </si>
  <si>
    <t>Eduardo Isaac Ruiz Jimenez</t>
  </si>
  <si>
    <t>Necesito ir urgente al baño cuando es necesario</t>
  </si>
  <si>
    <t>Angeles Alexandra</t>
  </si>
  <si>
    <t>Angeles Alexandra Calixto Morales</t>
  </si>
  <si>
    <t>Anayatzin Liliana</t>
  </si>
  <si>
    <t>alexa.calix.mora@gmail.com</t>
  </si>
  <si>
    <t>Velazquez Estala</t>
  </si>
  <si>
    <t>Anayatzin Liliana Velazquez Estala</t>
  </si>
  <si>
    <t>estefyrosovi@gmail.com</t>
  </si>
  <si>
    <t>anayatzinvelazquez3@gmail.com</t>
  </si>
  <si>
    <t>Laman velazquez yañez</t>
  </si>
  <si>
    <t>Dana Alizee</t>
  </si>
  <si>
    <t>Antunez Morales</t>
  </si>
  <si>
    <t>Dana Alizee Antunez Morales</t>
  </si>
  <si>
    <t>danaantunez126@gmail.com</t>
  </si>
  <si>
    <t>no aplica</t>
  </si>
  <si>
    <t>Alejandro Antunez Cervantes</t>
  </si>
  <si>
    <t>alejandro41antunez@outlook.com</t>
  </si>
  <si>
    <t>Josefina Morales Flores</t>
  </si>
  <si>
    <t>moralesjose170368@gmail.com</t>
  </si>
  <si>
    <t>Churubusco Ward</t>
  </si>
  <si>
    <t>rmnestoso@gmail.com</t>
  </si>
  <si>
    <t>Roberto Martínez Nestoso</t>
  </si>
  <si>
    <t>requiero antihistaminicos por alergia al clima frio</t>
  </si>
  <si>
    <t>ocasional mente requiero cuidados por alimentos irritantes</t>
  </si>
  <si>
    <t>Angela</t>
  </si>
  <si>
    <t>Torres Vega</t>
  </si>
  <si>
    <t>Angela Torres Vega</t>
  </si>
  <si>
    <t>Karen Denys</t>
  </si>
  <si>
    <t>aattvvpp21@gmail.com</t>
  </si>
  <si>
    <t>Gonzalez Osorio</t>
  </si>
  <si>
    <t>Karen Denys Gonzalez Osorio</t>
  </si>
  <si>
    <t>alergia al glutten, intolerante a la lactosa</t>
  </si>
  <si>
    <t>Laura Vega Garcia</t>
  </si>
  <si>
    <t>Karendenys080@gmail.com</t>
  </si>
  <si>
    <t>Nancy Erika Osorio Lopez</t>
  </si>
  <si>
    <t>Neol.22osorio@gmail.com</t>
  </si>
  <si>
    <t>Glutten e Intolerante a la lactosa</t>
  </si>
  <si>
    <t>Espironolactona 25 gr, progestina</t>
  </si>
  <si>
    <t>ansiedad</t>
  </si>
  <si>
    <t>Si</t>
  </si>
  <si>
    <t>Fuentes Basurto</t>
  </si>
  <si>
    <t>Romina Fuentes Basurto</t>
  </si>
  <si>
    <t>romybasurto20@gmail.com</t>
  </si>
  <si>
    <t>Alergia a embutidos, intolerancia a la lactosa</t>
  </si>
  <si>
    <t>Alejandra Basurto Rico</t>
  </si>
  <si>
    <t>Basurtorico.82@gmail.com</t>
  </si>
  <si>
    <t>Geovani Saul</t>
  </si>
  <si>
    <t>Osorio Hernandez</t>
  </si>
  <si>
    <t>Geovani Saul Osorio Hernandez</t>
  </si>
  <si>
    <t>ohernandezhernandez19@gmail.com</t>
  </si>
  <si>
    <t>Metepec México Stake</t>
  </si>
  <si>
    <t>No hay tema por la comida</t>
  </si>
  <si>
    <t>Atlatlahuca Ward</t>
  </si>
  <si>
    <t>María Laura Hernández Zamudio</t>
  </si>
  <si>
    <t>amandocorona.1@gmail.com</t>
  </si>
  <si>
    <t>laurahernanadez1288.29@gmail.com</t>
  </si>
  <si>
    <t>Amando Abraham Corona Hernández</t>
  </si>
  <si>
    <t>Embutidos</t>
  </si>
  <si>
    <t>Celebrex</t>
  </si>
  <si>
    <t>Pablo Isaías</t>
  </si>
  <si>
    <t>Flores Ramírez</t>
  </si>
  <si>
    <t>Pablo Isaías Flores Ramírez</t>
  </si>
  <si>
    <t>pablo.flores.rmz07@gmail.com</t>
  </si>
  <si>
    <t>Intolerante a la lactosa y no como mucho queso</t>
  </si>
  <si>
    <t>Blanca Estela Ramírez Herrera</t>
  </si>
  <si>
    <t>estreyita1708@hotmail.com</t>
  </si>
  <si>
    <t>Jessica</t>
  </si>
  <si>
    <t>Mendoza Herrera</t>
  </si>
  <si>
    <t>Jessica Mendoza Herrera</t>
  </si>
  <si>
    <t>estelalia912@gmail.com</t>
  </si>
  <si>
    <t>Victor David Mendoza Olvera</t>
  </si>
  <si>
    <t>vikosm77@hotmail.com</t>
  </si>
  <si>
    <t>Rebeca Herrera Rodriguez</t>
  </si>
  <si>
    <t>becky_hmx@hotmail.com</t>
  </si>
  <si>
    <t>Colitis nerviosa</t>
  </si>
  <si>
    <t>Anaeli</t>
  </si>
  <si>
    <t>Miliar Galvan</t>
  </si>
  <si>
    <t>Anaeli Miliar Galvan</t>
  </si>
  <si>
    <t>anaelimil1310@gmail.com</t>
  </si>
  <si>
    <t>Soy tolerante a la lactosa</t>
  </si>
  <si>
    <t>Miguel Ángel Miliar Zepeda</t>
  </si>
  <si>
    <t>asesor.miguelmiliar@gmail.com</t>
  </si>
  <si>
    <t>Arlette Samantha</t>
  </si>
  <si>
    <t>Zamora Arellano</t>
  </si>
  <si>
    <t>Arlette Samantha Zamora Arellano</t>
  </si>
  <si>
    <t>55 7915 7846</t>
  </si>
  <si>
    <t>arlettesamanthazamoraarellano@gmail.com</t>
  </si>
  <si>
    <t>No presenta ninguna alergia por algún alimento, requiere dieta especial</t>
  </si>
  <si>
    <t>Jose Manuel Zamora Ayala</t>
  </si>
  <si>
    <t>manuelzamora879@gmail.com</t>
  </si>
  <si>
    <t>Denisse Arellano Arredondo</t>
  </si>
  <si>
    <t>denisse.da30@gmail.com</t>
  </si>
  <si>
    <t>Sharon Elideth</t>
  </si>
  <si>
    <t>Vera Pérez</t>
  </si>
  <si>
    <t>Sharon Elideth Vera Pérez</t>
  </si>
  <si>
    <t>sharon.vera.perez@missionary.org</t>
  </si>
  <si>
    <t>Ayli Michel</t>
  </si>
  <si>
    <t>Martinez Oropeza</t>
  </si>
  <si>
    <t>bajo consumo de lacteos, mariscos,</t>
  </si>
  <si>
    <t>Erika Janeth Pérez Alvarez</t>
  </si>
  <si>
    <t>Ayli Michel Martinez Oropeza</t>
  </si>
  <si>
    <t>perezalvarez05@outlook.com</t>
  </si>
  <si>
    <t>Juan Salvador Vera Fuentes</t>
  </si>
  <si>
    <t>verafuentesrojo@hotmail.com</t>
  </si>
  <si>
    <t>martinezoropezaayli@gmail.com</t>
  </si>
  <si>
    <t>Puede consumir cualquier alimento</t>
  </si>
  <si>
    <t>Maria del Carmen Citlali Martinez Oropeza</t>
  </si>
  <si>
    <t>c86675339@gmail.com</t>
  </si>
  <si>
    <t>Iguala México Stake</t>
  </si>
  <si>
    <t>Insurgentes Ward</t>
  </si>
  <si>
    <t>al220903@univim.edu.mx</t>
  </si>
  <si>
    <t>Victor Hugo Mejia de la Cruz</t>
  </si>
  <si>
    <t>Kinich Iktan</t>
  </si>
  <si>
    <t>presenta reaccion al consumo de mariscos</t>
  </si>
  <si>
    <t>Barrera Nuñez</t>
  </si>
  <si>
    <t>Kinich Iktan Barrera Nuñez</t>
  </si>
  <si>
    <t>elchinossm@gmail.com</t>
  </si>
  <si>
    <t>loratadina</t>
  </si>
  <si>
    <t>Ningún alimento restringido por el momento</t>
  </si>
  <si>
    <t>Patricia Fernanda Núñez Reyes</t>
  </si>
  <si>
    <t>fernure_@hotmail.com</t>
  </si>
  <si>
    <t>Leilani Aime</t>
  </si>
  <si>
    <t>Aragon Tirado</t>
  </si>
  <si>
    <t>Leilani Aime Aragon Tirado</t>
  </si>
  <si>
    <t>Camerón Odette</t>
  </si>
  <si>
    <t>leilaniaragom@gmail.com</t>
  </si>
  <si>
    <t>Camerón Odette Bezares Thomé</t>
  </si>
  <si>
    <t>Alérgica al chicharrón e intolerante a la lactosa.</t>
  </si>
  <si>
    <t>Eric David Aragón Apolinar</t>
  </si>
  <si>
    <t>arapolidavid@gmail.com</t>
  </si>
  <si>
    <t>Luisaestala6@gmail.com</t>
  </si>
  <si>
    <t>luisaestala6@gmail.com</t>
  </si>
  <si>
    <t>a las sulfas y rinitis alérgica</t>
  </si>
  <si>
    <t>Set Ukari</t>
  </si>
  <si>
    <t>Peregrino Servín</t>
  </si>
  <si>
    <t>Set Ukari Peregrino Servín</t>
  </si>
  <si>
    <t>Leilany Eileen</t>
  </si>
  <si>
    <t>Molina Gordillo</t>
  </si>
  <si>
    <t>Leilany Eileen Molina Gordillo</t>
  </si>
  <si>
    <t>peregrino.servin@gmail.com</t>
  </si>
  <si>
    <t>Evito comer mucho irritante, aunque puedo comer de todo, no tengo ningún inconveniente con alguna dieta especifica.</t>
  </si>
  <si>
    <t>Juan Carlos Peregrino Martinez</t>
  </si>
  <si>
    <t>leymol2019@gmail.com</t>
  </si>
  <si>
    <t>jcperegrino3@gmail.com</t>
  </si>
  <si>
    <t>Elusain Molina Marquez</t>
  </si>
  <si>
    <t>eskaynett@hotmail.com</t>
  </si>
  <si>
    <t>Cielo Amalia de Gordillo Martinez</t>
  </si>
  <si>
    <t>cielogordillo@hotmail.com</t>
  </si>
  <si>
    <t>Acido Acetil Salicilico</t>
  </si>
  <si>
    <t>Johana Itzel</t>
  </si>
  <si>
    <t>Mauricio Gael</t>
  </si>
  <si>
    <t>Moreno Martínez</t>
  </si>
  <si>
    <t>Bode Cabrera</t>
  </si>
  <si>
    <t>Johana Itzel Bode Cabrera</t>
  </si>
  <si>
    <t>Mauricio Gael Moreno Martínez</t>
  </si>
  <si>
    <t>(951) 842 2641</t>
  </si>
  <si>
    <t>150921076@alumnos.upn.mx</t>
  </si>
  <si>
    <t>bode.johana@gmail.com</t>
  </si>
  <si>
    <t>Interesante a la lactosa Evitar chocolate</t>
  </si>
  <si>
    <t>Carlos moreno</t>
  </si>
  <si>
    <t>Mírela Cabrera</t>
  </si>
  <si>
    <t>2223058993@alumnos.xoc.uam.mx</t>
  </si>
  <si>
    <t>55 7269 5664</t>
  </si>
  <si>
    <t>Pedro Atzin Ruiz Gordillo</t>
  </si>
  <si>
    <t>gargyforever@hotmail.com</t>
  </si>
  <si>
    <t>Camila</t>
  </si>
  <si>
    <t>Martínez Jacinto</t>
  </si>
  <si>
    <t>Camila Martínez Jacinto</t>
  </si>
  <si>
    <t>Laroye Zoram</t>
  </si>
  <si>
    <t>Maydelen</t>
  </si>
  <si>
    <t>Hernández Zúñiga</t>
  </si>
  <si>
    <t>Martínez Pérez</t>
  </si>
  <si>
    <t>Laroye Zoram Hernández Zúñiga</t>
  </si>
  <si>
    <t>Maydelen Martínez Pérez</t>
  </si>
  <si>
    <t>camimj2012@gmail.com</t>
  </si>
  <si>
    <t>iv.zuniga.iz@gmail.com</t>
  </si>
  <si>
    <t>Evitar ayunos prolongados</t>
  </si>
  <si>
    <t>maydelenmartinezperez260@gmail.com</t>
  </si>
  <si>
    <t>Su alimentación es bastante variada y diversa.</t>
  </si>
  <si>
    <t>Victoria Ivonne Zuñiga Ugalde</t>
  </si>
  <si>
    <t>Alérgica a los cacahuates</t>
  </si>
  <si>
    <t>Ivonne Jacinto Rojas</t>
  </si>
  <si>
    <t>Maydelen Martínez</t>
  </si>
  <si>
    <t>ivonnemjch3@gmail.com</t>
  </si>
  <si>
    <t>alergia a la neumelubrina</t>
  </si>
  <si>
    <t>Manzanillo México District</t>
  </si>
  <si>
    <t>Helamán Azaf</t>
  </si>
  <si>
    <t>Jardines Branch</t>
  </si>
  <si>
    <t>chavezavalosnacho@gmail.com</t>
  </si>
  <si>
    <t>Ignacio Chavez Avalos</t>
  </si>
  <si>
    <t>Navarro Nava</t>
  </si>
  <si>
    <t>Helamán Azaf Navarro Nava</t>
  </si>
  <si>
    <t>Alergia a los cacahuates</t>
  </si>
  <si>
    <t>Estridor en la garganta</t>
  </si>
  <si>
    <t>helamannava0@gmail.com</t>
  </si>
  <si>
    <t>No puedo comer mariscos o pescado</t>
  </si>
  <si>
    <t>Cruz Nefi Navarro Juárez</t>
  </si>
  <si>
    <t>helamannavarro0@gmail.com</t>
  </si>
  <si>
    <t>Deseret Zazil</t>
  </si>
  <si>
    <t>Gutierrez Flores</t>
  </si>
  <si>
    <t>Deseret Zazil Gutierrez Flores</t>
  </si>
  <si>
    <t>Luna Sanya</t>
  </si>
  <si>
    <t>55 8485 0797</t>
  </si>
  <si>
    <t>Rodriguez Canales</t>
  </si>
  <si>
    <t>deseretgf@gmail.com</t>
  </si>
  <si>
    <t>Luna Sanya Rodriguez Canales</t>
  </si>
  <si>
    <t>Esmeralda Flores Escobar</t>
  </si>
  <si>
    <t>xaxigf@gmail.com</t>
  </si>
  <si>
    <t>sanya06aseret@gmail.com</t>
  </si>
  <si>
    <t>55 8794 2320</t>
  </si>
  <si>
    <t>come de todo</t>
  </si>
  <si>
    <t>ma.teresa canales pardo</t>
  </si>
  <si>
    <t>luna15celeste@gmail.com</t>
  </si>
  <si>
    <t>Carlos Gilberto</t>
  </si>
  <si>
    <t>Tapia Benhumea</t>
  </si>
  <si>
    <t>Carlos Gilberto Tapia Benhumea</t>
  </si>
  <si>
    <t>tapiabenhumeacarlosgil@gmail.com</t>
  </si>
  <si>
    <t>Gilberto David Tapia Iglesias</t>
  </si>
  <si>
    <t>tapiagil30@gmail.com</t>
  </si>
  <si>
    <t>Ana Laura Benhumea Santiago</t>
  </si>
  <si>
    <t>anabenhu4@gmail.com</t>
  </si>
  <si>
    <t>Fluoxetina, Quetiapina</t>
  </si>
  <si>
    <t>Medicamentos</t>
  </si>
  <si>
    <t>Ansiedad y depresión (En tratamiento)</t>
  </si>
  <si>
    <t>Mercedes Jaquelin</t>
  </si>
  <si>
    <t>TALLERES</t>
  </si>
  <si>
    <t>Ventura Damian</t>
  </si>
  <si>
    <t>Mercedes Jaquelin Ventura Damian</t>
  </si>
  <si>
    <t>Ximena Moramay</t>
  </si>
  <si>
    <t>Moreno Martinez</t>
  </si>
  <si>
    <t>Ximena Moramay Moreno Martinez</t>
  </si>
  <si>
    <t>Juliana</t>
  </si>
  <si>
    <t>mercedes.ventura.damian@missionary.org</t>
  </si>
  <si>
    <t>Velázquez Hernández</t>
  </si>
  <si>
    <t>NO SOY ALERGICA A NADA Y COMO DE TODO. PREFERIBLE LECHE DESLACTOSADA.</t>
  </si>
  <si>
    <t>Sandra Ventura Damian</t>
  </si>
  <si>
    <t>Juliana Velázquez Hernández</t>
  </si>
  <si>
    <t>merchejaquelinventura@gmail.com</t>
  </si>
  <si>
    <t>velazquezjuliana299@gmail.com</t>
  </si>
  <si>
    <t>No puedo comer embutidos y prefiero no comer pescado ni agua de melón</t>
  </si>
  <si>
    <t>Anaid</t>
  </si>
  <si>
    <t>Angel Uriel</t>
  </si>
  <si>
    <t>Jimenez Corona</t>
  </si>
  <si>
    <t>Bocanegra Cosme</t>
  </si>
  <si>
    <t>Anaid Bocanegra Cosme</t>
  </si>
  <si>
    <t>Angel Uriel Jimenez Corona</t>
  </si>
  <si>
    <t>urijimzc@gmail.com</t>
  </si>
  <si>
    <t>anniebocanegra5@gmail.com</t>
  </si>
  <si>
    <t>Evitar lácteos e irritantes</t>
  </si>
  <si>
    <t>Ana Lilia Cosme Alemán</t>
  </si>
  <si>
    <t>Veronica Georgina Corona Alvarado</t>
  </si>
  <si>
    <t>verixx74@gmail.com</t>
  </si>
  <si>
    <t>analiliacosme65@gmail.com</t>
  </si>
  <si>
    <t>Galeana México Stake</t>
  </si>
  <si>
    <t>Alpuyeca Branch</t>
  </si>
  <si>
    <t>r.montes377@gmail.com</t>
  </si>
  <si>
    <t>Roberto Lehi</t>
  </si>
  <si>
    <t>Ricardo Enrique Montes Ortega</t>
  </si>
  <si>
    <t>Muñoz Hernandez</t>
  </si>
  <si>
    <t>Roberto Lehi Muñoz Hernandez</t>
  </si>
  <si>
    <t>robertolehimh@gmail.com</t>
  </si>
  <si>
    <t>Come de todo, con escepcion de algunas frutas como mamey. los picantes los evita y los higados encebollados.</t>
  </si>
  <si>
    <t>Roberto Muñoz Liberato</t>
  </si>
  <si>
    <t>mormon_moroni2004@hotmail.com</t>
  </si>
  <si>
    <t>Adriana Aolani</t>
  </si>
  <si>
    <t>Norma Hernández Muñoz</t>
  </si>
  <si>
    <t>Cruz Arce</t>
  </si>
  <si>
    <t>normahernandez916@gmail.com</t>
  </si>
  <si>
    <t>Adriana Aolani Cruz Arce</t>
  </si>
  <si>
    <t>aolani.arce305@gmail.com</t>
  </si>
  <si>
    <t>Colin Gonzalez</t>
  </si>
  <si>
    <t>Alergia a los aderezos</t>
  </si>
  <si>
    <t>Omar Colin Gonzalez</t>
  </si>
  <si>
    <t>Paula Adriana arce castro</t>
  </si>
  <si>
    <t>abejitacolorada1982@gmail.com</t>
  </si>
  <si>
    <t>omar.colin.glez@gmail.com</t>
  </si>
  <si>
    <t>Angie Ivonne González Morales</t>
  </si>
  <si>
    <t>angieivonneg@gmail.com</t>
  </si>
  <si>
    <t>c</t>
  </si>
  <si>
    <t>La Noria Ward</t>
  </si>
  <si>
    <t>temporada de frio</t>
  </si>
  <si>
    <t>armandoglezm@gmail.com</t>
  </si>
  <si>
    <t>José Armando González Mondragón</t>
  </si>
  <si>
    <t>Alos aderezos</t>
  </si>
  <si>
    <t>Loratadina</t>
  </si>
  <si>
    <t>Piedras en los riñones</t>
  </si>
  <si>
    <t>Es muy timido</t>
  </si>
  <si>
    <t>Yahir Adrian</t>
  </si>
  <si>
    <t>Aguilar Angeles</t>
  </si>
  <si>
    <t>Yahir Adrian Aguilar Angeles</t>
  </si>
  <si>
    <t>Éowyn Sayuri</t>
  </si>
  <si>
    <t>Soto Hernandez</t>
  </si>
  <si>
    <t>Daniel Alejandro</t>
  </si>
  <si>
    <t>Éowyn Sayuri Soto Hernandez</t>
  </si>
  <si>
    <t>Vázquez Calvo</t>
  </si>
  <si>
    <t>adriannnangeles@gmail.com</t>
  </si>
  <si>
    <t>Daniel Alejandro Vázquez Calvo</t>
  </si>
  <si>
    <t xml:space="preserve">alergica al melon </t>
  </si>
  <si>
    <t>sotohernandezeowynsayuri@gmail.com</t>
  </si>
  <si>
    <t>Lidia Verónica Angeles Hernández</t>
  </si>
  <si>
    <t>alergia al mango</t>
  </si>
  <si>
    <t>lveroangeles@hotmail.com</t>
  </si>
  <si>
    <t>Nyene Berenice Hernandez Limones</t>
  </si>
  <si>
    <t>aalethiac@yahoo.com</t>
  </si>
  <si>
    <t>seahorsebabyportabebes@gmail.com</t>
  </si>
  <si>
    <t>NO PUEDE COMER FRUTOS ROJOS, TOMA LECHE DESLACTOSADA</t>
  </si>
  <si>
    <t>Ruben Omar Soto García</t>
  </si>
  <si>
    <t>Ana Alethia Calvo Avila</t>
  </si>
  <si>
    <t>direccion@inhaus.com.mx</t>
  </si>
  <si>
    <t>Mario Alejandro Vázquez Sánchez</t>
  </si>
  <si>
    <t>alec.vazquez1008@gmail.com</t>
  </si>
  <si>
    <t>Melon</t>
  </si>
  <si>
    <t>Jared Helamán</t>
  </si>
  <si>
    <t>Valencia Martínez</t>
  </si>
  <si>
    <t>Jared Helamán Valencia Martínez</t>
  </si>
  <si>
    <t>Mango</t>
  </si>
  <si>
    <t>jaredhelamanval@gmail.com</t>
  </si>
  <si>
    <t>salbutamol, paracetamol, ibuprofeno, ketorolaco</t>
  </si>
  <si>
    <t>Ejotes</t>
  </si>
  <si>
    <t>Ricardo Valencia Flores</t>
  </si>
  <si>
    <t>solovalencia_flores@yahoo.com.mx</t>
  </si>
  <si>
    <t>FRUTOS ROJOS</t>
  </si>
  <si>
    <t>Yadira Sofia Valencia Martinez</t>
  </si>
  <si>
    <t>yadi_sof@hotmail.com</t>
  </si>
  <si>
    <t>Alejandro Zuriel</t>
  </si>
  <si>
    <t>Solis Verduzco</t>
  </si>
  <si>
    <t>Alejandro Zuriel Solis Verduzco</t>
  </si>
  <si>
    <t>TDAH</t>
  </si>
  <si>
    <t>Kate Mariel</t>
  </si>
  <si>
    <t>HAY QUE TENER MUCHA PACIENCIA, HAY QUE REPETIRLE VARIAS VECES LAS INDICACIONES</t>
  </si>
  <si>
    <t>López Villanueva</t>
  </si>
  <si>
    <t>tukiloco28@gmail.com</t>
  </si>
  <si>
    <t>Mariscos y pescados</t>
  </si>
  <si>
    <t>Petra Verduzco Rocha</t>
  </si>
  <si>
    <t>kmariellv@icloud.com</t>
  </si>
  <si>
    <t>pety64@gmail.com</t>
  </si>
  <si>
    <t>Presenta alergia al platano y kiwi</t>
  </si>
  <si>
    <t>Claudia Iliana Villanueva Sánchez</t>
  </si>
  <si>
    <t>Sara Yuritzi</t>
  </si>
  <si>
    <t>ilianavsgayosso@icloud.com</t>
  </si>
  <si>
    <t>Pérez Velázquez</t>
  </si>
  <si>
    <t>Sara Yuritzi Pérez Velázquez</t>
  </si>
  <si>
    <t>Mariana Jaqueline</t>
  </si>
  <si>
    <t>Licea Rodriguez</t>
  </si>
  <si>
    <t>Mariana Jaqueline Licea Rodriguez</t>
  </si>
  <si>
    <t>sarapevel0612@gmail.com</t>
  </si>
  <si>
    <t>marckmmm9@gmail.com</t>
  </si>
  <si>
    <t>Solo toma leche deslactosada, ya que la la leche entera, puede causarle vómito o diarrea.</t>
  </si>
  <si>
    <t>no desayuna huevo</t>
  </si>
  <si>
    <t>anabel velázquez alvarado</t>
  </si>
  <si>
    <t>Ana Lisbeth Rodriguez Contreras</t>
  </si>
  <si>
    <t>anabelvel17@gmail.com</t>
  </si>
  <si>
    <t>anarodriguez.brb@gmail.com</t>
  </si>
  <si>
    <t>Alimento platano y kiwi</t>
  </si>
  <si>
    <t>Esclerosis múltiple</t>
  </si>
  <si>
    <t>na</t>
  </si>
  <si>
    <t>No hacer mucho ejercicio (caminatas largas, correr)</t>
  </si>
  <si>
    <t>Abril</t>
  </si>
  <si>
    <t>Morones Buendía</t>
  </si>
  <si>
    <t>Abril Morones Buendía</t>
  </si>
  <si>
    <t>Al ambiente húmedo o polen, se le inflaman los cornetes , estornuda con frecuencia, tiene escurrimiento nasal constante, pero no es gripa.</t>
  </si>
  <si>
    <t>estrellitaamb@hotmail.com</t>
  </si>
  <si>
    <t>Sterimar o loratadina</t>
  </si>
  <si>
    <t>Pipián</t>
  </si>
  <si>
    <t>María Elena Buendía Pérez</t>
  </si>
  <si>
    <t>mariewendyprz@gmail.com</t>
  </si>
  <si>
    <t>María Delfina Pérez Palacios</t>
  </si>
  <si>
    <t>moronimision@gmail.com</t>
  </si>
  <si>
    <t>Control de emociones, apoyo especial: acompañamiento, platica reflexiva</t>
  </si>
  <si>
    <t>Ashly Vannesa</t>
  </si>
  <si>
    <t>Flores Garduño</t>
  </si>
  <si>
    <t>Ashly Vannesa Flores Garduño</t>
  </si>
  <si>
    <t>ashly.flores1612@gmail.com</t>
  </si>
  <si>
    <t>Prefiero comer vegetales y poca carne</t>
  </si>
  <si>
    <t>Vanessa Alejandra Garduño Ponce</t>
  </si>
  <si>
    <t>vanegp9207@gmail.com</t>
  </si>
  <si>
    <t>Hernia inguinal izquierda.</t>
  </si>
  <si>
    <t>Dominique Iker</t>
  </si>
  <si>
    <t>Noriega Blancas</t>
  </si>
  <si>
    <t>Dominique Iker Noriega Blancas</t>
  </si>
  <si>
    <t>Dayan Edith</t>
  </si>
  <si>
    <t>dominiqueiker99@gmail.com</t>
  </si>
  <si>
    <t>Lopez Rivera</t>
  </si>
  <si>
    <t>Es alérgico a los mariscos, pescados, aguacate y platano y es alérgico al medicamento Amoxicilina con acido clavulanico</t>
  </si>
  <si>
    <t>Dayan Edith Lopez Rivera</t>
  </si>
  <si>
    <t>Claudia Pamela Mitzi Noriega Blancas</t>
  </si>
  <si>
    <t>Paola</t>
  </si>
  <si>
    <t>Moncada Becerril</t>
  </si>
  <si>
    <t>Paola Moncada Becerril</t>
  </si>
  <si>
    <t>dayanedithlr2005@gmail.com</t>
  </si>
  <si>
    <t>Embutidos.</t>
  </si>
  <si>
    <t>Dulce Edith Rivera Pérez</t>
  </si>
  <si>
    <t>blankibecerrill@gmail.com</t>
  </si>
  <si>
    <t>dididulchegabana@gmail.com</t>
  </si>
  <si>
    <t>Intolerante a Lacteos sin Pasteurizar.</t>
  </si>
  <si>
    <t>Blanca Isabel Becerril Pérez</t>
  </si>
  <si>
    <t>En casos de malestar por irritacion estomacal tomo omeprazol</t>
  </si>
  <si>
    <t>blankibecerril@gmail.com</t>
  </si>
  <si>
    <t>Me da un poco de ansiedad cuando estoy con mucha gente alejada de mi circulo cercano de amigos o cuando me quedo mucho tiempo estatica</t>
  </si>
  <si>
    <t>Polvo (Acaros), Medicamentos (Sulfas)</t>
  </si>
  <si>
    <t>Miranda Naevia</t>
  </si>
  <si>
    <t>Yahir</t>
  </si>
  <si>
    <t>De León Palomino</t>
  </si>
  <si>
    <t>Cruz Molina</t>
  </si>
  <si>
    <t>Miranda Naevia De León Palomino</t>
  </si>
  <si>
    <t>Yahir Cruz Molina</t>
  </si>
  <si>
    <t>Vannair (Budesonida/Formoterol Aerosol de 160ug/4.5ug Avamys Furoato de Fruticasona, Suspencion 27.5ug/50ul para inhalacion nasal</t>
  </si>
  <si>
    <t>Asma (no grave)</t>
  </si>
  <si>
    <t>nighmared4@gmail.com</t>
  </si>
  <si>
    <t>mirandadlp1712@gmail.com</t>
  </si>
  <si>
    <t>No me gusta comer pescado, mariscos, mayonesa, mostaza, mixiotes</t>
  </si>
  <si>
    <t>Norberto Cruz Vargas</t>
  </si>
  <si>
    <t>Kimberly Palomino</t>
  </si>
  <si>
    <t>cruvano@hotmail.com</t>
  </si>
  <si>
    <t>Christopher</t>
  </si>
  <si>
    <t>coca2215@hotmail.com</t>
  </si>
  <si>
    <t>Hurtado Chavez</t>
  </si>
  <si>
    <t>Maria de Lourdes Molina Serrano</t>
  </si>
  <si>
    <t>Christopher Hurtado Chavez</t>
  </si>
  <si>
    <t>pkelulu@hotmail.com</t>
  </si>
  <si>
    <t>hurtadochavezchristopher@gmail.com</t>
  </si>
  <si>
    <t>Ximena Elizabeth</t>
  </si>
  <si>
    <t>Alergia al camaron</t>
  </si>
  <si>
    <t>Soto Guzman</t>
  </si>
  <si>
    <t>Ximena Elizabeth Soto Guzman</t>
  </si>
  <si>
    <t>Divina chavez suastegui</t>
  </si>
  <si>
    <t>yeymi@gmail.com</t>
  </si>
  <si>
    <t>xmnsg25@gmail.com</t>
  </si>
  <si>
    <t>Leche entera, solo puede tomar leche deslactosada</t>
  </si>
  <si>
    <t>Cindy Elizabeth Guzmán Cárcamo</t>
  </si>
  <si>
    <t>guzmancindy09@gmail.com</t>
  </si>
  <si>
    <t>Acapulco México Stake</t>
  </si>
  <si>
    <t>Vista Alegre Ward</t>
  </si>
  <si>
    <t>somaltriptano</t>
  </si>
  <si>
    <t>igabrielsoto@hotmail.com</t>
  </si>
  <si>
    <t>Isidro Gabriel Soto Arteaga</t>
  </si>
  <si>
    <t>Migraña ocasional (Para eso usa el medicamento)</t>
  </si>
  <si>
    <t>Soy timido y no me gusta participar en actividades grupales</t>
  </si>
  <si>
    <t>Le cuestra trabajo socializar e integrarse</t>
  </si>
  <si>
    <t>Loratadina, ketorolaco y omeprazol</t>
  </si>
  <si>
    <t>Ixchel Floeese</t>
  </si>
  <si>
    <t>Extracción de canino(cirugía de botón)</t>
  </si>
  <si>
    <t>Mendoza Valencia</t>
  </si>
  <si>
    <t>Ixchel Floeese Mendoza Valencia</t>
  </si>
  <si>
    <t>Ximena Zoe</t>
  </si>
  <si>
    <t>Landeros López</t>
  </si>
  <si>
    <t>Ximena Zoe Landeros López</t>
  </si>
  <si>
    <t>rayo191019@gmail.com</t>
  </si>
  <si>
    <t>ximena_lancaster@hotmail.com</t>
  </si>
  <si>
    <t>Almendras</t>
  </si>
  <si>
    <t>José Alberto</t>
  </si>
  <si>
    <t>José Luis Landeros</t>
  </si>
  <si>
    <t>Hugo Mendoza Nava</t>
  </si>
  <si>
    <t>jose.landerosc@hotmail.com</t>
  </si>
  <si>
    <t>José Alberto Moncada Becerril</t>
  </si>
  <si>
    <t>hmendoza.di@gmail.com</t>
  </si>
  <si>
    <t>Alma Patricia Valencia de la Luz</t>
  </si>
  <si>
    <t>moncadabecerriljosealberto@gmail.com</t>
  </si>
  <si>
    <t>a_patriciavalencia@hotmail.com</t>
  </si>
  <si>
    <t>Prefiero no comer crema</t>
  </si>
  <si>
    <t>Francisco Alberto Moncada Becerril</t>
  </si>
  <si>
    <t>Abraham Caleb</t>
  </si>
  <si>
    <t>Ramirez Martinez</t>
  </si>
  <si>
    <t>Blanca Isabel Becerril Perez</t>
  </si>
  <si>
    <t>Abraham Caleb Ramirez Martinez</t>
  </si>
  <si>
    <t>aztkhydra2009@gmail.com</t>
  </si>
  <si>
    <t>No como papaya ni hígado encebollado</t>
  </si>
  <si>
    <t>Sandra Marcel Ramirez Martinez</t>
  </si>
  <si>
    <t>Dysanramart14@hotmail.com</t>
  </si>
  <si>
    <t>NINGUNA</t>
  </si>
  <si>
    <t>acaro, pirul, gato</t>
  </si>
  <si>
    <t>Ethan Moroni</t>
  </si>
  <si>
    <t>Hernandez Rangel</t>
  </si>
  <si>
    <t>Ethan Moroni Hernandez Rangel</t>
  </si>
  <si>
    <t>Ansiedad depresion se debe suministrar medicamento por las mañanas</t>
  </si>
  <si>
    <t>ethanmoroni@gmail.com</t>
  </si>
  <si>
    <t>Alejandra Sarahi</t>
  </si>
  <si>
    <t>Mario Ulises Hernández pineda</t>
  </si>
  <si>
    <t>Alejandra Sarahi Cisneros Rendon</t>
  </si>
  <si>
    <t>muhdezp@yahoo.com.mx</t>
  </si>
  <si>
    <t>Sarahiblack677@gmail.com</t>
  </si>
  <si>
    <t>Alergia a las fresas</t>
  </si>
  <si>
    <t>Yosohandi</t>
  </si>
  <si>
    <t>Villa Rodriguez</t>
  </si>
  <si>
    <t>Yosohandi Villa Rodriguez</t>
  </si>
  <si>
    <t>Galeana Ward</t>
  </si>
  <si>
    <t>ederreyes22@gmail.com</t>
  </si>
  <si>
    <t>Eder Reyes Aranda</t>
  </si>
  <si>
    <t>55 2298 3977</t>
  </si>
  <si>
    <t>villayosohandi@gmail.com</t>
  </si>
  <si>
    <t>Fresas</t>
  </si>
  <si>
    <t>Juan Carlos Villa Aguilar</t>
  </si>
  <si>
    <t>jucarlmx@yahoo.com.mx</t>
  </si>
  <si>
    <t>Maria de Villa Rodriguez</t>
  </si>
  <si>
    <t>maryupnmexico@yahoo.com.mx</t>
  </si>
  <si>
    <t>López Pantaleón</t>
  </si>
  <si>
    <t>Mirasoles Ward</t>
  </si>
  <si>
    <t>Abril López Pantaleón</t>
  </si>
  <si>
    <t>ogarciag00@gmail.com</t>
  </si>
  <si>
    <t>Orlando Garcia Guzman</t>
  </si>
  <si>
    <t>abrillopezpantaleon@gmail.com</t>
  </si>
  <si>
    <t>Santa Cecilia Pantaleón Hernández</t>
  </si>
  <si>
    <t>santadelopez@gmail.com</t>
  </si>
  <si>
    <t>Cintia</t>
  </si>
  <si>
    <t>Flores Aguillon</t>
  </si>
  <si>
    <t>Cintia Flores Aguillon</t>
  </si>
  <si>
    <t>Tecalco México Stake</t>
  </si>
  <si>
    <t>cin.flor2008@gmail.com</t>
  </si>
  <si>
    <t>Tecalco 2nd Ward</t>
  </si>
  <si>
    <t>joseluislopez091063@gmail.com</t>
  </si>
  <si>
    <t>Puedo comer de todo pero prefiero no comer comida irritante</t>
  </si>
  <si>
    <t>Jose Luis Lopez Perez</t>
  </si>
  <si>
    <t>Teodora Aguillón Bello</t>
  </si>
  <si>
    <t>tdah</t>
  </si>
  <si>
    <t>aguillonteo@gmail.com</t>
  </si>
  <si>
    <t>No ninguna</t>
  </si>
  <si>
    <t>Rebeca</t>
  </si>
  <si>
    <t>Barrón Dominguez</t>
  </si>
  <si>
    <t>Rebeca Barrón Dominguez</t>
  </si>
  <si>
    <t>Ana Laura</t>
  </si>
  <si>
    <t>Guadarrama Rensendiz</t>
  </si>
  <si>
    <t>bkpolar30@gmail.com</t>
  </si>
  <si>
    <t>Ana Laura Guadarrama Rensendiz</t>
  </si>
  <si>
    <t>Claudia Tania Domínguez Herrada</t>
  </si>
  <si>
    <t>lau.chaires2020@gmail.com</t>
  </si>
  <si>
    <t>paffi.bd@gmail.com</t>
  </si>
  <si>
    <t>Todo normal, como de todo por el momento no soy alérgica a algún alimento.</t>
  </si>
  <si>
    <t>María Teresa Resendiz montes de oca</t>
  </si>
  <si>
    <t>Claudia Tania Dominguez Herrada</t>
  </si>
  <si>
    <t>dh_claus@hotmail.com</t>
  </si>
  <si>
    <t>Keimer Esney</t>
  </si>
  <si>
    <t>Sumalave Camargo</t>
  </si>
  <si>
    <t>Keimer Esney Sumalave Camargo</t>
  </si>
  <si>
    <t>720 717 1473</t>
  </si>
  <si>
    <t>sumalavekeimer@gmail.com</t>
  </si>
  <si>
    <t>No he presentado alergias a algún alimento, solo al picante</t>
  </si>
  <si>
    <t>Leonilde Camargo Sumalave</t>
  </si>
  <si>
    <t>leonildecamargo6@gmail.com</t>
  </si>
  <si>
    <t>Metilfenidato y Sertralina Condición: ansiedad, depresión y estrés.
Medicamento: debe tomar sertralina y metilfenidato diario.
Contacto:
Mamá: hermana Claudia Domínguez
Teléfono: 5548772615
Nos comparten el contacto de su mamá ya que, cuando la joven presenta una crisis, lo que más desea es poder comunicarse con ella.</t>
  </si>
  <si>
    <t>Rafael</t>
  </si>
  <si>
    <t>TDAH y ansiedad</t>
  </si>
  <si>
    <t>Rodriguez Rocha</t>
  </si>
  <si>
    <t>X</t>
  </si>
  <si>
    <t>Dulce Esperanza</t>
  </si>
  <si>
    <t>Espinosa Abadia</t>
  </si>
  <si>
    <t>Dulce Esperanza Espinosa Abadia</t>
  </si>
  <si>
    <t>rr0451475@gmail.com</t>
  </si>
  <si>
    <t>Polvos y olores fuertes, nada grave</t>
  </si>
  <si>
    <t>Alergia a la zanahoria cruda</t>
  </si>
  <si>
    <t>Rafael Rodríguez Mascareñas</t>
  </si>
  <si>
    <t>rafarm01@hotmail.com</t>
  </si>
  <si>
    <t>Ácido fólico, vitamina C y Montelukast</t>
  </si>
  <si>
    <t>Ana Laura Rocha Juárez</t>
  </si>
  <si>
    <t>espinosaabadiadulce@gmail.com</t>
  </si>
  <si>
    <t>analaurarocha2013@gmail.com</t>
  </si>
  <si>
    <t>55 3184 2741</t>
  </si>
  <si>
    <t>ninguna</t>
  </si>
  <si>
    <t>Orbelin Espinosa Gomez</t>
  </si>
  <si>
    <t>oegs43@gmail.com</t>
  </si>
  <si>
    <t>Yaretzy Polette</t>
  </si>
  <si>
    <t>962 476 6919</t>
  </si>
  <si>
    <t>Lopez Rodriguez</t>
  </si>
  <si>
    <t>Yaretzy Polette Lopez Rodriguez</t>
  </si>
  <si>
    <t>Alérgico zanahoria cruda</t>
  </si>
  <si>
    <t>lopezrodriguezyaetzypolette@gmail.com</t>
  </si>
  <si>
    <t>Kenia Sofia</t>
  </si>
  <si>
    <t>Gurrola Silva</t>
  </si>
  <si>
    <t>Leticia Guadalupe Rodriguez Rosas</t>
  </si>
  <si>
    <t>Kenia Sofia Gurrola Silva</t>
  </si>
  <si>
    <t>elty2408@gmail.com</t>
  </si>
  <si>
    <t>Tiene un lente intraocular del lado izq</t>
  </si>
  <si>
    <t>sulfas</t>
  </si>
  <si>
    <t>kenia.s.gurrolasilva@gmail.com</t>
  </si>
  <si>
    <t>Lilian Stephanie</t>
  </si>
  <si>
    <t>Alergia a las lentejas</t>
  </si>
  <si>
    <t>Martinez Monroy</t>
  </si>
  <si>
    <t>Lilian Stephanie Martinez Monroy</t>
  </si>
  <si>
    <t>Rosa Beatriz Silva Ortiz</t>
  </si>
  <si>
    <t>vsosilva88@gmail.com</t>
  </si>
  <si>
    <t>lilianmart01@gmail.com</t>
  </si>
  <si>
    <t>Alérgica a la cebolla</t>
  </si>
  <si>
    <t>Danjob Nuñez Hernandez</t>
  </si>
  <si>
    <t>andrea nayeli monroy martinez</t>
  </si>
  <si>
    <t>dan.nunezh@gmail.com</t>
  </si>
  <si>
    <t>andreux.monroy@gmail.com</t>
  </si>
  <si>
    <t>Itzel Monserrat</t>
  </si>
  <si>
    <t>Monroy Salazar</t>
  </si>
  <si>
    <t>Itzel Monserrat Monroy Salazar</t>
  </si>
  <si>
    <t>Gatos, lentejas, polvo</t>
  </si>
  <si>
    <t>monsemonroysalazar.2498@gmail.com</t>
  </si>
  <si>
    <t>Veronica Salazar Perez</t>
  </si>
  <si>
    <t>Deprersión moderada</t>
  </si>
  <si>
    <t>Veronicasalazarperez10@gmail.com</t>
  </si>
  <si>
    <t>Actividad física ligera</t>
  </si>
  <si>
    <t>Dasha Isabella</t>
  </si>
  <si>
    <t>Jimenez Becerril</t>
  </si>
  <si>
    <t>Dasha Isabella Jimenez Becerril</t>
  </si>
  <si>
    <t>Ethna Valeria</t>
  </si>
  <si>
    <t>Osorio Durán</t>
  </si>
  <si>
    <t>dashajim09@gmail.com</t>
  </si>
  <si>
    <t>Ethna Valeria Osorio Durán</t>
  </si>
  <si>
    <t>Condesa Ward</t>
  </si>
  <si>
    <t>Alergica a los nopales</t>
  </si>
  <si>
    <t>ars20sp@gmail.com</t>
  </si>
  <si>
    <t>Diana Berenice Becerril Ramirez</t>
  </si>
  <si>
    <t>Arturo Reyes Sanchez</t>
  </si>
  <si>
    <t>berenicebecerril80@gmail.com</t>
  </si>
  <si>
    <t>Mateo Santiago</t>
  </si>
  <si>
    <t>Carlos Eduardo Jiménez Rodríguez</t>
  </si>
  <si>
    <t>Hinojosa Lopéz</t>
  </si>
  <si>
    <t>cejr1003@gmail.com</t>
  </si>
  <si>
    <t>bunnylindx@gmail.com</t>
  </si>
  <si>
    <t>Mateo Santiago Hinojosa Lopéz</t>
  </si>
  <si>
    <t>55 7645 7739</t>
  </si>
  <si>
    <t>Laura Lilia Duran Aguilar</t>
  </si>
  <si>
    <t>carbamazepina</t>
  </si>
  <si>
    <t>m.santiago.hinojosa2707@gmail.com</t>
  </si>
  <si>
    <t>lyllys238@gmail.com</t>
  </si>
  <si>
    <t>Alérgico a la avellana en postres o alimentos</t>
  </si>
  <si>
    <t>Epilepcia</t>
  </si>
  <si>
    <t>Marco Polo Hinojosa Perez</t>
  </si>
  <si>
    <t>marcopolo.hinojosa@aymsports.com.mx</t>
  </si>
  <si>
    <t>Cambio de clima</t>
  </si>
  <si>
    <t>epilepcia</t>
  </si>
  <si>
    <t>Karen Abigail</t>
  </si>
  <si>
    <t>Gonzalez Guzman</t>
  </si>
  <si>
    <t>Karen Abigail Gonzalez Guzman</t>
  </si>
  <si>
    <t>a la avellana</t>
  </si>
  <si>
    <t>abiglez894@gmail.com</t>
  </si>
  <si>
    <t>gentamicina</t>
  </si>
  <si>
    <t>avapena tableta</t>
  </si>
  <si>
    <t>patricia gonzalez guzman</t>
  </si>
  <si>
    <t>patikaren08@gmail.com</t>
  </si>
  <si>
    <t>ansiedad que la dejen sola</t>
  </si>
  <si>
    <t>Regina Zoe</t>
  </si>
  <si>
    <t>Mosco Rosales</t>
  </si>
  <si>
    <t>Regina Zoe Mosco Rosales</t>
  </si>
  <si>
    <t>algunos arboles y todos los de insectos</t>
  </si>
  <si>
    <t>Alison Thamara</t>
  </si>
  <si>
    <t>Sandoval Rosas</t>
  </si>
  <si>
    <t>loratadina y salbutamol</t>
  </si>
  <si>
    <t>moscorosalesreginazoe1@gmail.com</t>
  </si>
  <si>
    <t>Alison Thamara Sandoval Rosas</t>
  </si>
  <si>
    <t>asma</t>
  </si>
  <si>
    <t>Benito Mosco Espinoza</t>
  </si>
  <si>
    <t>moscotemplo@outlook.com</t>
  </si>
  <si>
    <t>Diana Laura Rosales Sanchez</t>
  </si>
  <si>
    <t>Daniel Arturo</t>
  </si>
  <si>
    <t>ilegarose1@gmail.com</t>
  </si>
  <si>
    <t>Aguilar Martinez</t>
  </si>
  <si>
    <t>Daniel Arturo Aguilar Martinez</t>
  </si>
  <si>
    <t>vatef9@gmail.com</t>
  </si>
  <si>
    <t>Toma leche deslactosada.</t>
  </si>
  <si>
    <t>Arturo Aguilar Cruz</t>
  </si>
  <si>
    <t>Adrian Moroni</t>
  </si>
  <si>
    <t>arthurc_1970@yahoo.com.mx</t>
  </si>
  <si>
    <t>Dominguez Morales</t>
  </si>
  <si>
    <t>Miriam Martínez López</t>
  </si>
  <si>
    <t>Adrian Moroni Dominguez Morales</t>
  </si>
  <si>
    <t>moronimorales01@gmail.com</t>
  </si>
  <si>
    <t>Paracetamol o Ibuprofeno</t>
  </si>
  <si>
    <t>Adriana Morales García</t>
  </si>
  <si>
    <t>guadalajaraloquito@gmail.com</t>
  </si>
  <si>
    <t>56 1040 9170</t>
  </si>
  <si>
    <t>cefalosporinas (Keflez), Rinitis alergica,</t>
  </si>
  <si>
    <t>Kenneth Marcelo</t>
  </si>
  <si>
    <t>Adán Enoc</t>
  </si>
  <si>
    <t>Avila Rodriguez</t>
  </si>
  <si>
    <t>Ansiedad, cuando le da un ataque de ansiedad requiere tomarse un tiempo y realizar ejercicios de respiración</t>
  </si>
  <si>
    <t>García Manjarrez</t>
  </si>
  <si>
    <t>Kenneth Marcelo Avila Rodriguez</t>
  </si>
  <si>
    <t>Adán Enoc García Manjarrez</t>
  </si>
  <si>
    <t>nole.kren@hotmail.com</t>
  </si>
  <si>
    <t>leche deslactosada, no cebolla, no jitomate, no hongos.</t>
  </si>
  <si>
    <t>Karen Yasith Avila Rodriguez</t>
  </si>
  <si>
    <t>Lia Yekaterina</t>
  </si>
  <si>
    <t>bigadan07@gmail.com</t>
  </si>
  <si>
    <t>Tello Tello</t>
  </si>
  <si>
    <t>Lia Yekaterina Tello Tello</t>
  </si>
  <si>
    <t>Luis Adrian Garcia Hernandez</t>
  </si>
  <si>
    <t>No tengo</t>
  </si>
  <si>
    <t>lagarciah85@gmail.com</t>
  </si>
  <si>
    <t>Ana Rosa Manjarrez Morones</t>
  </si>
  <si>
    <t>anyrosemk@gmail.com</t>
  </si>
  <si>
    <t>polvo</t>
  </si>
  <si>
    <t>Vega Lezama</t>
  </si>
  <si>
    <t>Carolina Vega Lezama</t>
  </si>
  <si>
    <t>vegalezama04@hotmail.com</t>
  </si>
  <si>
    <t>cytp_s@yahoo.com</t>
  </si>
  <si>
    <t>Andrea Vega Lezama</t>
  </si>
  <si>
    <t>Vega_Leza123@hotmail.com</t>
  </si>
  <si>
    <t>Cynthia Yasmin Tello Pacheco</t>
  </si>
  <si>
    <t>Xavi Alonso</t>
  </si>
  <si>
    <t>Esquivel Ceron</t>
  </si>
  <si>
    <t>Xavi Alonso Esquivel Ceron</t>
  </si>
  <si>
    <t>Sertralina</t>
  </si>
  <si>
    <t>RICARDO TELLO SAAVEDRA</t>
  </si>
  <si>
    <t>tellosaavedra@hotmail.com</t>
  </si>
  <si>
    <t>johanesquivel1909@gmail.com</t>
  </si>
  <si>
    <t>Soy Intolerante a la lactosa</t>
  </si>
  <si>
    <t>Veronica Juarez Amaya</t>
  </si>
  <si>
    <t>verito011265@gmail.com</t>
  </si>
  <si>
    <t>Centro Ward</t>
  </si>
  <si>
    <t>eduardoishijo@hotmail.com</t>
  </si>
  <si>
    <t>Roberto Eduardo Yañez Gutierrez</t>
  </si>
  <si>
    <t>Cuicuilco Ward</t>
  </si>
  <si>
    <t>omae5532348086@gmail.com</t>
  </si>
  <si>
    <t>Oscar Alejandro Flores Gonzalez</t>
  </si>
  <si>
    <t>Alan Jared</t>
  </si>
  <si>
    <t>Trejo Ricca</t>
  </si>
  <si>
    <t>Alan Jared Trejo Ricca</t>
  </si>
  <si>
    <t>ajtrejoricca2012@gmail.com</t>
  </si>
  <si>
    <t>Sebastian Trejo Trejo</t>
  </si>
  <si>
    <t>sebastiant2@gmail.com</t>
  </si>
  <si>
    <t>TDAH y le cuesta trabajo relacionarse con personas que no conoce. Se pone muy nerviosa y preocupada ante actividades desconocidas. Ansiedad generaliza</t>
  </si>
  <si>
    <t>Erika Valeria Ricca Aires</t>
  </si>
  <si>
    <t>valeriaricca@gmail.com</t>
  </si>
  <si>
    <t>Sharon Iliany</t>
  </si>
  <si>
    <t>Danna Samara</t>
  </si>
  <si>
    <t>Mendoza Avila</t>
  </si>
  <si>
    <t>Gonzalez Gomez</t>
  </si>
  <si>
    <t>Sharon Iliany Mendoza Avila</t>
  </si>
  <si>
    <t>Danna Samara Gonzalez Gomez</t>
  </si>
  <si>
    <t>sharon03avila@gmail.com</t>
  </si>
  <si>
    <t>Nelson</t>
  </si>
  <si>
    <t>Leche deslactosada,no hongos.</t>
  </si>
  <si>
    <t>Aguilera Fernández</t>
  </si>
  <si>
    <t>dannaggomez39@gmail.com</t>
  </si>
  <si>
    <t>Jessica Gomez López</t>
  </si>
  <si>
    <t>jessicagomezlopez1@gmail.com</t>
  </si>
  <si>
    <t>neroycat@gmail.com</t>
  </si>
  <si>
    <t>1 paracetamol 500 mg, 2 Ibuprofeno 400 mg</t>
  </si>
  <si>
    <t>Nelson Aguilera</t>
  </si>
  <si>
    <t>eaguilera17@gmail.com</t>
  </si>
  <si>
    <t>Sol,crema,lociones,algunas texturas.</t>
  </si>
  <si>
    <t>Alergia al árbol llamado trueno y a una planta llamada ambrosia</t>
  </si>
  <si>
    <t>Tania Alexia</t>
  </si>
  <si>
    <t>Sobredotación intelectual</t>
  </si>
  <si>
    <t>Cortés González</t>
  </si>
  <si>
    <t>Tania Alexia Cortés González</t>
  </si>
  <si>
    <t>riveram0896@gmail.com</t>
  </si>
  <si>
    <t>Isaí</t>
  </si>
  <si>
    <t>Irma Cortes González</t>
  </si>
  <si>
    <t>Irmacortesgonzalez762@gmail.com</t>
  </si>
  <si>
    <t>Cárdenas Jimeno</t>
  </si>
  <si>
    <t>Isaí Cárdenas Jimeno</t>
  </si>
  <si>
    <t>56 4129 0309</t>
  </si>
  <si>
    <t>isaic.green@gmail.com</t>
  </si>
  <si>
    <t>Metilfenidato y Sertralina   Condición: ansiedad, depresión y estrés.
Medicamento: debe tomar sertralina y metilfenidato diario.
Contacto:
Mamá: hermana Claudia Domínguez
Teléfono: 5548772615
Nos comparten el contacto de su mamá ya que, cuando la joven presenta una crisis, lo que más desea es poder comunicarse con ella.</t>
  </si>
  <si>
    <t>Dante Andre</t>
  </si>
  <si>
    <t>Lilia Angélica Jimeno Martínez</t>
  </si>
  <si>
    <t>Dante Andre Carbajal Rojas</t>
  </si>
  <si>
    <t>liliajimeno8@gmail.com</t>
  </si>
  <si>
    <t>dantecarbajal225@gmail.com</t>
  </si>
  <si>
    <t>ISRAEL CARBAJAL BARRON</t>
  </si>
  <si>
    <t>israel.carbajal@bodegasalianza.com</t>
  </si>
  <si>
    <t>Al polvo</t>
  </si>
  <si>
    <t>Iker</t>
  </si>
  <si>
    <t>Guadarrama Uribe</t>
  </si>
  <si>
    <t>Iker Guadarrama Uribe</t>
  </si>
  <si>
    <t>ikirin53@gmail.com</t>
  </si>
  <si>
    <t>Puede comer de todo.</t>
  </si>
  <si>
    <t>Cesar Guadarrama</t>
  </si>
  <si>
    <t>guadarramace77@gmail.com</t>
  </si>
  <si>
    <t>Areira Cyrene</t>
  </si>
  <si>
    <t>Flores Dominguez</t>
  </si>
  <si>
    <t>Areira Cyrene Flores Dominguez</t>
  </si>
  <si>
    <t>areira.flores@gmail.com</t>
  </si>
  <si>
    <t>N/A</t>
  </si>
  <si>
    <t>Dinabell Domínguez</t>
  </si>
  <si>
    <t>unpasoadelante@hotmail.com</t>
  </si>
  <si>
    <t>TDAH Alguna inatención. No requiere atención especial</t>
  </si>
  <si>
    <t>Árbol cipres</t>
  </si>
  <si>
    <t>Noe Azael</t>
  </si>
  <si>
    <t>Sanchez Soriano</t>
  </si>
  <si>
    <t>Noe Azael Sanchez Soriano</t>
  </si>
  <si>
    <t>Isabella Regina</t>
  </si>
  <si>
    <t>Vazquez Aburto</t>
  </si>
  <si>
    <t>imeonsoriano27@gmail.com</t>
  </si>
  <si>
    <t>Felix Mauricio</t>
  </si>
  <si>
    <t>nome</t>
  </si>
  <si>
    <t>Soto Alvarado</t>
  </si>
  <si>
    <t>Noemi Verenice Soriano Castrejon</t>
  </si>
  <si>
    <t>Felix Mauricio Soto Alvarado</t>
  </si>
  <si>
    <t>dianabelemaburtorodriguez@gmail.com</t>
  </si>
  <si>
    <t>Zoé Denisse</t>
  </si>
  <si>
    <t>mausotoalva@gmail.com</t>
  </si>
  <si>
    <t>Zea Chan</t>
  </si>
  <si>
    <t>Zoé Denisse Zea Chan</t>
  </si>
  <si>
    <t>Diana Belem Aburto Rodriguez</t>
  </si>
  <si>
    <t>Jazmín Soto Alvarado</t>
  </si>
  <si>
    <t>camilina89@gmail.com</t>
  </si>
  <si>
    <t>zezch10@gmail.com</t>
  </si>
  <si>
    <t>Sana, Cero alergias, intolerante a la lactosa</t>
  </si>
  <si>
    <t>Yoselin Chan Rodriguez</t>
  </si>
  <si>
    <t>yoselinchan145@gmail.com</t>
  </si>
  <si>
    <t>Polen</t>
  </si>
  <si>
    <t>fluoxetina</t>
  </si>
  <si>
    <t>Mariana Lizette</t>
  </si>
  <si>
    <t>Luna Martinez</t>
  </si>
  <si>
    <t>Mariana Lizette Luna Martinez</t>
  </si>
  <si>
    <t>marianalunamartinez@hotmail.com</t>
  </si>
  <si>
    <t>María del Rocío Martínez Rodríguez</t>
  </si>
  <si>
    <t>Allizon Abril</t>
  </si>
  <si>
    <t>marianalunamartinez@hormail.com</t>
  </si>
  <si>
    <t>Allizon Abril Zea Chan</t>
  </si>
  <si>
    <t>Urbina Parra</t>
  </si>
  <si>
    <t>Rebeca Urbina Parra</t>
  </si>
  <si>
    <t>Frida Italia Chihiro</t>
  </si>
  <si>
    <t>zeaabril689@gmail.com</t>
  </si>
  <si>
    <t>Roman Garibay</t>
  </si>
  <si>
    <t>No tiene alergias, es sana completamente y solo cosas deslactosadas</t>
  </si>
  <si>
    <t>Frida Italia Chihiro Roman Garibay</t>
  </si>
  <si>
    <t>Abejas</t>
  </si>
  <si>
    <t>fridaromgari2807@gmail.com</t>
  </si>
  <si>
    <t>urbinaparrarebeca556@gmail.com</t>
  </si>
  <si>
    <t>Irais Garibay Luna</t>
  </si>
  <si>
    <t>Rebeca Parra Mata</t>
  </si>
  <si>
    <t>irais678910@gmail.com</t>
  </si>
  <si>
    <t>rebecaparramata094@gmail.com</t>
  </si>
  <si>
    <t>Alan Francisco Roman Bravo</t>
  </si>
  <si>
    <t>iraisgaribay014@gmail.com</t>
  </si>
  <si>
    <t>Paola Aixia</t>
  </si>
  <si>
    <t>Pérez Piña</t>
  </si>
  <si>
    <t>Paola Aixia Pérez Piña</t>
  </si>
  <si>
    <t>922 200 3756</t>
  </si>
  <si>
    <t>paolaaixiap@gmail.com</t>
  </si>
  <si>
    <t>Martha Beatriz Piña Santiago</t>
  </si>
  <si>
    <t>marthabeatrizpinasantiago@gmail.com</t>
  </si>
  <si>
    <t>Una cirugía menor en agosto en la rodilla, sin complicaciones y dada de alta.</t>
  </si>
  <si>
    <t>Pedregal Ward</t>
  </si>
  <si>
    <t>payton10001@gmail.com</t>
  </si>
  <si>
    <t>Ansiedad, apoyo sicologico</t>
  </si>
  <si>
    <t>Fernando Dominguez Jimenez</t>
  </si>
  <si>
    <t>Jonathan Yarkin</t>
  </si>
  <si>
    <t>Viadest Nuñez</t>
  </si>
  <si>
    <t>Jonathan Yarkin Viadest Nuñez</t>
  </si>
  <si>
    <t>Zuriel Gabriel</t>
  </si>
  <si>
    <t>Rojas Hernandez</t>
  </si>
  <si>
    <t>yarkinviadest@gmail.com</t>
  </si>
  <si>
    <t>Iris Alí Nuñez Cerón</t>
  </si>
  <si>
    <t>nunezceron@hotmail.com</t>
  </si>
  <si>
    <t>Miriam Simeth</t>
  </si>
  <si>
    <t>Muñoz Ramirez</t>
  </si>
  <si>
    <t>emmahr.1212@gmail.com</t>
  </si>
  <si>
    <t>Miriam Simeth Muñoz Ramirez</t>
  </si>
  <si>
    <t>55 2929 4991</t>
  </si>
  <si>
    <t>Emma Hernández Rodríguez</t>
  </si>
  <si>
    <t>miriamunoz04@gmail.com</t>
  </si>
  <si>
    <t>Luzthelma Muñoz</t>
  </si>
  <si>
    <t>luzthelma16@gmail.com</t>
  </si>
  <si>
    <t>Paracetamol, Loratadina, Naproxeno</t>
  </si>
  <si>
    <t>José Luis</t>
  </si>
  <si>
    <t>Guerra Rocha</t>
  </si>
  <si>
    <t>José Luis Guerra Rocha</t>
  </si>
  <si>
    <t>Melon penicillina</t>
  </si>
  <si>
    <t>soruto.rocha30@gmail.com</t>
  </si>
  <si>
    <t>Cinthya Rocha Soto</t>
  </si>
  <si>
    <t>Tamara Yaretzi</t>
  </si>
  <si>
    <t>talinda_cinti30@hotmail.com</t>
  </si>
  <si>
    <t>Tamara Yaretzi Soto Hernandez</t>
  </si>
  <si>
    <t>penicilina, lactosa</t>
  </si>
  <si>
    <t>tamipolaris@gmail.com</t>
  </si>
  <si>
    <t>Johan</t>
  </si>
  <si>
    <t>Esquivel Juarez</t>
  </si>
  <si>
    <t>EsfinII</t>
  </si>
  <si>
    <t>Johan Esquivel Juarez</t>
  </si>
  <si>
    <t>Puedo comer de todo</t>
  </si>
  <si>
    <t>Verónica Juárez Amaya</t>
  </si>
  <si>
    <t>Solo apoyo emocional</t>
  </si>
  <si>
    <t>salbutamol</t>
  </si>
  <si>
    <t>Ian Sael</t>
  </si>
  <si>
    <t>Polvo</t>
  </si>
  <si>
    <t>Pérez Jacinto</t>
  </si>
  <si>
    <t>Ian Sael Pérez Jacinto</t>
  </si>
  <si>
    <t>Salbutamol Inhalador</t>
  </si>
  <si>
    <t>55 1244 4735</t>
  </si>
  <si>
    <t>Vanessa Shelem</t>
  </si>
  <si>
    <t>Gutierrez Herrera</t>
  </si>
  <si>
    <t>iansaelpeja82@gmail.com</t>
  </si>
  <si>
    <t>Vanessa Shelem Gutierrez Herrera</t>
  </si>
  <si>
    <t>Zayuri Anai</t>
  </si>
  <si>
    <t>Jardon Ramirez</t>
  </si>
  <si>
    <t>Come de todo, más los tacos y agua de horchata</t>
  </si>
  <si>
    <t>Zayuri Anai Jardon Ramirez</t>
  </si>
  <si>
    <t>vans.guth17@aefcm.nuevaescuela.mx</t>
  </si>
  <si>
    <t>samantha.ispj@editmusa.com.mx</t>
  </si>
  <si>
    <t>zayu_any62yam@hotmail.com</t>
  </si>
  <si>
    <t>Omar Moroni Gutierrez Esparza</t>
  </si>
  <si>
    <t>moroni_wide@yahoo.com</t>
  </si>
  <si>
    <t>Elizabeth Ramírez Prudencio</t>
  </si>
  <si>
    <t>chabeli65lyz@hotmail.com</t>
  </si>
  <si>
    <t>Marcela Herrera Lopez</t>
  </si>
  <si>
    <t>HEKEYSHEM@yahoo.com</t>
  </si>
  <si>
    <t>Reacción a la exposición intensa al sol</t>
  </si>
  <si>
    <t>1-agua termal, 2-loratadina</t>
  </si>
  <si>
    <t>Rinitis alérgica</t>
  </si>
  <si>
    <t>Luca</t>
  </si>
  <si>
    <t>Nariz</t>
  </si>
  <si>
    <t>Iniestra Poblete</t>
  </si>
  <si>
    <t>lucainiestrapoblete@gmail.com</t>
  </si>
  <si>
    <t>Alimentos sin queso</t>
  </si>
  <si>
    <t>Israel Iniestra Coria</t>
  </si>
  <si>
    <t>Dilan Axel</t>
  </si>
  <si>
    <t>israelic4@gmail.com</t>
  </si>
  <si>
    <t>Maqueda Moyer</t>
  </si>
  <si>
    <t>Dilan Axel Maqueda Moyer</t>
  </si>
  <si>
    <t>Luna Daniela De Guadalupe</t>
  </si>
  <si>
    <t>Vanesa Poblete Jerez</t>
  </si>
  <si>
    <t>Piña Trejo</t>
  </si>
  <si>
    <t>solvanepo@gmail.com</t>
  </si>
  <si>
    <t>Luna Daniela De Guadalupe Piña Trejo</t>
  </si>
  <si>
    <t>dilan_axel397@icloud.com</t>
  </si>
  <si>
    <t>Autismo tipo uno</t>
  </si>
  <si>
    <t>Fabián Maqueda</t>
  </si>
  <si>
    <t>Le cuesta trabajo sociabilizar , su lenguaje en muy rápido, es muy literal y sumamente obediente. Es participativo</t>
  </si>
  <si>
    <t>lunadan.2008@gmail.com</t>
  </si>
  <si>
    <t>fabo7093@gmail.com</t>
  </si>
  <si>
    <t>Pureza Trejo Lazaro</t>
  </si>
  <si>
    <t>purezat.30@gmail.com</t>
  </si>
  <si>
    <t>Ibuprofeno</t>
  </si>
  <si>
    <t>Christopher Jafeth</t>
  </si>
  <si>
    <t>Quiroz Fierro</t>
  </si>
  <si>
    <t>Christopher Jafeth Quiroz Fierro</t>
  </si>
  <si>
    <t>christopherq020@gmail.com</t>
  </si>
  <si>
    <t>Marla Hatsiri Fierro Alquicira</t>
  </si>
  <si>
    <t>José Miguel</t>
  </si>
  <si>
    <t>Flores Baltazar</t>
  </si>
  <si>
    <t>marla93fieal@gmail.com</t>
  </si>
  <si>
    <t>José Miguel Flores Baltazar</t>
  </si>
  <si>
    <t>paracetamol, ibuprofeno, loperamida, loratadina, clorfenamina, syncol, builtisina</t>
  </si>
  <si>
    <t>Josemiguelfloresbaltazar@gmail.com</t>
  </si>
  <si>
    <t>No come picante</t>
  </si>
  <si>
    <t>Karina Baltazar Chaparro</t>
  </si>
  <si>
    <t>Karinabaltazar3@gmail.com</t>
  </si>
  <si>
    <t>Paola Alejandra</t>
  </si>
  <si>
    <t>Sandoval Ramírez</t>
  </si>
  <si>
    <t>Paola Alejandra Sandoval Ramírez</t>
  </si>
  <si>
    <t>paoalejandra31@gmail.com</t>
  </si>
  <si>
    <t>Nimesulida y cefalexina</t>
  </si>
  <si>
    <t>Manuel Sandoval</t>
  </si>
  <si>
    <t>55 4139 7582</t>
  </si>
  <si>
    <t>Asiste a terapia psicológica y lleva tratamiento psiquiatrico</t>
  </si>
  <si>
    <t>Danna Paola</t>
  </si>
  <si>
    <t>Laija Mendez</t>
  </si>
  <si>
    <t>Danna Paola Laija Mendez</t>
  </si>
  <si>
    <t>Allisson Greisy</t>
  </si>
  <si>
    <t>laijamendezdannapaola@gmail.com</t>
  </si>
  <si>
    <t>no comer mayonesa ni picante</t>
  </si>
  <si>
    <t>Mendez Ornelas</t>
  </si>
  <si>
    <t>Jose Carlos Laija Merino</t>
  </si>
  <si>
    <t>carloslaija3@gmail.com</t>
  </si>
  <si>
    <t>Allisson Greisy Mendez Ornelas</t>
  </si>
  <si>
    <t>Diego Alejandro</t>
  </si>
  <si>
    <t>ornelasornelasallisson@gmail.com</t>
  </si>
  <si>
    <t>Rodriguez Mendoza</t>
  </si>
  <si>
    <t>Diego Alejandro Rodriguez Mendoza</t>
  </si>
  <si>
    <t>Jose Méndez Zamora</t>
  </si>
  <si>
    <t>jos.men.zam@gmail.com</t>
  </si>
  <si>
    <t>duty10x.29@gmail.com</t>
  </si>
  <si>
    <t>penicilina</t>
  </si>
  <si>
    <t>Jared</t>
  </si>
  <si>
    <t>Godinez Moncada</t>
  </si>
  <si>
    <t>Monica Mendoza</t>
  </si>
  <si>
    <t>Jared Godinez Moncada</t>
  </si>
  <si>
    <t>monymendoza1984@gmail.com</t>
  </si>
  <si>
    <t>jaredgodinez@icloud.com</t>
  </si>
  <si>
    <t>Iliana Moncada Flores</t>
  </si>
  <si>
    <t>ilianamoncada@live.com</t>
  </si>
  <si>
    <t>Picacho</t>
  </si>
  <si>
    <t>Presidentes Ward</t>
  </si>
  <si>
    <t>julricardo90@gmail.com</t>
  </si>
  <si>
    <t>Ricardo Juarez Landeros</t>
  </si>
  <si>
    <t>Rinitis Alérgica</t>
  </si>
  <si>
    <t>Levocetirizina y Mometasona</t>
  </si>
  <si>
    <t>Maria Elizabeth</t>
  </si>
  <si>
    <t>Miranda Mendoza</t>
  </si>
  <si>
    <t>Maria Elizabeth Miranda Mendoza</t>
  </si>
  <si>
    <t>merie2818@gmail.com</t>
  </si>
  <si>
    <t>Antonio miranda sanchez</t>
  </si>
  <si>
    <t>Vivian Gissele</t>
  </si>
  <si>
    <t>marie2818@gmail.com</t>
  </si>
  <si>
    <t>López China</t>
  </si>
  <si>
    <t>Vivian Gissele López China</t>
  </si>
  <si>
    <t>vigilochi09@gmail.com</t>
  </si>
  <si>
    <t>Luz Elena</t>
  </si>
  <si>
    <t>Mónica Esperanza China Gutiérrez</t>
  </si>
  <si>
    <t>monicachina2@gmail.com</t>
  </si>
  <si>
    <t>Ortíz Urzúa</t>
  </si>
  <si>
    <t>Luz Elena Ortíz Urzúa</t>
  </si>
  <si>
    <t>Juan Carlos López Disner</t>
  </si>
  <si>
    <t>carlos.lopez@americamovil.com</t>
  </si>
  <si>
    <t>Dulce Gabriela</t>
  </si>
  <si>
    <t>lortizu.6@gmail.com</t>
  </si>
  <si>
    <t>Dulce Gabriela Laija Mendez</t>
  </si>
  <si>
    <t>Araceli Urzúa García</t>
  </si>
  <si>
    <t>55 1044 3891</t>
  </si>
  <si>
    <t>lepepu@yahoo.com</t>
  </si>
  <si>
    <t>dulmaydanna@gmail.com</t>
  </si>
  <si>
    <t>No comer picante</t>
  </si>
  <si>
    <t>Juan Carlos Ortíz González</t>
  </si>
  <si>
    <t>jortizg_6@hotmail.com</t>
  </si>
  <si>
    <t>aruna angelica</t>
  </si>
  <si>
    <t>gonzalez martinez</t>
  </si>
  <si>
    <t>ibuprofeno , ketorolaco, aspirina, loratadina</t>
  </si>
  <si>
    <t>arunaamanecer@gmail.com</t>
  </si>
  <si>
    <t>alma angelica martinez carrasco</t>
  </si>
  <si>
    <t>almamcarrasco@gmail.com</t>
  </si>
  <si>
    <t xml:space="preserve"> necesita tomar el medicamento: Propranolol
1/2 pastilla en la mañana y
1/2 pastilla en la noche.
Cuando se agita mucho con algún ejercicio o esfuerzo, se siente cansada y le da mareos.
Mamá de la joven: Araceli Ursua García
Tel: 5539984743</t>
  </si>
  <si>
    <t>Disautonomia</t>
  </si>
  <si>
    <t>Afección del ritmo cardíaco</t>
  </si>
  <si>
    <t>Solo evitar que se agite mucho</t>
  </si>
  <si>
    <t>cirugia de nariz</t>
  </si>
  <si>
    <t>Jose Emilio</t>
  </si>
  <si>
    <t>Arias Jiménez</t>
  </si>
  <si>
    <t>Jessica Brenda</t>
  </si>
  <si>
    <t>Castillo Pacheco</t>
  </si>
  <si>
    <t>Jose Emilio Arias Jiménez</t>
  </si>
  <si>
    <t>Jessica Brenda Castillo Pacheco</t>
  </si>
  <si>
    <t>Daniel Emanuel</t>
  </si>
  <si>
    <t>González Otero</t>
  </si>
  <si>
    <t>Daniel Emanuel González Otero</t>
  </si>
  <si>
    <t>jessica.cast@gmail.com</t>
  </si>
  <si>
    <t>emilioariasgremblin@gmail.com</t>
  </si>
  <si>
    <t>Maricruz Pacheco</t>
  </si>
  <si>
    <t>Mariana Jimenez Uribe</t>
  </si>
  <si>
    <t>dytton.dego@gmail.com</t>
  </si>
  <si>
    <t>marianapenina@gmail.com</t>
  </si>
  <si>
    <t>No consume alimentos con picante, no salsas, no chile,</t>
  </si>
  <si>
    <t>José Manuel González Vega</t>
  </si>
  <si>
    <t>govejmanuel@gmail.com</t>
  </si>
  <si>
    <t>Guadalupe Otero Angel</t>
  </si>
  <si>
    <t>psic.goangel@gmail.com</t>
  </si>
  <si>
    <t>Santiago</t>
  </si>
  <si>
    <t>Ramirez Guevara</t>
  </si>
  <si>
    <t>Santiago Ramirez Guevara</t>
  </si>
  <si>
    <t>yuri-guevara@outlook.com</t>
  </si>
  <si>
    <t>Erik Ramirez Guevara</t>
  </si>
  <si>
    <t>Karen Mariel</t>
  </si>
  <si>
    <t>Bastida Vargas</t>
  </si>
  <si>
    <t>Karen Mariel Bastida Vargas</t>
  </si>
  <si>
    <t>deficit de atencion</t>
  </si>
  <si>
    <t>bastidakm@gmail.com</t>
  </si>
  <si>
    <t>Matías Gonzalo</t>
  </si>
  <si>
    <t>Carmona Ríos</t>
  </si>
  <si>
    <t>Juan José Bastida Ramirez</t>
  </si>
  <si>
    <t>jjbastida@yahoo.com</t>
  </si>
  <si>
    <t>Ian Santiago</t>
  </si>
  <si>
    <t>carmonamatias50@gmail.com</t>
  </si>
  <si>
    <t>Torres Cedillo</t>
  </si>
  <si>
    <t>Ian Santiago Torres Cedillo</t>
  </si>
  <si>
    <t>No me gusta las comidas picantes y la palta</t>
  </si>
  <si>
    <t>José Carlos Carmona Sifuentes</t>
  </si>
  <si>
    <t>jcarmona24@gmail.com</t>
  </si>
  <si>
    <t>claudia.cedilloram@gmail.com</t>
  </si>
  <si>
    <t>Sin alergias, puede comer de todo.</t>
  </si>
  <si>
    <t>CLAUDIA PATRICIA</t>
  </si>
  <si>
    <t>Garfias Cruz</t>
  </si>
  <si>
    <t>Camila Garfias Cruz</t>
  </si>
  <si>
    <t>Rodilla izquierda, reemplazo de LCM</t>
  </si>
  <si>
    <t>camilagarfias7@gmail.com</t>
  </si>
  <si>
    <t>Nara Yaneth de Garfias Cruz</t>
  </si>
  <si>
    <t>judyhop4@gmail.com</t>
  </si>
  <si>
    <t>Astrid Ines</t>
  </si>
  <si>
    <t>Rodriguez Hernandez</t>
  </si>
  <si>
    <t>Astrid Ines Rodriguez Hernandez</t>
  </si>
  <si>
    <t>rdoriguezines@gmail.com</t>
  </si>
  <si>
    <t>German Isaias</t>
  </si>
  <si>
    <t>Diaz Ocampo</t>
  </si>
  <si>
    <t>María Eugenia Hernández Gutiérrez</t>
  </si>
  <si>
    <t>German Isaias Diaz Ocampo</t>
  </si>
  <si>
    <t>mismocamino@yahoo.com.mx</t>
  </si>
  <si>
    <t>Ian es muy introvertido, le cuesta trabajo formar relaciones con personas nuevas</t>
  </si>
  <si>
    <t>germandio@hotmail.com</t>
  </si>
  <si>
    <t>Solo no consume irritantes</t>
  </si>
  <si>
    <t>Ana Lilia Ocampo Nestor</t>
  </si>
  <si>
    <t>ocamponestoral@hotmail.com</t>
  </si>
  <si>
    <t>sulfas, cacahuate</t>
  </si>
  <si>
    <t>Arantza Amairani</t>
  </si>
  <si>
    <t>Rojas Santos</t>
  </si>
  <si>
    <t>Arantza Amairani Rojas Santos</t>
  </si>
  <si>
    <t>cirugia de rodilla</t>
  </si>
  <si>
    <t>aramirs392@gmail.com</t>
  </si>
  <si>
    <t>Olga Rojas Santos</t>
  </si>
  <si>
    <t>AaronJaredOR@hotmail.es</t>
  </si>
  <si>
    <t>Oscar Israel</t>
  </si>
  <si>
    <t>Reyes Serralde</t>
  </si>
  <si>
    <t>Oscar Israel Reyes Serralde</t>
  </si>
  <si>
    <t>Daniel</t>
  </si>
  <si>
    <t>Peraza Salazar</t>
  </si>
  <si>
    <t>Daniel Peraza Salazar</t>
  </si>
  <si>
    <t>oscarusraelrs@gmail.com</t>
  </si>
  <si>
    <t>Serralde Dávila Anel</t>
  </si>
  <si>
    <t>rexperaza@gmail.com</t>
  </si>
  <si>
    <t>anelserralde@hotmail.com</t>
  </si>
  <si>
    <t>Reyes Villalobos Juan Oscar</t>
  </si>
  <si>
    <t>Abril Valentina</t>
  </si>
  <si>
    <t>Susuki Salazar Regino</t>
  </si>
  <si>
    <t>Castro Rivera</t>
  </si>
  <si>
    <t>Juanoscarvillalobos@gmail.com</t>
  </si>
  <si>
    <t>susad14@yahoo.com.mx</t>
  </si>
  <si>
    <t>Abril Valentina Castro Rivera</t>
  </si>
  <si>
    <t>abrilvcastror@gmail.com</t>
  </si>
  <si>
    <t>no me gusta ningún tipo d mariscos no como chile</t>
  </si>
  <si>
    <t>Maria de Lourdes de Castro Rivera</t>
  </si>
  <si>
    <t>marilurf@hotmail.com</t>
  </si>
  <si>
    <t>Gatos, y cambios de clima bruscos, rinitis y sinucitis</t>
  </si>
  <si>
    <t>Loratadina y montelukast</t>
  </si>
  <si>
    <t>Pino</t>
  </si>
  <si>
    <t>Asma controlado</t>
  </si>
  <si>
    <t>Mariam Analis</t>
  </si>
  <si>
    <t>La comida demasiado condimentada le da colitis</t>
  </si>
  <si>
    <t>Jimenez Rios</t>
  </si>
  <si>
    <t>Mariam Analis Jimenez Rios</t>
  </si>
  <si>
    <t>riosmariam228@gmil.com</t>
  </si>
  <si>
    <t>Camila Minerva</t>
  </si>
  <si>
    <t>Garcia Urias</t>
  </si>
  <si>
    <t>Camila Minerva Garcia Urias</t>
  </si>
  <si>
    <t>Francisco Alejandro</t>
  </si>
  <si>
    <t>Garcia Montaño</t>
  </si>
  <si>
    <t>Mirtza Elizabeth Rios López</t>
  </si>
  <si>
    <t>Francisco Alejandro Garcia Montaño</t>
  </si>
  <si>
    <t>mielrilo@gmail.com</t>
  </si>
  <si>
    <t>Calixto Gonzalez de Salceda</t>
  </si>
  <si>
    <t>camm.garciau@gmail.com</t>
  </si>
  <si>
    <t>Natalia Calixto Gonzalez de Salceda</t>
  </si>
  <si>
    <t>fcogarciaam@gmail.com</t>
  </si>
  <si>
    <t>Bruno Rey Garcia Zambrano</t>
  </si>
  <si>
    <t>natalia.calixto2009@gmail.com</t>
  </si>
  <si>
    <t>brex_garcia@hotmail.com</t>
  </si>
  <si>
    <t>Francisco García Peña</t>
  </si>
  <si>
    <t>fpena660@gmail.com</t>
  </si>
  <si>
    <t>Dieta omnivora</t>
  </si>
  <si>
    <t>Carla Yesenia Garcia Urias</t>
  </si>
  <si>
    <t>MARGARITA GONZALEZ DE SALCEDA</t>
  </si>
  <si>
    <t>Carla_uriasb@hotmail.com</t>
  </si>
  <si>
    <t>margarita.desalceda9@gmail.com</t>
  </si>
  <si>
    <t>Puerto Vallarta México Stake</t>
  </si>
  <si>
    <t>Campestre Ward</t>
  </si>
  <si>
    <t>saulbeterans@gmail.com</t>
  </si>
  <si>
    <t>Saul Beteran Sanchez</t>
  </si>
  <si>
    <t>Gatos</t>
  </si>
  <si>
    <t>Akemi Decire</t>
  </si>
  <si>
    <t>Mena Laija</t>
  </si>
  <si>
    <t>Carolina Mena Laija</t>
  </si>
  <si>
    <t>Flor Lizeth</t>
  </si>
  <si>
    <t>Akemi Decire Meza Garduño</t>
  </si>
  <si>
    <t>Ulage Parias</t>
  </si>
  <si>
    <t>Flor Lizeth Ulage Parias</t>
  </si>
  <si>
    <t>55 4759 9321</t>
  </si>
  <si>
    <t>akemimeza2019@gmail.com</t>
  </si>
  <si>
    <t>menalaijacarolina@gmail.com</t>
  </si>
  <si>
    <t>flortareas10@gmail.com</t>
  </si>
  <si>
    <t>Griselda Garduño</t>
  </si>
  <si>
    <t>grisgar72@hotmail.com</t>
  </si>
  <si>
    <t>Luis Enrique Mena Morgan</t>
  </si>
  <si>
    <t>morgaluism123@gmail.com</t>
  </si>
  <si>
    <t>Jorge Ulage Orozco</t>
  </si>
  <si>
    <t>nicoco48@hotmail.com</t>
  </si>
  <si>
    <t>Yolanda De Mena Laija</t>
  </si>
  <si>
    <t>laijayolanda@gmail.com</t>
  </si>
  <si>
    <t>Florencia de Ulage Parias</t>
  </si>
  <si>
    <t>flor-bb@hotmail.com</t>
  </si>
  <si>
    <t>polvo, polen y cucaracha</t>
  </si>
  <si>
    <t>Perla Safiro</t>
  </si>
  <si>
    <t>Epilepsia Mioclonica Juvenil</t>
  </si>
  <si>
    <t>Gaspar Acosta</t>
  </si>
  <si>
    <t>Perla Safiro Gaspar Acosta</t>
  </si>
  <si>
    <t>Solo requiere que revisen que se tome su medicamento a tiempo</t>
  </si>
  <si>
    <t>acostaperlasafiro@gmail.com</t>
  </si>
  <si>
    <t>RUBI ALEJANDRA ACOSTA HERNANDEZ</t>
  </si>
  <si>
    <t>Valentina</t>
  </si>
  <si>
    <t>Laidania</t>
  </si>
  <si>
    <t>Betancourt Frausto</t>
  </si>
  <si>
    <t>Villarreal Rocha</t>
  </si>
  <si>
    <t>Valentina Betancourt Frausto</t>
  </si>
  <si>
    <t>Laidania Villarreal Rocha</t>
  </si>
  <si>
    <t>Sol Itzel</t>
  </si>
  <si>
    <t>Navarrete Palma</t>
  </si>
  <si>
    <t>valentinabf@igu.edu.mx</t>
  </si>
  <si>
    <t>Sol Itzel Navarrete Palma</t>
  </si>
  <si>
    <t>55 8532 8242</t>
  </si>
  <si>
    <t>Por indicacion medica debe tomar minimo 1 litro y medio de agua al día, y comer alimentos que contengan fibra</t>
  </si>
  <si>
    <t>laidaniavillarreal4b@gmail.com</t>
  </si>
  <si>
    <t>Villahermosa México Stake</t>
  </si>
  <si>
    <t>Iris Yaneth Frausto Gatica</t>
  </si>
  <si>
    <t>Carrizales Ward</t>
  </si>
  <si>
    <t>iris_frausto@hotmail.com</t>
  </si>
  <si>
    <t>fernandofuentez2011@gmail.com</t>
  </si>
  <si>
    <t>palmanavarretesolitzel@gmail.com</t>
  </si>
  <si>
    <t>Pedro Fuentes Hernández</t>
  </si>
  <si>
    <t>Luis Alfredo Betancourt Rosales</t>
  </si>
  <si>
    <t>brtallerdearquitectura@hotmail.com</t>
  </si>
  <si>
    <t>Ruth Sarahi Rocha Roa</t>
  </si>
  <si>
    <t>ruthsarahirr@gmail.com</t>
  </si>
  <si>
    <t>Martha Yadira Palma Valdez</t>
  </si>
  <si>
    <t>palmamarthayadira870@gmail.com</t>
  </si>
  <si>
    <t>Nataly Yuritzin</t>
  </si>
  <si>
    <t>Cuanmen González</t>
  </si>
  <si>
    <t>Nataly Yuritzin Cuanmen González</t>
  </si>
  <si>
    <t>Niguna</t>
  </si>
  <si>
    <t>alergia estacional (rinitis alérgica)</t>
  </si>
  <si>
    <t>natgonzalez0w0@gmail.com</t>
  </si>
  <si>
    <t>Loratadina con Betametasona, Mometasona, Bromuro de Ipratropio, Pirquet.</t>
  </si>
  <si>
    <t>Lilia Gonzalez Garcia</t>
  </si>
  <si>
    <t>Azul Amayrani</t>
  </si>
  <si>
    <t>Hernandez Contreras</t>
  </si>
  <si>
    <t>azulamayranih16@gmail.com</t>
  </si>
  <si>
    <t>Ana Karen Hernandez Contreras</t>
  </si>
  <si>
    <t>karenka1990azul@gmail.com</t>
  </si>
  <si>
    <t>Cedral Ward</t>
  </si>
  <si>
    <t>infomike.ceron@gmail.com</t>
  </si>
  <si>
    <t>Miguel Ceron Ortega</t>
  </si>
  <si>
    <t>a las nueces y arañas.</t>
  </si>
  <si>
    <t>Katia Dalai</t>
  </si>
  <si>
    <t>Gonzalez Garcia</t>
  </si>
  <si>
    <t>Katia Dalai Gonzalez Garcia</t>
  </si>
  <si>
    <t>katy20021312@gmail.com</t>
  </si>
  <si>
    <t>ansiedad por presion en exceso</t>
  </si>
  <si>
    <t>Verenice Veronica Garcia Infante</t>
  </si>
  <si>
    <t>garciafamili4@gmail.com</t>
  </si>
  <si>
    <t>Estrella Marlen</t>
  </si>
  <si>
    <t>Chávez Trejo</t>
  </si>
  <si>
    <t>Estrella Marlen Chávez Trejo</t>
  </si>
  <si>
    <t>marlenestrella03@gmail.com</t>
  </si>
  <si>
    <t>Zurika Marlen Chavez Trejo</t>
  </si>
  <si>
    <t>marlentrejochavez25@gmail.com</t>
  </si>
  <si>
    <t>Christian Ivan</t>
  </si>
  <si>
    <t>Christian Ivan Piña Trejo</t>
  </si>
  <si>
    <t>jrchips.01@gmail.com</t>
  </si>
  <si>
    <t>Isaac</t>
  </si>
  <si>
    <t>Barron Dominguez</t>
  </si>
  <si>
    <t>no le gusta la cebolla</t>
  </si>
  <si>
    <t>Isaac Barron Dominguez</t>
  </si>
  <si>
    <t>Christian Iván Piña Sanchez</t>
  </si>
  <si>
    <t>chips.3082@gmail.com</t>
  </si>
  <si>
    <t>ansiedad se muerde las uñas</t>
  </si>
  <si>
    <t>Hiram</t>
  </si>
  <si>
    <t>isaac.barron.dominguez@missionary.org</t>
  </si>
  <si>
    <t>Elias Uribe</t>
  </si>
  <si>
    <t>Hiram Elias Uribe</t>
  </si>
  <si>
    <t>Claudia Dominguez</t>
  </si>
  <si>
    <t>dh.claus26@gmail.com</t>
  </si>
  <si>
    <t>Aylin Danae</t>
  </si>
  <si>
    <t>hiramuribe.2011@gmail.com</t>
  </si>
  <si>
    <t>Hernandez Nunez</t>
  </si>
  <si>
    <t>Ninguna restricción</t>
  </si>
  <si>
    <t>Maria de Lourde Sosa Pavon</t>
  </si>
  <si>
    <t>florecitasp.68@gmail.com</t>
  </si>
  <si>
    <t>dansitazh@gmail.com</t>
  </si>
  <si>
    <t>Maria Isabel Nuñez Osnaya</t>
  </si>
  <si>
    <t>Cefalaxina</t>
  </si>
  <si>
    <t>mariaisabelnunzosaya@gmail.com</t>
  </si>
  <si>
    <t>56 55 13 27 86</t>
  </si>
  <si>
    <t>paracetamol, ibuprofeno, loperamida, loratadina, clorfenamina</t>
  </si>
  <si>
    <t>manzana y zanahoria</t>
  </si>
  <si>
    <t>Rebeca Tamara</t>
  </si>
  <si>
    <t>Tiscareño Vazquez</t>
  </si>
  <si>
    <t>Rebeca Tamara Tiscareño Vazquez</t>
  </si>
  <si>
    <t>Luis Enrique</t>
  </si>
  <si>
    <t>Bracamontes Rodriguez</t>
  </si>
  <si>
    <t>Luis Enrique Bracamontes Rodriguez</t>
  </si>
  <si>
    <t>ansiedad y tdah</t>
  </si>
  <si>
    <t>Adriana Breguet</t>
  </si>
  <si>
    <t>luchobraca19@gmail.com</t>
  </si>
  <si>
    <t>Márquez Zamora</t>
  </si>
  <si>
    <t>tamaratiscareno@gmail.com</t>
  </si>
  <si>
    <t>Adriana Breguet Márquez Zamora</t>
  </si>
  <si>
    <t>Jorge Alberto Bracamonte Castro</t>
  </si>
  <si>
    <t>bracamontejorge49@gmail.com</t>
  </si>
  <si>
    <t>Erick Tiscareño Hernandez</t>
  </si>
  <si>
    <t>Melanie Sofia</t>
  </si>
  <si>
    <t>ericktisca@gmail.com</t>
  </si>
  <si>
    <t>nanizaro@yahoo.com.mx</t>
  </si>
  <si>
    <t>Montes Martinez</t>
  </si>
  <si>
    <t>Luz Maria Jezabel de Tiscareño Vazquez</t>
  </si>
  <si>
    <t>Melanie Sofia Montes Martinez</t>
  </si>
  <si>
    <t>Adriana Ivone Zamora Rodríguez</t>
  </si>
  <si>
    <t>jezavazquez@hotmail.com</t>
  </si>
  <si>
    <t>adyzaro44@gmail.com</t>
  </si>
  <si>
    <t>zahirmartinez098@gmail.com</t>
  </si>
  <si>
    <t>Jairo Rafael montes Gonzalez</t>
  </si>
  <si>
    <t>Penicilina, Manzana, Zanahoria</t>
  </si>
  <si>
    <t>Loraradina, Fenilefrina</t>
  </si>
  <si>
    <t>Gael Enrique</t>
  </si>
  <si>
    <t>Gomez Flores</t>
  </si>
  <si>
    <t>Gael Enrique Gomez Flores</t>
  </si>
  <si>
    <t>Lage44energy@gmail.com</t>
  </si>
  <si>
    <t>Frida Camila</t>
  </si>
  <si>
    <t>Mendez Carmona</t>
  </si>
  <si>
    <t>Frida Camila Mendez Carmona</t>
  </si>
  <si>
    <t>Casa</t>
  </si>
  <si>
    <t>Ansiedad y Depresión</t>
  </si>
  <si>
    <t>Alimentación normal. Necesario frutas y verduras</t>
  </si>
  <si>
    <t>lego_amo@hotmail.com</t>
  </si>
  <si>
    <t>Juan Carlos Lopez Disner</t>
  </si>
  <si>
    <t>mendezfridacamila@gmail.com</t>
  </si>
  <si>
    <t>Haydee Carmona Romero</t>
  </si>
  <si>
    <t>haydee_215@hotmail.com</t>
  </si>
  <si>
    <t>Antonio Kasparov</t>
  </si>
  <si>
    <t>55 3066 4884</t>
  </si>
  <si>
    <t>antonio.kasparov.calixto.morales@gmail.com</t>
  </si>
  <si>
    <t>rositamb4884@gmail.com</t>
  </si>
  <si>
    <t>Ibuprofeno y aspirina.</t>
  </si>
  <si>
    <t>Samuel</t>
  </si>
  <si>
    <t>Samuel Ruiz Sanchez</t>
  </si>
  <si>
    <t>Nayme Na</t>
  </si>
  <si>
    <t>55 1150 9500</t>
  </si>
  <si>
    <t>Chen</t>
  </si>
  <si>
    <t>samu16112003@gmail.com</t>
  </si>
  <si>
    <t>Nayme Na Chen</t>
  </si>
  <si>
    <t>Melek Adriana Sánchez Garfias</t>
  </si>
  <si>
    <t>m_baacex@hotmail.com</t>
  </si>
  <si>
    <t>chennayme@gmail.com</t>
  </si>
  <si>
    <t>Zhen Chen</t>
  </si>
  <si>
    <t>thefamilychen@gmail.com</t>
  </si>
  <si>
    <t>Aldana Cintia Chen</t>
  </si>
  <si>
    <t>aldanacinram@gmail.com</t>
  </si>
  <si>
    <t>Yoselin Yaretzi</t>
  </si>
  <si>
    <t>Soto Salinas</t>
  </si>
  <si>
    <t>Yoselin Yaretzi Soto Salinas</t>
  </si>
  <si>
    <t>Insectos y cambio estacional</t>
  </si>
  <si>
    <t>yare.soto1303@gmail.com</t>
  </si>
  <si>
    <t>Aurax (Loratadina, Betametasona), Atopix (Levocetirizina, Diclorhidrato)</t>
  </si>
  <si>
    <t>sin comentarios</t>
  </si>
  <si>
    <t>Jose Alejandro Soto Ramirez</t>
  </si>
  <si>
    <t>alejandro.soto.ya@gmail.com</t>
  </si>
  <si>
    <t>Mario</t>
  </si>
  <si>
    <t>Contreras Moreno</t>
  </si>
  <si>
    <t>Mario Contreras Moreno</t>
  </si>
  <si>
    <t>marioskroll@gmail.com</t>
  </si>
  <si>
    <t>NP</t>
  </si>
  <si>
    <t>Blanca Cecilia Moreno Gomez</t>
  </si>
  <si>
    <t>blamg.7229@gmail.com</t>
  </si>
  <si>
    <t>Angie Kristell</t>
  </si>
  <si>
    <t>Salazar Sánchez</t>
  </si>
  <si>
    <t>Angie Kristell Salazar Sánchez</t>
  </si>
  <si>
    <t>kattybb@live.com</t>
  </si>
  <si>
    <t>Joshua</t>
  </si>
  <si>
    <t>Claudia Sanchez Garcia</t>
  </si>
  <si>
    <t>Diaz Piñera</t>
  </si>
  <si>
    <t>Joshua Diaz Piñera</t>
  </si>
  <si>
    <t>Joshua.dp230@gmail.com</t>
  </si>
  <si>
    <t>Mometasona Levocetirizina</t>
  </si>
  <si>
    <t>Silvia Rubi Diaz Piñera</t>
  </si>
  <si>
    <t>rubia_lov@hotmail.com</t>
  </si>
  <si>
    <t>Jaziel</t>
  </si>
  <si>
    <t>Del Río Rodríguez</t>
  </si>
  <si>
    <t>Jaziel Del Río Rodríguez</t>
  </si>
  <si>
    <t>jazieldelrio@gmail.com</t>
  </si>
  <si>
    <t>Benito Del Rio</t>
  </si>
  <si>
    <t>Una fisura en mi clavícula y cervical</t>
  </si>
  <si>
    <t>Samantha Villarreal Rocha</t>
  </si>
  <si>
    <t>Samantha.villarreal.rocha.2025@gmail.com</t>
  </si>
  <si>
    <t>Milan Eduardo</t>
  </si>
  <si>
    <t>Oliva Padron</t>
  </si>
  <si>
    <t>Milan Eduardo Oliva Padron</t>
  </si>
  <si>
    <t>Cefalexina</t>
  </si>
  <si>
    <t>datoscontabilidad@icloud.com</t>
  </si>
  <si>
    <t>Eduardo Oliva Gomez</t>
  </si>
  <si>
    <t>lalo22liv@hotmail.com</t>
  </si>
  <si>
    <t>Oliver Eduardo</t>
  </si>
  <si>
    <t>José Ángel</t>
  </si>
  <si>
    <t>Arias Jimenez</t>
  </si>
  <si>
    <t>Félix Romero</t>
  </si>
  <si>
    <t>José Ángel Félix Romero</t>
  </si>
  <si>
    <t>Oliver Eduardo Arias Jimenez</t>
  </si>
  <si>
    <t>Piel Atopica</t>
  </si>
  <si>
    <t>angelfr6574@gmail.com</t>
  </si>
  <si>
    <t>winipooh_marsol@hotmail.com</t>
  </si>
  <si>
    <t>Jose Angel Félix Romero</t>
  </si>
  <si>
    <t>Come verduras carnes granos no es alérgico a ningún alimento</t>
  </si>
  <si>
    <t>joseott65@gmail.com</t>
  </si>
  <si>
    <t>Alberto</t>
  </si>
  <si>
    <t>chutearias2@gmail.com</t>
  </si>
  <si>
    <t>Marisol Jimenez Campizano</t>
  </si>
  <si>
    <t>Ian Maximiliano</t>
  </si>
  <si>
    <t>winipooh_marsol@hotamail.com</t>
  </si>
  <si>
    <t>Barco Gutiérrez</t>
  </si>
  <si>
    <t>Ian Maximiliano Barco Gutiérrez</t>
  </si>
  <si>
    <t>Chinampas Ward</t>
  </si>
  <si>
    <t>ha.zzy89@hotmail.com</t>
  </si>
  <si>
    <t>Jose Otilio Romero Sanchez</t>
  </si>
  <si>
    <t>Hazel Atzin Gutierrez Estrada</t>
  </si>
  <si>
    <t>estacional</t>
  </si>
  <si>
    <t>Elizabeth</t>
  </si>
  <si>
    <t>Martinez Gallegos</t>
  </si>
  <si>
    <t>Elizabeth Martinez Gallegos</t>
  </si>
  <si>
    <t>emattg2209@gmail.com</t>
  </si>
  <si>
    <t>Elizabeth Gallegos Sosa</t>
  </si>
  <si>
    <t>elizzath@hotmail.com</t>
  </si>
  <si>
    <t>Arcadio Martinez Diaz de Leon</t>
  </si>
  <si>
    <t>armadile@hotmail.com</t>
  </si>
  <si>
    <t>Iliani</t>
  </si>
  <si>
    <t>Argote López</t>
  </si>
  <si>
    <t>Iliani Argote López</t>
  </si>
  <si>
    <t>rebecaparramata097@gmail.com</t>
  </si>
  <si>
    <t>Delicias Ward</t>
  </si>
  <si>
    <t>ilianial1811@gmail.com</t>
  </si>
  <si>
    <t>Bernal Morales</t>
  </si>
  <si>
    <t>Ian Santiago Bernal Morales</t>
  </si>
  <si>
    <t>Arcadio Martinez Diaz De Leon</t>
  </si>
  <si>
    <t>Uriel Argote</t>
  </si>
  <si>
    <t>uriel.argote@gmail.com</t>
  </si>
  <si>
    <t>Jessie López</t>
  </si>
  <si>
    <t>santiagobernalmorales19@gmail.com</t>
  </si>
  <si>
    <t>jesslo131080@gmail.com</t>
  </si>
  <si>
    <t>Cesar Balam Bernal Naranjo</t>
  </si>
  <si>
    <t>cesar_balam@hotmail.com</t>
  </si>
  <si>
    <t>56 5176 7448</t>
  </si>
  <si>
    <t>Tania Anaid Morales Orozco</t>
  </si>
  <si>
    <t>taniamorales21829@gmail.com</t>
  </si>
  <si>
    <t>Ansiedad, no requiere apoyo</t>
  </si>
  <si>
    <t>56 1786 9874</t>
  </si>
  <si>
    <t>Roberto Carlos</t>
  </si>
  <si>
    <t>Resendiz Monrroy</t>
  </si>
  <si>
    <t>Roberto Carlos Resendiz Monrroy</t>
  </si>
  <si>
    <t>Aaron Yoon</t>
  </si>
  <si>
    <t>Arellanos Valdes</t>
  </si>
  <si>
    <t>roberto.resendiz3387@gmail.com</t>
  </si>
  <si>
    <t>Aaron Yoon Arellanos Valdes</t>
  </si>
  <si>
    <t>Montelukast</t>
  </si>
  <si>
    <t>Carlos Misael Resendiz Balderas</t>
  </si>
  <si>
    <t>alfredoarellanosjuarez@hotmail.com</t>
  </si>
  <si>
    <t>Daira Yaretzy</t>
  </si>
  <si>
    <t>Salas Santamaria</t>
  </si>
  <si>
    <t>Daira Yaretzy Salas Santamaria</t>
  </si>
  <si>
    <t>normal</t>
  </si>
  <si>
    <t>Alfredo Arellanos Juárez</t>
  </si>
  <si>
    <t>sonicpapita@gmail.com</t>
  </si>
  <si>
    <t>Adriana Santamaria Beltrán</t>
  </si>
  <si>
    <t>Dana Ivette</t>
  </si>
  <si>
    <t>adrixsanbel@gmail.com</t>
  </si>
  <si>
    <t>Chavero Gonzalez</t>
  </si>
  <si>
    <t>Dana Ivette Chavero Gonzalez</t>
  </si>
  <si>
    <t>55-4030-2572</t>
  </si>
  <si>
    <t>danagonzalez734@gmail.com</t>
  </si>
  <si>
    <t>Jennifer Pamela Gonzalez Nava</t>
  </si>
  <si>
    <t>navapamela936@gmail.com</t>
  </si>
  <si>
    <t>56-2824-4573</t>
  </si>
  <si>
    <t>dermatitis atopica (alergia en la piel)</t>
  </si>
  <si>
    <t>dermatitis atopica</t>
  </si>
  <si>
    <t>Josue Jared</t>
  </si>
  <si>
    <t>Alvarez Zamora</t>
  </si>
  <si>
    <t>varicela</t>
  </si>
  <si>
    <t>Josue Jared Alvarez Zamora</t>
  </si>
  <si>
    <t>principios de depresión</t>
  </si>
  <si>
    <t>josujared@hotmail.com</t>
  </si>
  <si>
    <t>Beatriz zamora dominguez</t>
  </si>
  <si>
    <t>bzamoradominguez@yahoo.com</t>
  </si>
  <si>
    <t>Santiago Luis</t>
  </si>
  <si>
    <t>Sequeira Palma</t>
  </si>
  <si>
    <t>Emilio</t>
  </si>
  <si>
    <t>Nninguna</t>
  </si>
  <si>
    <t>Santiago Luis Sequeira Palma</t>
  </si>
  <si>
    <t>Emilio Lazcano Sánchez</t>
  </si>
  <si>
    <t>emiliolazcano158@gmail.com</t>
  </si>
  <si>
    <t>santiago.sequeira.p@gmail.com</t>
  </si>
  <si>
    <t>Yaretzi Asenath</t>
  </si>
  <si>
    <t>Fernandez Sanchez</t>
  </si>
  <si>
    <t>Yairo Sequeira</t>
  </si>
  <si>
    <t>Yaretzi Asenath Fernandez Sanchez</t>
  </si>
  <si>
    <t>55 4690 0783</t>
  </si>
  <si>
    <t>Ysequeira@gmail.com</t>
  </si>
  <si>
    <t>pandapro169@outlook.com</t>
  </si>
  <si>
    <t>Arfania Sanchez Lopez</t>
  </si>
  <si>
    <t>arfaniasanchez@gmail.com</t>
  </si>
  <si>
    <t>Yonatan Javier</t>
  </si>
  <si>
    <t>Reyes Castro</t>
  </si>
  <si>
    <t>Yonatan Javier Reyes Castro</t>
  </si>
  <si>
    <t>reyesyonatan49@gmail.com</t>
  </si>
  <si>
    <t>Graciela Castro Hernández</t>
  </si>
  <si>
    <t>algunas mascotas, pero, gatos, conejos</t>
  </si>
  <si>
    <t>yonatanreyes801@gmail.com</t>
  </si>
  <si>
    <t>TEA LEVE le cuesta entender la ironía, sarcasmo.. es literal en su entendimiento y eso le frustra aveces.. pero es manejable.</t>
  </si>
  <si>
    <t>loratadina para los sintomas</t>
  </si>
  <si>
    <t>Nickole</t>
  </si>
  <si>
    <t>Espinoza vargas</t>
  </si>
  <si>
    <t>Tuxtepec México Stake</t>
  </si>
  <si>
    <t>Ciudad Alemán Branch</t>
  </si>
  <si>
    <t>ArtMedina50@icloud.com</t>
  </si>
  <si>
    <t>espinozaluisenrique734@gmail.com</t>
  </si>
  <si>
    <t>Arturo Medina Sosa</t>
  </si>
  <si>
    <t>Carlos Leonel</t>
  </si>
  <si>
    <t>Bustos López</t>
  </si>
  <si>
    <t>Carlos Leonel Bustos López</t>
  </si>
  <si>
    <t>Luis enrique espinoza campos</t>
  </si>
  <si>
    <t>carlosleonelbustoslopez@gmail.com</t>
  </si>
  <si>
    <t>Depresión mixta</t>
  </si>
  <si>
    <t>Deifobo Leonel Bustos Diaz</t>
  </si>
  <si>
    <t>lbd5@hotmail.com</t>
  </si>
  <si>
    <t>Psicólogico y psiquiatría</t>
  </si>
  <si>
    <t>Jenny Aribel Lopez Zarate</t>
  </si>
  <si>
    <t>jennyaribel@gmail.com</t>
  </si>
  <si>
    <t>Loranca Cabrera</t>
  </si>
  <si>
    <t>Daniel Loranca Cabrera</t>
  </si>
  <si>
    <t>55 3196 4207</t>
  </si>
  <si>
    <t>dani_lorana@outlook.es</t>
  </si>
  <si>
    <t>Ivonne Loranca Cabrera</t>
  </si>
  <si>
    <t>ivloranca@hotmail.com</t>
  </si>
  <si>
    <t>En ocasiones le dan episodios de ansiedad ligera cuando no tiene actividad física , cuando le da el episodio le sudan las manos y quiere irse a dormir la forma de ayudarle es que la pongan a ayudarle a ustedes a hacer cosas para que se entretenga y se relaja</t>
  </si>
  <si>
    <t>Alergia al Frío</t>
  </si>
  <si>
    <t>Ernesto</t>
  </si>
  <si>
    <t>Alvarez</t>
  </si>
  <si>
    <t>Montelucast</t>
  </si>
  <si>
    <t>Luna Ali</t>
  </si>
  <si>
    <t>Perez Perez</t>
  </si>
  <si>
    <t>ernestoalucha@gmail.com</t>
  </si>
  <si>
    <t>monnixmonni@gmail.com</t>
  </si>
  <si>
    <t>Edgar Alvarez</t>
  </si>
  <si>
    <t>alceac.74@gmail.com</t>
  </si>
  <si>
    <t>Ali Atzimba Perez Valdes</t>
  </si>
  <si>
    <t>aliatziper16@gmail.com</t>
  </si>
  <si>
    <t>Amy Susett</t>
  </si>
  <si>
    <t>San Pedro Mártir 1st Ward</t>
  </si>
  <si>
    <t>amysusettsalazarolvera@gmail.com</t>
  </si>
  <si>
    <t>floresno@churchofjesuschrist.org</t>
  </si>
  <si>
    <t>NOE FLORES SANTILLAN</t>
  </si>
  <si>
    <t>Maria</t>
  </si>
  <si>
    <t>garciamm_25@hotmail.com</t>
  </si>
  <si>
    <t>Pelo de animales</t>
  </si>
  <si>
    <t>citalopram</t>
  </si>
  <si>
    <t>distimia</t>
  </si>
  <si>
    <t>Gerardo Isaac</t>
  </si>
  <si>
    <t>Bazan Enriquez</t>
  </si>
  <si>
    <t>Gerardo Isaac Bazan Enriquez</t>
  </si>
  <si>
    <t>Gabriel Augusto</t>
  </si>
  <si>
    <t>Gutiérrez Lobo</t>
  </si>
  <si>
    <t>Gabriel Augusto Gutiérrez Lobo</t>
  </si>
  <si>
    <t>supremoespartan@gmail.com</t>
  </si>
  <si>
    <t>962 166 1186</t>
  </si>
  <si>
    <t>Scarlette Vianey Enriquez Correa</t>
  </si>
  <si>
    <t>Misael</t>
  </si>
  <si>
    <t>meliguti_1@hotmail.com</t>
  </si>
  <si>
    <t>skabazanenriquez@gmail.com</t>
  </si>
  <si>
    <t>Ramirez Ramirez</t>
  </si>
  <si>
    <t>Misael Ramirez Ramirez</t>
  </si>
  <si>
    <t>Ninguna alergia y come de todo tipo de alimentos</t>
  </si>
  <si>
    <t>Melissa Gutiérrez Zavala</t>
  </si>
  <si>
    <t>misaelrams137@gmail.com</t>
  </si>
  <si>
    <t>Amecameca México Stake</t>
  </si>
  <si>
    <t>San Pedro Nexapa Ward</t>
  </si>
  <si>
    <t>fplazas68@gmail.com</t>
  </si>
  <si>
    <t>Felipe Plazas Rivera</t>
  </si>
  <si>
    <t>Resequedad en la piel</t>
  </si>
  <si>
    <t>Bryan Emanuelle</t>
  </si>
  <si>
    <t>Navarrete Morales</t>
  </si>
  <si>
    <t>braulionvrrt@gmail.com</t>
  </si>
  <si>
    <t>El joven tiende a tener ansiedad</t>
  </si>
  <si>
    <t>Braulio Ivan Navarrete Velázquez</t>
  </si>
  <si>
    <t>Naomi Refugio</t>
  </si>
  <si>
    <t>Samantha Viridiana Morales Villicaña</t>
  </si>
  <si>
    <t>Rojas Lopez Arteaga</t>
  </si>
  <si>
    <t>Braulion990@gmail.com</t>
  </si>
  <si>
    <t>Naomi Refugio Rojas Lopez Arteaga</t>
  </si>
  <si>
    <t>Maite Fernanda</t>
  </si>
  <si>
    <t>arteaganaomi0@gmail.com</t>
  </si>
  <si>
    <t>San Miguel Orozco</t>
  </si>
  <si>
    <t>Maite Fernanda San Miguel Orozco</t>
  </si>
  <si>
    <t>usanmiguel@gmail.com</t>
  </si>
  <si>
    <t>Juan Ulises San Miguel Medina</t>
  </si>
  <si>
    <t>Araceli Orozco Brito</t>
  </si>
  <si>
    <t>aorozcopissa@gmail.com</t>
  </si>
  <si>
    <t>.</t>
  </si>
  <si>
    <t>Operación en pie izquierdo</t>
  </si>
  <si>
    <t>Ansiedad pero normal no es grave</t>
  </si>
  <si>
    <t>Adair</t>
  </si>
  <si>
    <t>Morales Benhumea</t>
  </si>
  <si>
    <t>Adair Morales Benhumea</t>
  </si>
  <si>
    <t>adairmorbenh@gmail.com</t>
  </si>
  <si>
    <t>nada</t>
  </si>
  <si>
    <t>Hector Morales</t>
  </si>
  <si>
    <t>h_morales21@yahoo.com.mx</t>
  </si>
  <si>
    <t xml:space="preserve">CONSEJEROS </t>
  </si>
  <si>
    <t>no</t>
  </si>
  <si>
    <t>Angel Joel</t>
  </si>
  <si>
    <t>Beltran Aces</t>
  </si>
  <si>
    <t>Angel Joel Beltran Aces</t>
  </si>
  <si>
    <t>beltranaces@gmail.com</t>
  </si>
  <si>
    <t>Jatziri aces</t>
  </si>
  <si>
    <t>Ashly</t>
  </si>
  <si>
    <t>acesjatziry@gmail.com</t>
  </si>
  <si>
    <t>Ninguna en específico</t>
  </si>
  <si>
    <t>Ashly Diaz Piñera</t>
  </si>
  <si>
    <t>55 4270 8889</t>
  </si>
  <si>
    <t>ruby.dps16@gmail.com</t>
  </si>
  <si>
    <t>Ashly diaz</t>
  </si>
  <si>
    <t>ashlyrobotic8@gmail.com</t>
  </si>
  <si>
    <t>Rubí díaz</t>
  </si>
  <si>
    <t>Esteban Zaid</t>
  </si>
  <si>
    <t>Juárez López</t>
  </si>
  <si>
    <t>La participante llevará su medicamento</t>
  </si>
  <si>
    <t>Esteban Zaid Juárez López</t>
  </si>
  <si>
    <t>Epilepsia Mioclónica Juvenil</t>
  </si>
  <si>
    <t>cesar_juarez1209@hotmail.com</t>
  </si>
  <si>
    <t>Tiene epilepsia mioclonica juvenil, lo único que requiere de apoyo es que estén al pendiente de que se tome sus pastillas a tiempo</t>
  </si>
  <si>
    <t>sin problemas de alimentacion</t>
  </si>
  <si>
    <t>cesar juarez velazquez</t>
  </si>
  <si>
    <t>Kevin</t>
  </si>
  <si>
    <t>Gonzalez Alvarez</t>
  </si>
  <si>
    <t>Kevin Gonzalez Alvarez</t>
  </si>
  <si>
    <t>kalvinglez@hotmail.com</t>
  </si>
  <si>
    <t>Irma Álvarez Pérez</t>
  </si>
  <si>
    <t>irmaalvarez0265@gmail.com</t>
  </si>
  <si>
    <t>Mayra Yenin</t>
  </si>
  <si>
    <t>Argueta Cruz</t>
  </si>
  <si>
    <t>Mayra Yenin Argueta Cruz</t>
  </si>
  <si>
    <t>mayrayenin@gmail.com</t>
  </si>
  <si>
    <t>Joel Argueta</t>
  </si>
  <si>
    <t>Joelarguetam@hotmail.com</t>
  </si>
  <si>
    <t>Saltillo México República Stake</t>
  </si>
  <si>
    <t>Manantiales Ward</t>
  </si>
  <si>
    <t>gilberto.cayo@gmail.com</t>
  </si>
  <si>
    <t>Gilberto Emilio Cayo Maturana</t>
  </si>
  <si>
    <t>Amy Yahel</t>
  </si>
  <si>
    <t>Flores Tlapale</t>
  </si>
  <si>
    <t>pandisamy169@gmail.com</t>
  </si>
  <si>
    <t>Oliblish Sarahi Tlapale Reyes</t>
  </si>
  <si>
    <t>sarytlapale@gmail.com</t>
  </si>
  <si>
    <t>Christopher Erick</t>
  </si>
  <si>
    <t>Martinez Escobedo</t>
  </si>
  <si>
    <t>Christopher Erick Martinez Escobedo</t>
  </si>
  <si>
    <t>fraandemartinez@gmail.com</t>
  </si>
  <si>
    <t>Fernando dominguez jimenez</t>
  </si>
  <si>
    <t>Andrea Loezzy</t>
  </si>
  <si>
    <t>Morales Rosales</t>
  </si>
  <si>
    <t>Andrea Loezzy Morales Rosales</t>
  </si>
  <si>
    <t>andyloezzy@gmail.com</t>
  </si>
  <si>
    <t>Ninguno</t>
  </si>
  <si>
    <t>Brenda Karina Rosales Flores</t>
  </si>
  <si>
    <t>brenda.rosalesf@gmail.com</t>
  </si>
  <si>
    <t>Marco Antonio Morales Hernández</t>
  </si>
  <si>
    <t>mmoraleshe@yahoo.com</t>
  </si>
  <si>
    <t>Andre Nicolas</t>
  </si>
  <si>
    <t>Jessica Aylin</t>
  </si>
  <si>
    <t>Carbonell Gómez</t>
  </si>
  <si>
    <t>Andre Nicolas Carbonell Gómez</t>
  </si>
  <si>
    <t>Nopaltitla Jimenez</t>
  </si>
  <si>
    <t>Jessica Aylin Nopaltitla Jimenez</t>
  </si>
  <si>
    <t>andrecarbonel0@gmail.com</t>
  </si>
  <si>
    <t>jessicanopal8@gmail.com</t>
  </si>
  <si>
    <t>Nancy Mascareñas Gomez Mascareñas</t>
  </si>
  <si>
    <t>Consuelo Ivett Jimenez Torre</t>
  </si>
  <si>
    <t>ariadnanopaltitla309@gmail.com</t>
  </si>
  <si>
    <t>Frida Natalia</t>
  </si>
  <si>
    <t>Salazar Reyes</t>
  </si>
  <si>
    <t>Frida Natalia Salazar Reyes</t>
  </si>
  <si>
    <t>nats1716@gmail.com</t>
  </si>
  <si>
    <t>Rebeca Reyes</t>
  </si>
  <si>
    <t>matecv4.rrb@gmail.com</t>
  </si>
  <si>
    <t>migraña</t>
  </si>
  <si>
    <t>Juan Aaron</t>
  </si>
  <si>
    <t>Hernandez Ventura</t>
  </si>
  <si>
    <t>Juan Aaron Hernandez Ventura</t>
  </si>
  <si>
    <t>Sertralina 50 MG en las noches, dos tabletas, Alprazolam 25 Mg solo en caso de emergencia</t>
  </si>
  <si>
    <t>56 6161 7944</t>
  </si>
  <si>
    <t>venturadamianandrea@gmail.com</t>
  </si>
  <si>
    <t>Valery Koral</t>
  </si>
  <si>
    <t>Signos de Trastornos límite de la personalidad</t>
  </si>
  <si>
    <t>Andrea Ventura Damian</t>
  </si>
  <si>
    <t>Merlín Herrera</t>
  </si>
  <si>
    <t>Valery Koral Merlín Herrera</t>
  </si>
  <si>
    <t>huesitalaura@hotmail.com</t>
  </si>
  <si>
    <t>Dariant Fernanda</t>
  </si>
  <si>
    <t>Lopez Zepeda</t>
  </si>
  <si>
    <t>La joven come de todo tipo de comida</t>
  </si>
  <si>
    <t>Dariant Fernanda Lopez Zepeda</t>
  </si>
  <si>
    <t>Lesly Marina Herrera Hernández</t>
  </si>
  <si>
    <t>mh2494970@gmail.com</t>
  </si>
  <si>
    <t>56 3219 1426</t>
  </si>
  <si>
    <t>Dariant2001@hotmail.com</t>
  </si>
  <si>
    <t>Sonia Carmen Zepeda Portillo</t>
  </si>
  <si>
    <t>karenezp@gmail.com</t>
  </si>
  <si>
    <t>Citlali Elisabet</t>
  </si>
  <si>
    <t>Rosas Alcántara</t>
  </si>
  <si>
    <t>Citlali Elisabet Rosas Alcántara</t>
  </si>
  <si>
    <t>Sinusitis</t>
  </si>
  <si>
    <t>citlali.elisabet.rosas@gmail.com</t>
  </si>
  <si>
    <t>Victor Manuel Rosas Fonseca</t>
  </si>
  <si>
    <t>La joven tiene un soplo en el corazón que no le permite participa en actividades de alto rendimiento o que requiera mucha actividad física. No puede sobre exaltarse</t>
  </si>
  <si>
    <t>vrosas.laboral@gmail.com</t>
  </si>
  <si>
    <t>Josue</t>
  </si>
  <si>
    <t>Alejandra Alcantara Ramirez</t>
  </si>
  <si>
    <t>Galindo Muñoz</t>
  </si>
  <si>
    <t>alear24feb@hotmail.com</t>
  </si>
  <si>
    <t>JGalindo2004@outlook.com</t>
  </si>
  <si>
    <t>Jorge Maximiliano</t>
  </si>
  <si>
    <t>Bárbara Adriana Muñoz Chávez</t>
  </si>
  <si>
    <t>Cuevas Zamilpa</t>
  </si>
  <si>
    <t>bamc777@hotmail.com</t>
  </si>
  <si>
    <t>Jorge Maximiliano Cuevas Zamilpa</t>
  </si>
  <si>
    <t>zamilpazulema@outlook.com</t>
  </si>
  <si>
    <t>Sin restriction dietetica</t>
  </si>
  <si>
    <t>Jorge Rey Cuevas Martinez</t>
  </si>
  <si>
    <t>jorge.reycuevas@gmail.com</t>
  </si>
  <si>
    <t>ZULEMA ZAMILPA RIVERA</t>
  </si>
  <si>
    <t>Canales Olvera</t>
  </si>
  <si>
    <t>Jostin Alberto</t>
  </si>
  <si>
    <t>Martinez Rosas</t>
  </si>
  <si>
    <t>Jostin Alberto Martinez Rosas</t>
  </si>
  <si>
    <t>jm5602636@gmail.com</t>
  </si>
  <si>
    <t>Thelma Rosas</t>
  </si>
  <si>
    <t>thelmagarcia20042018@gmail.com</t>
  </si>
  <si>
    <t>Blanca Lesdy Olvera Palacios</t>
  </si>
  <si>
    <t>Hyrum</t>
  </si>
  <si>
    <t>Rodriguez Beltran</t>
  </si>
  <si>
    <t>Hyrum Rodriguez Beltran</t>
  </si>
  <si>
    <t>rodriguezbeltranhyrum62@gmail.com</t>
  </si>
  <si>
    <t>Johana Beltran de la Rosa</t>
  </si>
  <si>
    <t>joysbelt@gmail.com</t>
  </si>
  <si>
    <t>Dylan Antonio</t>
  </si>
  <si>
    <t>Diaz Alcala</t>
  </si>
  <si>
    <t>Dylan Antonio Diaz Alcala</t>
  </si>
  <si>
    <t>dda.moon.stars@gmail.com</t>
  </si>
  <si>
    <t>Piquetes de insectos</t>
  </si>
  <si>
    <t>Claudia Angélica Alcalá Mercado</t>
  </si>
  <si>
    <t>Lizzy Daniela</t>
  </si>
  <si>
    <t>zahori1541@gmail.com</t>
  </si>
  <si>
    <t>Lizzy Daniela Morales Rosales</t>
  </si>
  <si>
    <t>Estreñimiento crónica parcial</t>
  </si>
  <si>
    <t>lizzy.moralesrosales@gmail.com</t>
  </si>
  <si>
    <t>Marco Antonio Morales Hernandez</t>
  </si>
  <si>
    <t>Brenda Karina de Morales Rosales</t>
  </si>
  <si>
    <t>Marvin Iván</t>
  </si>
  <si>
    <t>Rodríguez Quiralte</t>
  </si>
  <si>
    <t>chimpa_ivan@hotmail.com</t>
  </si>
  <si>
    <t>Jacqueline Quiralte Cornejo</t>
  </si>
  <si>
    <t>jacquelinequiralte@gmail.com</t>
  </si>
  <si>
    <t>Dificultad para realizar mucho esfuerzo con la rodilla derecha</t>
  </si>
  <si>
    <t>Ensenada México Stake</t>
  </si>
  <si>
    <t>Universidad Ward</t>
  </si>
  <si>
    <t>razielflores@gmail.com</t>
  </si>
  <si>
    <t>Raziel Nicolas Flores Cuellar</t>
  </si>
  <si>
    <t>Naomi Esperanza</t>
  </si>
  <si>
    <t>Mejia Alvarez</t>
  </si>
  <si>
    <t>Naomi Esperanza Mejia Alvarez</t>
  </si>
  <si>
    <t>naomymejia@gmail.com</t>
  </si>
  <si>
    <t>como de todo</t>
  </si>
  <si>
    <t>felicitas clara alvarez camacho</t>
  </si>
  <si>
    <t>Mauricio</t>
  </si>
  <si>
    <t>mejoradacynthia17@gmail.com</t>
  </si>
  <si>
    <t>Osnaya Juárez</t>
  </si>
  <si>
    <t>Mauricio Osnaya Juárez</t>
  </si>
  <si>
    <t>elmaucobain@gmail.com</t>
  </si>
  <si>
    <t>Sin restricción alimentaria</t>
  </si>
  <si>
    <t>Manuel Osnaya Robles</t>
  </si>
  <si>
    <t>gammalt@gmail.com</t>
  </si>
  <si>
    <t>Metilfenidato y Sertralina</t>
  </si>
  <si>
    <t>Natalia Abril</t>
  </si>
  <si>
    <t>Esquivel Apango</t>
  </si>
  <si>
    <t>Natalia Abril Esquivel Apango</t>
  </si>
  <si>
    <t>Sarah Daniela</t>
  </si>
  <si>
    <t>Sarah Daniela Bustos López</t>
  </si>
  <si>
    <t>natalinayel@gmail.com</t>
  </si>
  <si>
    <t>danielabustoslopez@gmail.com</t>
  </si>
  <si>
    <t>Flavia García</t>
  </si>
  <si>
    <t>Isis Yohali</t>
  </si>
  <si>
    <t>Isis Yohali Velazquez Estala</t>
  </si>
  <si>
    <t>yohali.velz@gmail.com</t>
  </si>
  <si>
    <t>María luisa estala alvarez</t>
  </si>
  <si>
    <t>Síndrome de Ovario Poliquístico</t>
  </si>
  <si>
    <t>Distimia, transtorno disociativo en proceso diagnóstico</t>
  </si>
  <si>
    <t>Escoliosis leve, propensa a contracturas</t>
  </si>
  <si>
    <t>Abril Sthepania</t>
  </si>
  <si>
    <t>Sosa Gomez</t>
  </si>
  <si>
    <t>Ethel Valentina</t>
  </si>
  <si>
    <t>Abril Sthepania Sosa Gomez</t>
  </si>
  <si>
    <t>Osorio Duran</t>
  </si>
  <si>
    <t>Ethel Valentina Osorio Duran</t>
  </si>
  <si>
    <t>abrilsosa506@gmail.com</t>
  </si>
  <si>
    <t>Axel Benjamin</t>
  </si>
  <si>
    <t>José Gustavo Fernández Islas</t>
  </si>
  <si>
    <t>islasgus118@gmail.com</t>
  </si>
  <si>
    <t>Luis Cuevas</t>
  </si>
  <si>
    <t>Axel Benjamin Luis Cuevas</t>
  </si>
  <si>
    <t>Tiana Berenice Naomi</t>
  </si>
  <si>
    <t>Axelbenjaminluiscuevas@gmail.com</t>
  </si>
  <si>
    <t>yotianit@gmail.com</t>
  </si>
  <si>
    <t>Puebla México Ometoxtla Stake</t>
  </si>
  <si>
    <t>Xoxtla Branch</t>
  </si>
  <si>
    <t>Itzelli Verenise Ruiz Gutiérrez</t>
  </si>
  <si>
    <t>aguilarmi@churchofjesuschrist.org</t>
  </si>
  <si>
    <t>Luisa Garbiela Cuevas Martinez</t>
  </si>
  <si>
    <t>Miguel Angel Aguilar Estrada</t>
  </si>
  <si>
    <t>gabysitacuevas@gmail.com</t>
  </si>
  <si>
    <t>Blanca Estela Ramirez Herrera</t>
  </si>
  <si>
    <t>Solo tomo medicamento para problemas de depresión</t>
  </si>
  <si>
    <t>se esginza recurrentemente los tobillos</t>
  </si>
  <si>
    <t>Ansiedad y depresión</t>
  </si>
  <si>
    <t>A la lana</t>
  </si>
  <si>
    <t>Migraña</t>
  </si>
  <si>
    <t>Lizeth</t>
  </si>
  <si>
    <t>Ibañez Villanueva</t>
  </si>
  <si>
    <t>Lizeth Ibañez Villanueva</t>
  </si>
  <si>
    <t>jaguila719597@outlook.com</t>
  </si>
  <si>
    <t>Citlali Jocabet</t>
  </si>
  <si>
    <t>Jose Ibañez Sandoval</t>
  </si>
  <si>
    <t>Arenas Juarez</t>
  </si>
  <si>
    <t>ibasj@outlook.com</t>
  </si>
  <si>
    <t>Citlali Jocabet Arenas Juarez</t>
  </si>
  <si>
    <t>Diana de Ibañez Villanueva</t>
  </si>
  <si>
    <t>angelykisses99@gmail.com</t>
  </si>
  <si>
    <t>dianav0978@gmail.com</t>
  </si>
  <si>
    <t>Micaela García Franco</t>
  </si>
  <si>
    <t>Adamaris</t>
  </si>
  <si>
    <t>micabluee99@gmail.com</t>
  </si>
  <si>
    <t>De La Rosa Sandoval</t>
  </si>
  <si>
    <t>Adamaris De La Rosa Sandoval</t>
  </si>
  <si>
    <t>delarosaadamaris567@gmail.com</t>
  </si>
  <si>
    <t>Efrain De La Rosa Espiritu</t>
  </si>
  <si>
    <t>Chalco México Solidaridad Stake</t>
  </si>
  <si>
    <t>efrain1075@hotmail.com</t>
  </si>
  <si>
    <t>Cinco de Mayo Ward</t>
  </si>
  <si>
    <t>pepe_electron@hotmail.com</t>
  </si>
  <si>
    <t>Jose Luis Cervantes Hinojosa</t>
  </si>
  <si>
    <t>vértigo y migraña</t>
  </si>
  <si>
    <t>Ofelia Sandoval Hernandez</t>
  </si>
  <si>
    <t>ofesandoval1202@gmail.com</t>
  </si>
  <si>
    <t>Yoaly</t>
  </si>
  <si>
    <t>Galindez Olmos</t>
  </si>
  <si>
    <t>Yoaly Galindez Olmos</t>
  </si>
  <si>
    <t>Yoalyg17@gmail.com</t>
  </si>
  <si>
    <t>Claudia Olmos García</t>
  </si>
  <si>
    <t>claysog16@gmail.com</t>
  </si>
  <si>
    <t>Luis Fernando</t>
  </si>
  <si>
    <t>Hurtado Martinez</t>
  </si>
  <si>
    <t>Luis Fernando Hurtado Martinez</t>
  </si>
  <si>
    <t>55 6436 3136</t>
  </si>
  <si>
    <t>fher1626@gmail.com</t>
  </si>
  <si>
    <t>Karla Berenice Martinez Alvarez</t>
  </si>
  <si>
    <t>alrak_162@hotmail.com</t>
  </si>
  <si>
    <t>Zolmitriptano, Metformina</t>
  </si>
  <si>
    <t>Natasha Sherlyn</t>
  </si>
  <si>
    <t>Cortes Perez</t>
  </si>
  <si>
    <t>natasha_sherlyn@hotmail.com</t>
  </si>
  <si>
    <t>Dulce Viridiana Pérez García</t>
  </si>
  <si>
    <t>Alfonso emiliano</t>
  </si>
  <si>
    <t>Romero mendez</t>
  </si>
  <si>
    <t>Kalmira yaude romero mendez</t>
  </si>
  <si>
    <t>A los camarones</t>
  </si>
  <si>
    <t>Tuvo una cirugía en el tobillo del pie izquierdo hace 3 meses</t>
  </si>
  <si>
    <t>Itzel</t>
  </si>
  <si>
    <t>Del Ángel Del Pozo</t>
  </si>
  <si>
    <t>Itzel Del Ángel Del Pozo</t>
  </si>
  <si>
    <t>chel_stars@hotmail.com</t>
  </si>
  <si>
    <t>Raquel</t>
  </si>
  <si>
    <t>Lozano Espinosa</t>
  </si>
  <si>
    <t>Naomi Del Angel</t>
  </si>
  <si>
    <t>Raquel Lozano Espinosa</t>
  </si>
  <si>
    <t>naomidelangel64@gmail.com</t>
  </si>
  <si>
    <t>55 7388 3147</t>
  </si>
  <si>
    <t>Iker Gael</t>
  </si>
  <si>
    <t>Cruz Castañón</t>
  </si>
  <si>
    <t>raquelloz4002@gmail.com</t>
  </si>
  <si>
    <t>Iker Gael Cruz Castañón</t>
  </si>
  <si>
    <t>Lizbeth Sarahi Espinosa Perez</t>
  </si>
  <si>
    <t>lizifrau2011@gmail.com</t>
  </si>
  <si>
    <t>SaionPanGamer@gmail.com</t>
  </si>
  <si>
    <t>San Luis Potosí México Benito Juárez Stake</t>
  </si>
  <si>
    <t>55 1318 9734</t>
  </si>
  <si>
    <t>Boulevard Ward</t>
  </si>
  <si>
    <t>israeltorres007@gmail.com</t>
  </si>
  <si>
    <t>Mónica Castañón Acosta</t>
  </si>
  <si>
    <t>momys2997337@gmail.com</t>
  </si>
  <si>
    <t>Israel Torres Quiroz</t>
  </si>
  <si>
    <t>fractura de mano</t>
  </si>
  <si>
    <t>Alondra</t>
  </si>
  <si>
    <t>Vásquez Flores</t>
  </si>
  <si>
    <t>Alondra Vásquez Flores</t>
  </si>
  <si>
    <t>Velazquez Garduño</t>
  </si>
  <si>
    <t>alondrabelmontflor@gmail.com</t>
  </si>
  <si>
    <t>Kevin Velazquez Garduño</t>
  </si>
  <si>
    <t>Ivonne</t>
  </si>
  <si>
    <t>Sarahí Flores Belmont</t>
  </si>
  <si>
    <t>Varela Hinojosa</t>
  </si>
  <si>
    <t>saris.belmont.flores@gmail.com</t>
  </si>
  <si>
    <t>mire71gar@hotmail.com</t>
  </si>
  <si>
    <t>Ivonne Varela Hinojosa</t>
  </si>
  <si>
    <t>Mireya Garduño Ponce</t>
  </si>
  <si>
    <t>55 4599 3258</t>
  </si>
  <si>
    <t>Jaime Velazquez Yañez</t>
  </si>
  <si>
    <t>ivonnevarelahinojosa760@gmail.com</t>
  </si>
  <si>
    <t>velaz6171@gmail.com</t>
  </si>
  <si>
    <t>Gabriel Varela Espinosa</t>
  </si>
  <si>
    <t>gabosud86@gmail.com</t>
  </si>
  <si>
    <t>Topilejo Branch</t>
  </si>
  <si>
    <t>cesar_cardenas@hotmail.com</t>
  </si>
  <si>
    <t>César Alejandro Cárdenas Flores</t>
  </si>
  <si>
    <t>Castellanos Juarez</t>
  </si>
  <si>
    <t>Alfredo de Jesus</t>
  </si>
  <si>
    <t>Operación en tibia izquierda</t>
  </si>
  <si>
    <t>Casas Paz</t>
  </si>
  <si>
    <t>Alfredo de Jesus Casas Paz</t>
  </si>
  <si>
    <t>ernestocastellanos@gmail.com</t>
  </si>
  <si>
    <t>fredyisus2@gmail.com</t>
  </si>
  <si>
    <t>Nefi Castellanos Rivera</t>
  </si>
  <si>
    <t>Silvia Paz Sandoval</t>
  </si>
  <si>
    <t>aneticas1@gmail.com</t>
  </si>
  <si>
    <t>supermomy@gmail.com</t>
  </si>
  <si>
    <t>Laura Elizabeth</t>
  </si>
  <si>
    <t>Madrigal Ramirez</t>
  </si>
  <si>
    <t>Laura Elizabeth Madrigal Ramirez</t>
  </si>
  <si>
    <t>ivoneramirezpaz@gmail.com</t>
  </si>
  <si>
    <t>Luis Alberto Madrigal Byrd</t>
  </si>
  <si>
    <t>luisbyrdfi@yahoo.com.mx</t>
  </si>
  <si>
    <t>Estacional</t>
  </si>
  <si>
    <t>Ivone Ramírez Paz</t>
  </si>
  <si>
    <t>Gerson Abinadi</t>
  </si>
  <si>
    <t>Ruiz Juarez</t>
  </si>
  <si>
    <t>Gerson Abinadi Ruiz Juarez</t>
  </si>
  <si>
    <t>Cirugía maxilofacial por extracción de molares</t>
  </si>
  <si>
    <t>gersonruju@icloud.com</t>
  </si>
  <si>
    <t>Marisela Juárez Jiménez</t>
  </si>
  <si>
    <t>gersoruizjuarez@gmail.com</t>
  </si>
  <si>
    <t>Axel</t>
  </si>
  <si>
    <t>Velazquez Guzman</t>
  </si>
  <si>
    <t>Axel Velazquez Guzman</t>
  </si>
  <si>
    <t>axelvelazquezguzman.com@gmail.com</t>
  </si>
  <si>
    <t>Juan Carlos Velazquez Hernández</t>
  </si>
  <si>
    <t>alda_axel@live.com.mx</t>
  </si>
  <si>
    <t>Eritromicina</t>
  </si>
  <si>
    <t>María Concepcíon Guzmán Duarte</t>
  </si>
  <si>
    <t>guzman7604@outlook.es</t>
  </si>
  <si>
    <t>Alan</t>
  </si>
  <si>
    <t>Ramìrez Dìaz de Leòn</t>
  </si>
  <si>
    <t>Alan Ramìrez Dìaz de Leòn</t>
  </si>
  <si>
    <t>ramirezdiazdeleonalan@gmail.com</t>
  </si>
  <si>
    <t>Naomi</t>
  </si>
  <si>
    <t>Karen Mariel Díaz de León Uribe</t>
  </si>
  <si>
    <t>kdileur@gmail.com</t>
  </si>
  <si>
    <t>Naomi Del Ángel Del Pozo</t>
  </si>
  <si>
    <t>444 300 0503</t>
  </si>
  <si>
    <t>Marisol</t>
  </si>
  <si>
    <t>marisoldelpozo732@gmail.com</t>
  </si>
  <si>
    <t>Me pusieron puntos y me cosieron abajo del ojo</t>
  </si>
  <si>
    <t>Eowin Johana</t>
  </si>
  <si>
    <t>Pérez Vega</t>
  </si>
  <si>
    <t>Eowin Johana Pérez Vega</t>
  </si>
  <si>
    <t>55 4727 9861</t>
  </si>
  <si>
    <t>peve140910@gmail.com</t>
  </si>
  <si>
    <t>Silvia Esperanza Vega Chavez</t>
  </si>
  <si>
    <t>silviaesperanzavegachavez2@gmail.com</t>
  </si>
  <si>
    <t>55 3132 2159</t>
  </si>
  <si>
    <t>Melina</t>
  </si>
  <si>
    <t>Calzada Tapia</t>
  </si>
  <si>
    <t>Melina Calzada Tapia</t>
  </si>
  <si>
    <t>melidmendes@gmail.com</t>
  </si>
  <si>
    <t>Elvia Rosa Tapia Iglesias</t>
  </si>
  <si>
    <t>melcalzada@outlook.com</t>
  </si>
  <si>
    <t>Padece de la rodilla</t>
  </si>
  <si>
    <t>Durge Swemy</t>
  </si>
  <si>
    <t>Sánchez Flores</t>
  </si>
  <si>
    <t>Durge Swemy Sánchez Flores</t>
  </si>
  <si>
    <t>Alfonso Emiliano</t>
  </si>
  <si>
    <t>Romero Méndez</t>
  </si>
  <si>
    <t>bere041075@live.com.mx</t>
  </si>
  <si>
    <t>Alfonso Emiliano Romero Méndez</t>
  </si>
  <si>
    <t>Froylan Sánchez Garcia</t>
  </si>
  <si>
    <t>Vanessa Gabriela</t>
  </si>
  <si>
    <t>Flores Benhumea</t>
  </si>
  <si>
    <t>Vanessa Gabriela Flores Benhumea</t>
  </si>
  <si>
    <t>Alfonsoemilianoromeromendez@gmail.com</t>
  </si>
  <si>
    <t>vcam.vf@gmail.com</t>
  </si>
  <si>
    <t>alfonsoemilianoromeromendez@gmail.com</t>
  </si>
  <si>
    <t>Fernando Flores Ortega</t>
  </si>
  <si>
    <t>ffloresort@gmail.com</t>
  </si>
  <si>
    <t>Beatriz Gabriela Benhumea Santiago</t>
  </si>
  <si>
    <t>ffloresort.sud@gmail.com</t>
  </si>
  <si>
    <t>Alergia a los alimentos Aguacate y hoja de nuez</t>
  </si>
  <si>
    <t>Tosferina</t>
  </si>
  <si>
    <t>Melani Abigail</t>
  </si>
  <si>
    <t>Galvan Curiel</t>
  </si>
  <si>
    <t>Melani Abigail Galvan Curiel</t>
  </si>
  <si>
    <t>Tonatiuh</t>
  </si>
  <si>
    <t>Esmeralda</t>
  </si>
  <si>
    <t>Luna Mendoza</t>
  </si>
  <si>
    <t>Tonatiuh Luna Mendoza</t>
  </si>
  <si>
    <t>Solorio Vargas</t>
  </si>
  <si>
    <t>abigailgalvan089@gmail.com</t>
  </si>
  <si>
    <t>Esmeralda Solorio Vargas</t>
  </si>
  <si>
    <t>tlc.lunau@gmail.com</t>
  </si>
  <si>
    <t>Veronica Janette Curiel Bautista</t>
  </si>
  <si>
    <t>vero.curiel1991@gmail.com</t>
  </si>
  <si>
    <t>Heberto Luna Angel</t>
  </si>
  <si>
    <t>hebertoluna58@gmail.com</t>
  </si>
  <si>
    <t>56 4546 3336</t>
  </si>
  <si>
    <t>esmeralda.solorio09@gmail.com</t>
  </si>
  <si>
    <t>Esther Vargas Cervantes</t>
  </si>
  <si>
    <t>vargasce0918@gmail.com</t>
  </si>
  <si>
    <t>Ruben Vladimir</t>
  </si>
  <si>
    <t>Carrizales Torres</t>
  </si>
  <si>
    <t>Ruben Vladimir Carrizales Torres</t>
  </si>
  <si>
    <t>rubencarrizales02@gmail.com</t>
  </si>
  <si>
    <t>cirugía vesícula laparoscópica</t>
  </si>
  <si>
    <t>Ana Sofia</t>
  </si>
  <si>
    <t>Alvarado Jimenez</t>
  </si>
  <si>
    <t>Evangelina Torres Cedillo</t>
  </si>
  <si>
    <t>Ana Sofia Alvarado Jimenez</t>
  </si>
  <si>
    <t>bankytorresc@gmail.com</t>
  </si>
  <si>
    <t>anas.alvj51@aefcm.nuevaescuela.mx</t>
  </si>
  <si>
    <t>jaqueline jimenez napoles</t>
  </si>
  <si>
    <t>jaqui_usagi@hotmail.com</t>
  </si>
  <si>
    <t>Guadalupe</t>
  </si>
  <si>
    <t>López Martínez</t>
  </si>
  <si>
    <t>Guadalupe López Martínez</t>
  </si>
  <si>
    <t>gm942048@gmail.com</t>
  </si>
  <si>
    <t>Mariel Irais</t>
  </si>
  <si>
    <t>Cansino Valencia</t>
  </si>
  <si>
    <t>Maricruz Martínez Salas</t>
  </si>
  <si>
    <t>Mariel Irais Cansino Valencia</t>
  </si>
  <si>
    <t>IraisCansino36@gmail.com</t>
  </si>
  <si>
    <t>Dafne Valencia de la Luz</t>
  </si>
  <si>
    <t>dafnevdl1@gmail.com</t>
  </si>
  <si>
    <t>Krishna Vilasini</t>
  </si>
  <si>
    <t>Velasco Castillo</t>
  </si>
  <si>
    <t>Krishna Vilasini Velasco Castillo</t>
  </si>
  <si>
    <t>velasco.krishna.vilasini@gmail.com</t>
  </si>
  <si>
    <t>Como de todo</t>
  </si>
  <si>
    <t>Betsabe castillo García</t>
  </si>
  <si>
    <t>betsabecg@icloud.com</t>
  </si>
  <si>
    <t>David Josafat</t>
  </si>
  <si>
    <t>Soler Reyes</t>
  </si>
  <si>
    <t>David Josafat Soler Reyes</t>
  </si>
  <si>
    <t>djsolereyes@gmail.com</t>
  </si>
  <si>
    <t>Hugo Josafat Soler Álvarez</t>
  </si>
  <si>
    <t>josafatsoler@gmail.com</t>
  </si>
  <si>
    <t>Gloria Thelma de Soler</t>
  </si>
  <si>
    <t>Al polen y a los nogales</t>
  </si>
  <si>
    <t>gloriathelma@hotmail.com</t>
  </si>
  <si>
    <t>Abigail</t>
  </si>
  <si>
    <t>Granados Garcia</t>
  </si>
  <si>
    <t>Abigail Granados Garcia</t>
  </si>
  <si>
    <t>abigailgrnds693@gmail.com</t>
  </si>
  <si>
    <t>davidgrnds33@gmail.com</t>
  </si>
  <si>
    <t>Edgar Mahonri</t>
  </si>
  <si>
    <t>De la Rosa Sandoval</t>
  </si>
  <si>
    <t>Edgar Mahonri De la Rosa Sandoval</t>
  </si>
  <si>
    <t>Frida Vanessa</t>
  </si>
  <si>
    <t>Frida Vanessa Esquivel Apango</t>
  </si>
  <si>
    <t>Mayra Apango</t>
  </si>
  <si>
    <t>mayrapango@gmail.com</t>
  </si>
  <si>
    <t>Francisco</t>
  </si>
  <si>
    <t>Castañeda Rosas</t>
  </si>
  <si>
    <t>Francisco Castañeda Rosas</t>
  </si>
  <si>
    <t>fenix199603@outlook.es</t>
  </si>
  <si>
    <t>Isabel Rosas Quintero</t>
  </si>
  <si>
    <t>isabelroq62@gmail.com</t>
  </si>
  <si>
    <t>Diana</t>
  </si>
  <si>
    <t>Lopez Candelario</t>
  </si>
  <si>
    <t>Valproato de magnesio</t>
  </si>
  <si>
    <t>Diana Lopez Candelario</t>
  </si>
  <si>
    <t>55 3435 4016</t>
  </si>
  <si>
    <t>eliza_unam_7@hotmail.com</t>
  </si>
  <si>
    <t>Elizabeth Ortega Candelario</t>
  </si>
  <si>
    <t>eliza_unam_@hotmail.com</t>
  </si>
  <si>
    <t>No cuento con ninguna discapacidad que pueda impedir que participe</t>
  </si>
  <si>
    <t>Zenif Alexis</t>
  </si>
  <si>
    <t>Yamileth</t>
  </si>
  <si>
    <t>Martinez Haro</t>
  </si>
  <si>
    <t>Muñoz Loya</t>
  </si>
  <si>
    <t>Yamileth Martinez Haro</t>
  </si>
  <si>
    <t>haromarthahilda@gmail.com</t>
  </si>
  <si>
    <t>Sin restricciones,come de todo.</t>
  </si>
  <si>
    <t>Zenif Alexis Muñoz Loya</t>
  </si>
  <si>
    <t>martha</t>
  </si>
  <si>
    <t>zenifsud05@gmail.com</t>
  </si>
  <si>
    <t>Janeth Araceli</t>
  </si>
  <si>
    <t>Esquivel Rivera</t>
  </si>
  <si>
    <t>Janeth Araceli Esquivel Rivera</t>
  </si>
  <si>
    <t>jabetharacelier100@gmail.com</t>
  </si>
  <si>
    <t>Virginia Rivera Granados</t>
  </si>
  <si>
    <t>riveravicky25@gmail.com</t>
  </si>
  <si>
    <t>Miguel Muñoz Garcia</t>
  </si>
  <si>
    <t>miguelsud01@gmail.com</t>
  </si>
  <si>
    <t>Noemi</t>
  </si>
  <si>
    <t>Melendez Martínez</t>
  </si>
  <si>
    <t>Noemi Melendez Martínez</t>
  </si>
  <si>
    <t>elidis.2005@gmail.com</t>
  </si>
  <si>
    <t>Flor Elida Melendez Martinez</t>
  </si>
  <si>
    <t>Gavin Vyn Drago</t>
  </si>
  <si>
    <t>Sanchez Castro</t>
  </si>
  <si>
    <t>Gavin Vyn Drago Sanchez Castro</t>
  </si>
  <si>
    <t>55 8198 1565</t>
  </si>
  <si>
    <t>vyndrago@gmail.com</t>
  </si>
  <si>
    <t>alergia leve al chilorio</t>
  </si>
  <si>
    <t>Adriana Castro Lopez</t>
  </si>
  <si>
    <t>adcasal@hotmail.com</t>
  </si>
  <si>
    <t>Lorena</t>
  </si>
  <si>
    <t>Mendoza Arroyo</t>
  </si>
  <si>
    <t>Lorena Mendoza Arroyo</t>
  </si>
  <si>
    <t>lore.men192@gmail.com</t>
  </si>
  <si>
    <t>Leticia Arroyo Ojeda</t>
  </si>
  <si>
    <t>letyarroyoojeda@gmail.com</t>
  </si>
  <si>
    <t>Tlaxcala México North Stake</t>
  </si>
  <si>
    <t>Loma Bonita Ward</t>
  </si>
  <si>
    <t>oscarizquierdo@prodigy.net.mx</t>
  </si>
  <si>
    <t>Oscar Izquierdo Cedillo</t>
  </si>
  <si>
    <t>Drisdel</t>
  </si>
  <si>
    <t>Del Rosal Garcia</t>
  </si>
  <si>
    <t>Drisdel Del Rosal Garcia</t>
  </si>
  <si>
    <t>drisdel.del.rosal.garcia@missionary.org</t>
  </si>
  <si>
    <t>Requiere dieta especial</t>
  </si>
  <si>
    <t>Leticia García de la cruz</t>
  </si>
  <si>
    <t>cesaroboe23@gmail.com</t>
  </si>
  <si>
    <t>55 8450 8594</t>
  </si>
  <si>
    <t>No presenta ninguna alergia por algún alimento</t>
  </si>
  <si>
    <t>Dylan Moroni</t>
  </si>
  <si>
    <t>Murillo Sevilla</t>
  </si>
  <si>
    <t>Dylan Moroni Murillo Sevilla</t>
  </si>
  <si>
    <t>none</t>
  </si>
  <si>
    <t>linda sevill hernandez</t>
  </si>
  <si>
    <t>Ana Victoria</t>
  </si>
  <si>
    <t>Jesus</t>
  </si>
  <si>
    <t>Remigio Plazas</t>
  </si>
  <si>
    <t>Jesus Remigio Plazas</t>
  </si>
  <si>
    <t>Ana Victoria Flores Baltazar</t>
  </si>
  <si>
    <t>‪+52 55 4583 0399‬</t>
  </si>
  <si>
    <t>anavictoriafloresbaltazar@gmail.com</t>
  </si>
  <si>
    <t>jremigioplazas@gmail.com</t>
  </si>
  <si>
    <t>Jesús Remigio Plazas</t>
  </si>
  <si>
    <t>karybaltazar3@gmail.com</t>
  </si>
  <si>
    <t>yurianaplazas@gmail.com</t>
  </si>
  <si>
    <t>Alergia al medicamento Dextrometorfano</t>
  </si>
  <si>
    <t>Dexter Colin</t>
  </si>
  <si>
    <t>Gonzalez Serrano</t>
  </si>
  <si>
    <t>David Itzamna</t>
  </si>
  <si>
    <t>Rangel Ceron</t>
  </si>
  <si>
    <t>Dexter Colin Rangel Ceron</t>
  </si>
  <si>
    <t>dxgtmx@gmail.com</t>
  </si>
  <si>
    <t>omagozhez@gmail.com</t>
  </si>
  <si>
    <t>Marivel Ceron</t>
  </si>
  <si>
    <t>Omar Adrian Gonzalez Hernandez</t>
  </si>
  <si>
    <t>maribel272010@gmail.com</t>
  </si>
  <si>
    <t>Yesica Daniela Serrano Galicia</t>
  </si>
  <si>
    <t>yes.serr.gal@gmail.com</t>
  </si>
  <si>
    <t>Caleb Yazar</t>
  </si>
  <si>
    <t>Jazmin</t>
  </si>
  <si>
    <t>Huanosta Huanosta</t>
  </si>
  <si>
    <t>Jazmin Huanosta Huanosta</t>
  </si>
  <si>
    <t>Caleb Yazar Hernández Zúñiga</t>
  </si>
  <si>
    <t>jazminh99ta@gmail.com</t>
  </si>
  <si>
    <t>no tiene ninguna alergia, tiene una alimentación bastante variada y diversa.</t>
  </si>
  <si>
    <t>Rosalía Huanosta</t>
  </si>
  <si>
    <t>roshuanostas70@gmail.com</t>
  </si>
  <si>
    <t>Juanita Zarahi</t>
  </si>
  <si>
    <t>Lemus Gutierrez</t>
  </si>
  <si>
    <t>Juanita Zarahi Lemus Gutierrez</t>
  </si>
  <si>
    <t>juanitazarahi@gmail.com</t>
  </si>
  <si>
    <t>Linda Yessica Gutierrez Carmona</t>
  </si>
  <si>
    <t>linda-832666@hotmail.com</t>
  </si>
  <si>
    <t>Nefi Ibrahim</t>
  </si>
  <si>
    <t>Rivera Valdovinos</t>
  </si>
  <si>
    <t>Nefi Ibrahim Rivera Valdovinos</t>
  </si>
  <si>
    <t>Valdovinosnefi@gmail.com</t>
  </si>
  <si>
    <t>rosenda valdovinos</t>
  </si>
  <si>
    <t>roussev45@gmail.com</t>
  </si>
  <si>
    <t>zulfas</t>
  </si>
  <si>
    <t>Neotrex 20 mg</t>
  </si>
  <si>
    <t>Lizbeth</t>
  </si>
  <si>
    <t>Castillo Luna</t>
  </si>
  <si>
    <t>Lizbeth Castillo Luna</t>
  </si>
  <si>
    <t>Brigham Alejandro</t>
  </si>
  <si>
    <t>2211482806.l@gmail.com</t>
  </si>
  <si>
    <t>Sandoval Ramirez</t>
  </si>
  <si>
    <t>Brigham Alejandro Sandoval Ramirez</t>
  </si>
  <si>
    <t>No tengo ningún problema con la alimentación</t>
  </si>
  <si>
    <t>2211382806.l@gmail.com</t>
  </si>
  <si>
    <t>sandovalbrigham@gmail.com</t>
  </si>
  <si>
    <t>Nealtican México Stake</t>
  </si>
  <si>
    <t>Bugambilias Ward</t>
  </si>
  <si>
    <t>doe_jim@hotmail.com</t>
  </si>
  <si>
    <t>Benjamin Jimenez Grande</t>
  </si>
  <si>
    <t>Brenda</t>
  </si>
  <si>
    <t>Brenda Peraza Salazar</t>
  </si>
  <si>
    <t>sopamorada123@gmail.com</t>
  </si>
  <si>
    <t>Zizly Ayelen</t>
  </si>
  <si>
    <t>Sandoval Pavon</t>
  </si>
  <si>
    <t>Susuki</t>
  </si>
  <si>
    <t>Zizly Ayelen Sandoval Pavon</t>
  </si>
  <si>
    <t>56 5213 1703</t>
  </si>
  <si>
    <t>pavon.betzaa@gmail.com</t>
  </si>
  <si>
    <t>Juan Alberto</t>
  </si>
  <si>
    <t>j.alberto88sh@gmail.com</t>
  </si>
  <si>
    <t>Polen, polvo</t>
  </si>
  <si>
    <t>Daniela Lizbeth</t>
  </si>
  <si>
    <t>Cordova Morales</t>
  </si>
  <si>
    <t>Daniela Lizbeth Cordova Morales</t>
  </si>
  <si>
    <t>Karla Quetzalli</t>
  </si>
  <si>
    <t>Duran Julian</t>
  </si>
  <si>
    <t>Karla Quetzalli Duran Julian</t>
  </si>
  <si>
    <t>danilizbethmorales18@gmail.com</t>
  </si>
  <si>
    <t>Francisco Córdova cabrales</t>
  </si>
  <si>
    <t>quetzalliduranjulian@gmail.com</t>
  </si>
  <si>
    <t>gerarditocordaosito@gmail.com</t>
  </si>
  <si>
    <t>Karla Nallely Julian Álvarez</t>
  </si>
  <si>
    <t>karla.nallely0922@gmail.com</t>
  </si>
  <si>
    <t>Reforma Branch</t>
  </si>
  <si>
    <t>Carlos.jcm87@gmail.com</t>
  </si>
  <si>
    <t>Carlos de Jesus Contreras Madrigal</t>
  </si>
  <si>
    <t>Alonso</t>
  </si>
  <si>
    <t>Gomez Vargas</t>
  </si>
  <si>
    <t>Alonso Gomez Vargas</t>
  </si>
  <si>
    <t>Celia Sofia</t>
  </si>
  <si>
    <t>alonso.gomezv.ag@gmail.com</t>
  </si>
  <si>
    <t>Celia Sofia Mendez Carmona</t>
  </si>
  <si>
    <t>Rosa Maria Vargas Muñoz</t>
  </si>
  <si>
    <t>rosyva63@gmail.com</t>
  </si>
  <si>
    <t>sofia.mendez.1c@gmail.com</t>
  </si>
  <si>
    <t>Arleth Susana</t>
  </si>
  <si>
    <t>Cruz Muñoz</t>
  </si>
  <si>
    <t>Arleth Susana Cruz Muñoz</t>
  </si>
  <si>
    <t>arleth.cruz.munoz@missionary.org</t>
  </si>
  <si>
    <t>Fran Jancarlo</t>
  </si>
  <si>
    <t>Sifuentes Gutierrez</t>
  </si>
  <si>
    <t>Susana Muñoz Osorio</t>
  </si>
  <si>
    <t>Fran Jancarlo Sifuentes Gutierrez</t>
  </si>
  <si>
    <t>susy781205@gmail.com</t>
  </si>
  <si>
    <t>jancarlogutierrez01@gmail.com</t>
  </si>
  <si>
    <t>Rocio Gutierrez Cisneros</t>
  </si>
  <si>
    <t>rcisneros80@hotmail.com</t>
  </si>
  <si>
    <t>Desodorante en spray</t>
  </si>
  <si>
    <t>Brisa Karely</t>
  </si>
  <si>
    <t>Alameda Duran</t>
  </si>
  <si>
    <t>Spencer</t>
  </si>
  <si>
    <t>Basurto Moreno</t>
  </si>
  <si>
    <t>Spencer Basurto Moreno</t>
  </si>
  <si>
    <t>Brisa Karely Alameda Duran</t>
  </si>
  <si>
    <t>mariapilarmoreno045@gmail.com</t>
  </si>
  <si>
    <t>Maria del Pilar Basurto Moreno</t>
  </si>
  <si>
    <t>karelyduran091@gmail.com</t>
  </si>
  <si>
    <t>Maria de Lourdes Aguilar Rivera</t>
  </si>
  <si>
    <t>lafamiliaduran@gmail.com</t>
  </si>
  <si>
    <t>55 4062 0231</t>
  </si>
  <si>
    <t>Azul Mayrel</t>
  </si>
  <si>
    <t>Azul Mayrel Ramirez Martinez</t>
  </si>
  <si>
    <t>ramiguel75@gmail.com</t>
  </si>
  <si>
    <t>como de todo.</t>
  </si>
  <si>
    <t>Miguel Angel Ramirez Rosas</t>
  </si>
  <si>
    <t>José Abel</t>
  </si>
  <si>
    <t>Jarquin Juárez</t>
  </si>
  <si>
    <t>José Abel Jarquin Juárez</t>
  </si>
  <si>
    <t>jarquinjoseabel24@gmail.com</t>
  </si>
  <si>
    <t>ABEL JARQUIN GARCIA</t>
  </si>
  <si>
    <t>jarquin77@live.com</t>
  </si>
  <si>
    <t>MARIA MAGDALENA JUAREZ HINOJOSA</t>
  </si>
  <si>
    <t>magdalenajuarez359@gmail.com</t>
  </si>
  <si>
    <t>Ricardo Israel</t>
  </si>
  <si>
    <t>Osnaya Torres</t>
  </si>
  <si>
    <t>Ricardo Israel Osnaya Torres</t>
  </si>
  <si>
    <t>ricardoosnaya242@gmail.com</t>
  </si>
  <si>
    <t>Norma Angélica Torres Martiñon</t>
  </si>
  <si>
    <t>Pedro Antonio</t>
  </si>
  <si>
    <t>Canizales Ponce</t>
  </si>
  <si>
    <t>Pedro Antonio Canizales Ponce</t>
  </si>
  <si>
    <t>antoniocanizalesponce@gmail.com</t>
  </si>
  <si>
    <t>Claudia Ponce Alvarado</t>
  </si>
  <si>
    <t>tonycanizalesponce@gmail.com</t>
  </si>
  <si>
    <t>Sara</t>
  </si>
  <si>
    <t>Rodríguez Ramírez</t>
  </si>
  <si>
    <t>Sara Rodríguez Ramírez</t>
  </si>
  <si>
    <t>stef.ramirez@outlook.com</t>
  </si>
  <si>
    <t>Stefany Ramírez Fernández</t>
  </si>
  <si>
    <t>Ampicilina, penicilina, amoxicilina.</t>
  </si>
  <si>
    <t>Eliot Jared Aarón</t>
  </si>
  <si>
    <t>Rico Prían</t>
  </si>
  <si>
    <t>Eliot Jared Aarón Rico Prían</t>
  </si>
  <si>
    <t>eliotprian@icloud.com</t>
  </si>
  <si>
    <t>Yolanda Prian Villegas</t>
  </si>
  <si>
    <t>prianyolanda801@gmail.com</t>
  </si>
  <si>
    <t>Amantadina</t>
  </si>
  <si>
    <t>Makosla Xiomara</t>
  </si>
  <si>
    <t>Velázquez Pérez</t>
  </si>
  <si>
    <t>Makosla Xiomara Velázquez Pérez</t>
  </si>
  <si>
    <t>Aura Quetzalli</t>
  </si>
  <si>
    <t>Sevilla Gómez</t>
  </si>
  <si>
    <t>Aura Quetzalli Sevilla Gómez</t>
  </si>
  <si>
    <t>aura.quetzalli07@gmail.com</t>
  </si>
  <si>
    <t>Sevilla Gómez Biali Ailin</t>
  </si>
  <si>
    <t>xiomaracumch102@gmail.com</t>
  </si>
  <si>
    <t>biali.sevilla@gmail.com</t>
  </si>
  <si>
    <t>Tierra y al sol</t>
  </si>
  <si>
    <t>Gamaliel Velázquez</t>
  </si>
  <si>
    <t>rustic.comercial@gmail.com</t>
  </si>
  <si>
    <t>Jared Mahonri</t>
  </si>
  <si>
    <t>Canton Pavon</t>
  </si>
  <si>
    <t>Jared Mahonri Canton Pavon</t>
  </si>
  <si>
    <t>alexene1296a0@gmail.com</t>
  </si>
  <si>
    <t>Manuel Francisco Canton Jordana</t>
  </si>
  <si>
    <t>darpink_19@hotmail.com</t>
  </si>
  <si>
    <t>56 3756 6732</t>
  </si>
  <si>
    <t>Ziria Mei Ling Pavon Gordillo</t>
  </si>
  <si>
    <t>55 7995 9968</t>
  </si>
  <si>
    <t>Naomi Abril</t>
  </si>
  <si>
    <t>Naomi Abril Diaz Piñera</t>
  </si>
  <si>
    <t>naomi.dp25@gmail.com</t>
  </si>
  <si>
    <t>Jessica Sofia</t>
  </si>
  <si>
    <t>Rebollo Rubi</t>
  </si>
  <si>
    <t>Jessica Sofia Rebollo Rubi</t>
  </si>
  <si>
    <t>gabrielaruby164@gmail.com</t>
  </si>
  <si>
    <t>Gabriela Rubi Peredo</t>
  </si>
  <si>
    <t>Jennyfer</t>
  </si>
  <si>
    <t>Contreras Guadarrama</t>
  </si>
  <si>
    <t>Lucy</t>
  </si>
  <si>
    <t>Amairani Romo De La Cruz</t>
  </si>
  <si>
    <t>Lucy Amairani Romo De La Cruz</t>
  </si>
  <si>
    <t>lucyamairani2911@gmail.com</t>
  </si>
  <si>
    <t>ALberto Romo Ceron</t>
  </si>
  <si>
    <t>‪+52 55 7963 2973‬</t>
  </si>
  <si>
    <t>Jennyfer Contreras Guadarrama</t>
  </si>
  <si>
    <t>Lucia de la Luz Castro</t>
  </si>
  <si>
    <t>Sariah Nayari</t>
  </si>
  <si>
    <t>Zepeda Bravo</t>
  </si>
  <si>
    <t>Sariah Nayari Zepeda Bravo</t>
  </si>
  <si>
    <t>sariah.zepedab@gmail.com</t>
  </si>
  <si>
    <t>Nayar Zepeda Barragan</t>
  </si>
  <si>
    <t>nayar_zepeda@hotmail.com</t>
  </si>
  <si>
    <t>Edna Aridahi Bravo Sansalvador</t>
  </si>
  <si>
    <t>bravosan.ari@gmail.com</t>
  </si>
  <si>
    <t>jennyfercontreras.g@gmail.com</t>
  </si>
  <si>
    <t>Jareth Contreras</t>
  </si>
  <si>
    <t>jestred26@gmail.com</t>
  </si>
  <si>
    <t>Joshua Iskander</t>
  </si>
  <si>
    <t>Guzman Mariscal</t>
  </si>
  <si>
    <t>Joshua Iskander Guzman Mariscal</t>
  </si>
  <si>
    <t>joshiskander.g.m@gmail.com</t>
  </si>
  <si>
    <t>Mara Yadira Mariscal Bernal</t>
  </si>
  <si>
    <t>maramariscal237@gmail.com</t>
  </si>
  <si>
    <t>Cielo Candi</t>
  </si>
  <si>
    <t>Perez Ventura</t>
  </si>
  <si>
    <t>Cielo Candi Perez Ventura</t>
  </si>
  <si>
    <t>dulcesky09@gmail.com</t>
  </si>
  <si>
    <t>Guadalupe Pérez Valencia</t>
  </si>
  <si>
    <t>perezvalenciag5@gmail.com</t>
  </si>
  <si>
    <t>Berenice Ivon Ventura Damian</t>
  </si>
  <si>
    <t>Shinehah Amaya</t>
  </si>
  <si>
    <t>bereventura2701@gmail.com</t>
  </si>
  <si>
    <t>Gonzalez de Salceda Lopez</t>
  </si>
  <si>
    <t>Shinehah Amaya Gonzalez de Salceda Lopez</t>
  </si>
  <si>
    <t>Ana Sofia Arias Jimenez</t>
  </si>
  <si>
    <t>akootaku13@gmail.com</t>
  </si>
  <si>
    <t>55 8484 6720</t>
  </si>
  <si>
    <t>crayolita.7895@gmail.com</t>
  </si>
  <si>
    <t>mimguna</t>
  </si>
  <si>
    <t>Sanchez Rojas</t>
  </si>
  <si>
    <t>Natalia Sanchez Rojas</t>
  </si>
  <si>
    <t>Vanyreds@gmail.com</t>
  </si>
  <si>
    <t>NUEZ y CALABAZA</t>
  </si>
  <si>
    <t>Evany Rojas de Sanchez</t>
  </si>
  <si>
    <t>Carolina López Arellano</t>
  </si>
  <si>
    <t>Epilepsi</t>
  </si>
  <si>
    <t>carolj@prodigy.net.mx</t>
  </si>
  <si>
    <t>Tenoch Jafet</t>
  </si>
  <si>
    <t>Domínguez Alfaro</t>
  </si>
  <si>
    <t>Tenoch Jafet Domínguez Alfaro</t>
  </si>
  <si>
    <t>tenoch.alfa03@gmail.com</t>
  </si>
  <si>
    <t>Fernanda Sosa</t>
  </si>
  <si>
    <t>fernanda.sosahdez@gmail.com</t>
  </si>
  <si>
    <t>Donovan Esaú</t>
  </si>
  <si>
    <t>Rosas Meza</t>
  </si>
  <si>
    <t>Donovan Esaú Rosas Meza</t>
  </si>
  <si>
    <t>rosasesau93@gmail.com</t>
  </si>
  <si>
    <t>Stephany abigail meza orozco</t>
  </si>
  <si>
    <t>abifresitasamo@gmail.com</t>
  </si>
  <si>
    <t>Atzin Andrea</t>
  </si>
  <si>
    <t>Garcia Martinez</t>
  </si>
  <si>
    <t>Atzin Andrea Garcia Martinez</t>
  </si>
  <si>
    <t>atziinandrea@gmail.com</t>
  </si>
  <si>
    <t>Aarón Usain</t>
  </si>
  <si>
    <t>Gutierrez Avila</t>
  </si>
  <si>
    <t>Aarón Usain Gutierrez Avila</t>
  </si>
  <si>
    <t>aaron.usain.gutierrez.avila1d@gmail.com</t>
  </si>
  <si>
    <t>Erasmo Gutiérrez Cruz</t>
  </si>
  <si>
    <t>idologre@gmail.com</t>
  </si>
  <si>
    <t>a la Penicilina</t>
  </si>
  <si>
    <t>Atzin</t>
  </si>
  <si>
    <t>Maria Fernanda Guadalupe</t>
  </si>
  <si>
    <t>Flores Baez</t>
  </si>
  <si>
    <t>Maria Fernanda Guadalupe Flores Baez</t>
  </si>
  <si>
    <t>Atzinandrea@gmail.com</t>
  </si>
  <si>
    <t>baez090@gmail.com</t>
  </si>
  <si>
    <t>Guadalupe Baéz Celedonio</t>
  </si>
  <si>
    <t>Jorge Adan</t>
  </si>
  <si>
    <t>Jorge Adan Ulage Parias</t>
  </si>
  <si>
    <t>720 699 1746</t>
  </si>
  <si>
    <t>adxnpuntoexe@gmail.com</t>
  </si>
  <si>
    <t>México City Camarones Stake</t>
  </si>
  <si>
    <t>Azcapotzalco Ward</t>
  </si>
  <si>
    <t>israel.indesigner@gmail.com</t>
  </si>
  <si>
    <t>Kya</t>
  </si>
  <si>
    <t>Limon Flores</t>
  </si>
  <si>
    <t>Kya Limon Flores</t>
  </si>
  <si>
    <t>Israel Esparza Ramón</t>
  </si>
  <si>
    <t>kya.lmn.fls@gmail.com</t>
  </si>
  <si>
    <t>Jorge Humberto Limon Salinas</t>
  </si>
  <si>
    <t>limon1000@live.com.mx</t>
  </si>
  <si>
    <t>Ruth de Limon Flores</t>
  </si>
  <si>
    <t>ruthfloressoto1@gmail.com</t>
  </si>
  <si>
    <t>Angela Daniela</t>
  </si>
  <si>
    <t>Avalos Lopez</t>
  </si>
  <si>
    <t>Angela Daniela Avalos Lopez</t>
  </si>
  <si>
    <t>babatelinaa@gmail.com</t>
  </si>
  <si>
    <t>María Elena López Castañeda</t>
  </si>
  <si>
    <t>carlotadelvalle@gmail.com</t>
  </si>
  <si>
    <t>Sofia Alejandra</t>
  </si>
  <si>
    <t>Cruz Baez</t>
  </si>
  <si>
    <t>Sofia Alejandra Cruz Baez</t>
  </si>
  <si>
    <t>cruzestradanatalia@gmail.com</t>
  </si>
  <si>
    <t>Maria Eugenia Reyes Navarro</t>
  </si>
  <si>
    <t>Devora</t>
  </si>
  <si>
    <t>Morales Arias</t>
  </si>
  <si>
    <t>Devora Morales Arias</t>
  </si>
  <si>
    <t>devoracebolla@gmail.com</t>
  </si>
  <si>
    <t>Dehisi Columba Arias Blancas</t>
  </si>
  <si>
    <t>dehisiarias@gmail.com</t>
  </si>
  <si>
    <t>Jacob Antonio</t>
  </si>
  <si>
    <t>Jacob Antonio Varela Hinojosa</t>
  </si>
  <si>
    <t>Maite Paulina</t>
  </si>
  <si>
    <t>Daniela Raquel</t>
  </si>
  <si>
    <t>Mancilla Sifuentes</t>
  </si>
  <si>
    <t>Daniela Raquel Mancilla Sifuentes</t>
  </si>
  <si>
    <t>Maite Paulina Sequeira Palma</t>
  </si>
  <si>
    <t>mariumkidi@outlook.com</t>
  </si>
  <si>
    <t>Marisol Sifuentes Valera</t>
  </si>
  <si>
    <t>sunshine_sud@hotmail.com</t>
  </si>
  <si>
    <t>Mario Alberto Mancilla Flores</t>
  </si>
  <si>
    <t>55 3444 6914</t>
  </si>
  <si>
    <t>maite.sequeira.p@gmail.com</t>
  </si>
  <si>
    <t>Tania Lideth</t>
  </si>
  <si>
    <t>ysequeira@gmail.com</t>
  </si>
  <si>
    <t>Perez Hernandez</t>
  </si>
  <si>
    <t>Tania Lideth Perez Hernandez</t>
  </si>
  <si>
    <t>tanialideth@gmail.com</t>
  </si>
  <si>
    <t>Ulises Perez Paez</t>
  </si>
  <si>
    <t>ulisesperezpaez@gmail.com</t>
  </si>
  <si>
    <t>Maria Alejandra</t>
  </si>
  <si>
    <t>Alvarez Velazquez</t>
  </si>
  <si>
    <t>Maria Alejandra Alvarez Velazquez</t>
  </si>
  <si>
    <t>alvarez.ale3848@gmail.com</t>
  </si>
  <si>
    <t>Marcos Augusto Alvarez Cortes</t>
  </si>
  <si>
    <t>marcos.alvarez@hotmail.com</t>
  </si>
  <si>
    <t>Paulina Velazquez Garcia</t>
  </si>
  <si>
    <t>paulinda2323@live.com.mx</t>
  </si>
  <si>
    <t>Paracetamol con tramadol, pregabalina</t>
  </si>
  <si>
    <t>Elora Danna</t>
  </si>
  <si>
    <t>Juárez García</t>
  </si>
  <si>
    <t>Elora Danna Juárez García</t>
  </si>
  <si>
    <t>rociomiranda6710@gmail.com</t>
  </si>
  <si>
    <t>Rocio Garcia Miranda</t>
  </si>
  <si>
    <t>Endometriosis, Adenomiosis (enfermedades uterinas)</t>
  </si>
  <si>
    <t>Iam Carlo</t>
  </si>
  <si>
    <t>Montero Noriega</t>
  </si>
  <si>
    <t>no es alérgico a ningun alimento es alérgico a la Amzitromicina y amoxicilina con acido clavulánico</t>
  </si>
  <si>
    <t>María Fernanda</t>
  </si>
  <si>
    <t>Salas Santacruz</t>
  </si>
  <si>
    <t>María Fernanda Salas Santacruz</t>
  </si>
  <si>
    <t>wenlore@yahoo.com.mx</t>
  </si>
  <si>
    <t>puede comer todo</t>
  </si>
  <si>
    <t>Daniel Salas Soto</t>
  </si>
  <si>
    <t>dsalas_1@hotmail.com</t>
  </si>
  <si>
    <t>Wendy Santacruz Chavez</t>
  </si>
  <si>
    <t>aspirina</t>
  </si>
  <si>
    <t>Aline</t>
  </si>
  <si>
    <t>Rosales Tadeo</t>
  </si>
  <si>
    <t>Aline Rosales Tadeo</t>
  </si>
  <si>
    <t>alineunic10@gmail.com</t>
  </si>
  <si>
    <t>Teresa Tadeo Briones</t>
  </si>
  <si>
    <t>tadeo712@gmail.com</t>
  </si>
  <si>
    <t>Pamela Arandi</t>
  </si>
  <si>
    <t>Gonzalez Belmont</t>
  </si>
  <si>
    <t>Pamela Arandi Gonzalez Belmont</t>
  </si>
  <si>
    <t>carlostro1980@gmal.com</t>
  </si>
  <si>
    <t>Carlos Torres Martínez</t>
  </si>
  <si>
    <t>Jose Lehi Armando</t>
  </si>
  <si>
    <t>Jose Lehi Armando Gutierrez Flores</t>
  </si>
  <si>
    <t>mar75arm@gmail.com</t>
  </si>
  <si>
    <t>Marco Armando Gutiérrez Carmona</t>
  </si>
  <si>
    <t>Semillas, en especial cacahuate</t>
  </si>
  <si>
    <t>Erick Josué</t>
  </si>
  <si>
    <t>David</t>
  </si>
  <si>
    <t>Ocampo Manzo</t>
  </si>
  <si>
    <t>David Granados Garcia</t>
  </si>
  <si>
    <t>Erick Josué Ocampo Manzo</t>
  </si>
  <si>
    <t>Jesus Granados Castillo</t>
  </si>
  <si>
    <t>grnds31@gmail.com</t>
  </si>
  <si>
    <t>María García Martinez</t>
  </si>
  <si>
    <t>56 3958 5915</t>
  </si>
  <si>
    <t>discipl99@gmail.com</t>
  </si>
  <si>
    <t>Manuel Alejandro</t>
  </si>
  <si>
    <t>Guzman Martinez</t>
  </si>
  <si>
    <t>manuelguzmmart7101@gmail.com</t>
  </si>
  <si>
    <t>Olivia Martinez Maria</t>
  </si>
  <si>
    <t>Saraí</t>
  </si>
  <si>
    <t>olivia1980ma@gmail.com</t>
  </si>
  <si>
    <t>Alejandro Guzman Tzintzun</t>
  </si>
  <si>
    <t>alejandroguzmanmantzintzun@gmail.com</t>
  </si>
  <si>
    <t>sarai_kbp@hotmail.com</t>
  </si>
  <si>
    <t>Jetro Gabriel</t>
  </si>
  <si>
    <t>Penilla Fernández</t>
  </si>
  <si>
    <t>Jetro Gabriel Penilla Fernández</t>
  </si>
  <si>
    <t>jetropenilla@gmail.com</t>
  </si>
  <si>
    <t>Thelma Jael Fernández Eugenio</t>
  </si>
  <si>
    <t>tjfernandeze@gmail.com</t>
  </si>
  <si>
    <t>Abraham Isaac Penilla Calderón</t>
  </si>
  <si>
    <t>abrahampenilla3127@gmail.com</t>
  </si>
  <si>
    <t>México City Paraíso Stake</t>
  </si>
  <si>
    <t>Aztahuacán Ward</t>
  </si>
  <si>
    <t>montesdeocaalejandro859@gmail.com</t>
  </si>
  <si>
    <t>Alejandro Montes de Oca Martinez</t>
  </si>
  <si>
    <t>Castañeda Díaz</t>
  </si>
  <si>
    <t>Lizeth Castañeda Díaz</t>
  </si>
  <si>
    <t>alejandra.diaz.jose1975@gmail.com</t>
  </si>
  <si>
    <t>Alejandra Díaz José</t>
  </si>
  <si>
    <t>Evelyn Yaretzi</t>
  </si>
  <si>
    <t>Altamirano Díaz</t>
  </si>
  <si>
    <t>Evelyn Yaretzi Altamirano Díaz</t>
  </si>
  <si>
    <t>evelynyaretzi19@gmail.com</t>
  </si>
  <si>
    <t>Carlos Homero Castro Gutiérrez</t>
  </si>
  <si>
    <t>castrogcar1007@gmail.com</t>
  </si>
  <si>
    <t>NATHAN LEONARDO</t>
  </si>
  <si>
    <t>GARCIA PACHECO</t>
  </si>
  <si>
    <t>nat03leogapa@gmail.com</t>
  </si>
  <si>
    <t>Ilse Pacheco Lopez</t>
  </si>
  <si>
    <t>pachecoilse084@gmail.com</t>
  </si>
  <si>
    <t>Viviana</t>
  </si>
  <si>
    <t>Radilla Ramirez</t>
  </si>
  <si>
    <t>Viviana Radilla Ramirez</t>
  </si>
  <si>
    <t>vivianaradilla07@gmail.com</t>
  </si>
  <si>
    <t>Evelyn</t>
  </si>
  <si>
    <t>eve96ram@gmail.com</t>
  </si>
  <si>
    <t>Luis Kaleb</t>
  </si>
  <si>
    <t>Luis Kaleb Landeros López</t>
  </si>
  <si>
    <t>luis_landers@hotmail.com</t>
  </si>
  <si>
    <t>Come de todo.</t>
  </si>
  <si>
    <t>Iker Sinuhé</t>
  </si>
  <si>
    <t>Belmont Hernández</t>
  </si>
  <si>
    <t>jbelmonts@htomail.com</t>
  </si>
  <si>
    <t>Jhovani Belmont</t>
  </si>
  <si>
    <t>jbelmonts@hotmail.com</t>
  </si>
  <si>
    <t>Biali Ailin</t>
  </si>
  <si>
    <t>Biali Ailin Sevilla Gómez</t>
  </si>
  <si>
    <t>Gabriel Sevilla Soto</t>
  </si>
  <si>
    <t>gabriel.sevilla@gmail.com</t>
  </si>
  <si>
    <t>Maria Salome Gomez Anaya</t>
  </si>
  <si>
    <t>gomez.anaya@gmail.com</t>
  </si>
  <si>
    <t>Héctor Raúl</t>
  </si>
  <si>
    <t>Nolasco Carmona</t>
  </si>
  <si>
    <t>Héctor Raúl Nolasco Carmona</t>
  </si>
  <si>
    <t>hnolascocarmona@gmail.com</t>
  </si>
  <si>
    <t>Katya Paulina Carmona Romero</t>
  </si>
  <si>
    <t>katya_2ml@hotmail.com</t>
  </si>
  <si>
    <t>Josué Hernández ramirez</t>
  </si>
  <si>
    <t>joab.her.ram@gmail.com</t>
  </si>
  <si>
    <t>Hyrum Yacid</t>
  </si>
  <si>
    <t>Hyrum Yacid Murillo Sevilla</t>
  </si>
  <si>
    <t>hyrumyacid.ms@gmail.com</t>
  </si>
  <si>
    <t>Lynda sevilla hernandez</t>
  </si>
  <si>
    <t>Elias Lael</t>
  </si>
  <si>
    <t>Guadarrama Jimenez</t>
  </si>
  <si>
    <t>Elias Lael Guadarrama Jimenez</t>
  </si>
  <si>
    <t>laelarturoguadarrama@gmail.com</t>
  </si>
  <si>
    <t>Come una dieta balanceada como de todo</t>
  </si>
  <si>
    <t>Cindy beatriz Jiménez Rodríguez</t>
  </si>
  <si>
    <t>jimenezcindyrella@gmail.com</t>
  </si>
  <si>
    <t>Victor Aarón</t>
  </si>
  <si>
    <t>Aragón Hernández</t>
  </si>
  <si>
    <t>Victor Aarón Aragón Hernández</t>
  </si>
  <si>
    <t>Horacio Alejandro</t>
  </si>
  <si>
    <t>Jack_spinor@outlook.com</t>
  </si>
  <si>
    <t>Victor Hugo Aragón Castro</t>
  </si>
  <si>
    <t>aragon.victor@hotmail.com</t>
  </si>
  <si>
    <t>Alvarado Diaz</t>
  </si>
  <si>
    <t>Horacio Alejandro Alvarado Diaz</t>
  </si>
  <si>
    <t>Alejandrodiaz199770@gmail.com</t>
  </si>
  <si>
    <t>Aleny Alvarado Díaz</t>
  </si>
  <si>
    <t>Jaime</t>
  </si>
  <si>
    <t>alenyangeles1@gmail.com</t>
  </si>
  <si>
    <t>Jaime Urbina Parra</t>
  </si>
  <si>
    <t>56 1271 0067</t>
  </si>
  <si>
    <t>Evander Alexander</t>
  </si>
  <si>
    <t>Mina Carrion</t>
  </si>
  <si>
    <t>Evander Alexander Mina Carrion</t>
  </si>
  <si>
    <t>55 7378 5774</t>
  </si>
  <si>
    <t>michecarreon@gmail.com</t>
  </si>
  <si>
    <t>Adriana Michelle Carrión López</t>
  </si>
  <si>
    <t>773 730 9470</t>
  </si>
  <si>
    <t>Moroni</t>
  </si>
  <si>
    <t>Moroni Cárdenas Jimeno</t>
  </si>
  <si>
    <t>morocraft100@gmail.com</t>
  </si>
  <si>
    <t>Penicilina, Naproxeno</t>
  </si>
  <si>
    <t>Angel Tadeo</t>
  </si>
  <si>
    <t>Mendez Marquez</t>
  </si>
  <si>
    <t>Angel Tadeo Mendez Marquez</t>
  </si>
  <si>
    <t>eduardofuentes0510@gmail.com</t>
  </si>
  <si>
    <t>Rocio Marquez Villegas</t>
  </si>
  <si>
    <t>Zyanya Yaretzi</t>
  </si>
  <si>
    <t>de la Rosa Gaona</t>
  </si>
  <si>
    <t>gaona.zyanyayaretzi@gmail.com</t>
  </si>
  <si>
    <t>Dulce Aidee Gaona Valencia</t>
  </si>
  <si>
    <t>dulcegaona@gmail.com</t>
  </si>
  <si>
    <t>Leidy Ingrid</t>
  </si>
  <si>
    <t>Sánchez Martìnez</t>
  </si>
  <si>
    <t>Leidy Ingrid Sánchez Martìnez</t>
  </si>
  <si>
    <t>leidyingridsanchezmartinez@gmail.com</t>
  </si>
  <si>
    <t>Angeles Martinez Lopez</t>
  </si>
  <si>
    <t>angelesmartinezlopez14@gmail.com</t>
  </si>
  <si>
    <t>Flores Remigio</t>
  </si>
  <si>
    <t>Francisco Flores Remigio</t>
  </si>
  <si>
    <t>francisremix7.q@gmail.com</t>
  </si>
  <si>
    <t>Jose Mauricio</t>
  </si>
  <si>
    <t>Juan</t>
  </si>
  <si>
    <t>Rubio Diaz</t>
  </si>
  <si>
    <t>Jose Mauricio Rubio Diaz</t>
  </si>
  <si>
    <t>tejidosdeclaudia@gmail.com</t>
  </si>
  <si>
    <t>Claudia Diaz</t>
  </si>
  <si>
    <t>Axel Ronaldo</t>
  </si>
  <si>
    <t>Gonzalez Contreras</t>
  </si>
  <si>
    <t>gonzalezcontrerasaxel@gmail.com</t>
  </si>
  <si>
    <t>Paola Contreras Nicolas</t>
  </si>
  <si>
    <t>paolacontreras063@gmail.com</t>
  </si>
  <si>
    <t>Orlando Gonzalez Paz</t>
  </si>
  <si>
    <t>lramirezperez587@gmail.com</t>
  </si>
  <si>
    <t>maquillaje pintacaritas</t>
  </si>
  <si>
    <t>Las Flores Ward</t>
  </si>
  <si>
    <t>emilio_lopez3@hotmail.com</t>
  </si>
  <si>
    <t>Emilio López Rosales</t>
  </si>
  <si>
    <t>Jesus Abraham</t>
  </si>
  <si>
    <t>Rendon Lambarria</t>
  </si>
  <si>
    <t>Jesus Abraham Rendon Lambarria</t>
  </si>
  <si>
    <t>jesusrendonlam@gmail.com</t>
  </si>
  <si>
    <t>Jesus Salvador Rendon Dircio</t>
  </si>
  <si>
    <t>Zoé</t>
  </si>
  <si>
    <t>Montiel Vergara</t>
  </si>
  <si>
    <t>Zoé Montiel Vergara</t>
  </si>
  <si>
    <t>yozukezoemv@gmail.com</t>
  </si>
  <si>
    <t>Megan Aime Vergara Zea</t>
  </si>
  <si>
    <t>aimegverzea@gmail.com</t>
  </si>
  <si>
    <t>Eva Alondra</t>
  </si>
  <si>
    <t>Montoya Segura</t>
  </si>
  <si>
    <t>Eva Alondra Montoya Segura</t>
  </si>
  <si>
    <t>aracelisegura282@gmail.com</t>
  </si>
  <si>
    <t>Araceli Segura Hernandez</t>
  </si>
  <si>
    <t>Dilan Alejandro</t>
  </si>
  <si>
    <t>Alvarez Diaz</t>
  </si>
  <si>
    <t>Dilan Alejandro Alvarez Diaz</t>
  </si>
  <si>
    <t>dylanalvarez2210@gmail.com</t>
  </si>
  <si>
    <t>Maria Claudia Diaz Cortes</t>
  </si>
  <si>
    <t>mcdc.1971.mcdc@gmail.com</t>
  </si>
  <si>
    <t>Any Karla</t>
  </si>
  <si>
    <t>Alvarez Muñoz</t>
  </si>
  <si>
    <t>Any Karla Alvarez Muñoz</t>
  </si>
  <si>
    <t>alvanyk.23@gmail.com</t>
  </si>
  <si>
    <t>Normal</t>
  </si>
  <si>
    <t>Karla Virginia Muñoz Cabrera</t>
  </si>
  <si>
    <t>kar.94alvarez@gmail.com</t>
  </si>
  <si>
    <t>Edgar Alvarez Miranda</t>
  </si>
  <si>
    <t>Edyk.alvarez@gmail.com</t>
  </si>
  <si>
    <t>Ningúno</t>
  </si>
  <si>
    <t>Santiago Castellanos</t>
  </si>
  <si>
    <t>Abril Santiago Castellanos</t>
  </si>
  <si>
    <t>santiagoabrilca5@gmail.com</t>
  </si>
  <si>
    <t>Ruth Castellanos Rivera</t>
  </si>
  <si>
    <t>riveraruth240478@gmail.com</t>
  </si>
  <si>
    <t>Mario Eliel</t>
  </si>
  <si>
    <t>Espìnoza Fuentes</t>
  </si>
  <si>
    <t>Mario Eliel Espìnoza Fuentes</t>
  </si>
  <si>
    <t>Tacodesuadero098@gmail.com</t>
  </si>
  <si>
    <t>Elena Fuentes Romero</t>
  </si>
  <si>
    <t>fuenteselena961@gmail.com</t>
  </si>
  <si>
    <t>Jorge</t>
  </si>
  <si>
    <t>Soto</t>
  </si>
  <si>
    <t>lactosa y ampicilina</t>
  </si>
  <si>
    <t>regina</t>
  </si>
  <si>
    <t>Castillo mendoza</t>
  </si>
  <si>
    <r>
      <rPr>
        <rFont val="Calibri, sans-serif"/>
        <color rgb="FF1155CC"/>
        <sz val="11.0"/>
        <u/>
      </rPr>
      <t>jorgesamuelsotoguzman80@gmail.com</t>
    </r>
  </si>
  <si>
    <t>reginacasmen271011@gmail.com</t>
  </si>
  <si>
    <t>Alma amilia mendoza trejo</t>
  </si>
  <si>
    <t>estrella032885@gmail.com</t>
  </si>
  <si>
    <t>Norman Rogelio</t>
  </si>
  <si>
    <t>Alejandre Buenrostro</t>
  </si>
  <si>
    <t>Norman Rogelio Alejandre Buenrostro</t>
  </si>
  <si>
    <t>normanroal09@gmail.com</t>
  </si>
  <si>
    <t>Evelyn Violeta Buenrostro Cotero</t>
  </si>
  <si>
    <t>vioeve1974@gmail.com</t>
  </si>
  <si>
    <t>Gustavo Isaí</t>
  </si>
  <si>
    <t>Sandoval Cureño</t>
  </si>
  <si>
    <t>gus.isai.sc@gmail.com</t>
  </si>
  <si>
    <t>Juan Carlos Sandoval Hernandez</t>
  </si>
  <si>
    <t>jcsh2244@gmail.com</t>
  </si>
  <si>
    <t>Esmeralda del Carmen de Sandoval Cureño</t>
  </si>
  <si>
    <t>hnacureno@hotmail.com</t>
  </si>
  <si>
    <t>Cindy Guzman</t>
  </si>
  <si>
    <r>
      <rPr>
        <rFont val="Calibri, sans-serif"/>
        <color rgb="FF1155CC"/>
        <sz val="11.0"/>
        <u/>
      </rPr>
      <t>gucce26@hotmail.com</t>
    </r>
  </si>
  <si>
    <t>Ximena Soto</t>
  </si>
  <si>
    <r>
      <rPr>
        <rFont val="Calibri, sans-serif"/>
        <color rgb="FF1155CC"/>
        <sz val="11.0"/>
        <u/>
      </rPr>
      <t>xmnsg25@gmail.com</t>
    </r>
  </si>
  <si>
    <t>Eder Helaman</t>
  </si>
  <si>
    <t>Garcia Gutierrez</t>
  </si>
  <si>
    <t>Eder Helaman Garcia Gutierrez</t>
  </si>
  <si>
    <t>S</t>
  </si>
  <si>
    <t>edergargtz@gmail.com</t>
  </si>
  <si>
    <t>Giddiani García Domínguez</t>
  </si>
  <si>
    <t>ggarciad48@gmail.com</t>
  </si>
  <si>
    <t>B+</t>
  </si>
  <si>
    <t>Estaca Tlahuac</t>
  </si>
  <si>
    <t>Tlahuac</t>
  </si>
  <si>
    <r>
      <rPr>
        <rFont val="Calibri, sans-serif"/>
        <color rgb="FF1155CC"/>
        <sz val="11.0"/>
        <u/>
      </rPr>
      <t>mgm.agroalibracion@gmail.comp</t>
    </r>
  </si>
  <si>
    <t>Marcelino Garcia</t>
  </si>
  <si>
    <t>Aaron xavier</t>
  </si>
  <si>
    <t>Aaron xavier Canton Pavon</t>
  </si>
  <si>
    <t>NO</t>
  </si>
  <si>
    <t>aaronxaviercanton@gmail.com</t>
  </si>
  <si>
    <t>manuelfranciscocanton@gmail.com</t>
  </si>
  <si>
    <t>NO}o</t>
  </si>
  <si>
    <t>Solrac Helaman</t>
  </si>
  <si>
    <t>Ortíz Ruíz</t>
  </si>
  <si>
    <t>Solrac Helaman Ortíz Ruíz</t>
  </si>
  <si>
    <t>solracruiz5@gmail.com</t>
  </si>
  <si>
    <t>no es alergico en nada pero le gusta el pollo y la pizza por favor alimentar bien</t>
  </si>
  <si>
    <t>Carlos Alberto Ortiz Cardenas</t>
  </si>
  <si>
    <t>carlos_ortiz83@hotmail.com</t>
  </si>
  <si>
    <t>Colecistomia</t>
  </si>
  <si>
    <t>Itzelly Verenise Ruiz Gutierrez</t>
  </si>
  <si>
    <t>loveruiz3@hotmail.com</t>
  </si>
  <si>
    <t>ninguno</t>
  </si>
  <si>
    <t>Nuevo testameto</t>
  </si>
  <si>
    <t>Santiago Moroni</t>
  </si>
  <si>
    <t>Restauracion</t>
  </si>
  <si>
    <t>55 8762 9990</t>
  </si>
  <si>
    <t>Merchejaquelinventura@gmail.com</t>
  </si>
  <si>
    <t>LDM</t>
  </si>
  <si>
    <t>Plan salvacion</t>
  </si>
  <si>
    <t>Amor</t>
  </si>
  <si>
    <t>Leonel</t>
  </si>
  <si>
    <t>Garcia Arguello</t>
  </si>
  <si>
    <t>Leonel Garcia Arguello</t>
  </si>
  <si>
    <t>leochill347@gmail.com</t>
  </si>
  <si>
    <t>Efren Taboada Hernández</t>
  </si>
  <si>
    <t>efren5taboada5@gmail.com</t>
  </si>
  <si>
    <t>Andrea Yaretzi</t>
  </si>
  <si>
    <t>Alvarado Paez</t>
  </si>
  <si>
    <t>Andrea Yaretzi Alvarado Paez</t>
  </si>
  <si>
    <t>soyandrealvarado30@gmail.com</t>
  </si>
  <si>
    <t>puedo comer de todo</t>
  </si>
  <si>
    <t>Elba Paez Aranda</t>
  </si>
  <si>
    <t>elbapaezaranda@gmail.com</t>
  </si>
  <si>
    <t>Jason Leonardo</t>
  </si>
  <si>
    <t>Merino Rosales</t>
  </si>
  <si>
    <t>Jason Leonardo Merino Rosales</t>
  </si>
  <si>
    <t>jazty06@live.com.mx</t>
  </si>
  <si>
    <t>Jazmin Rosales Garduño</t>
  </si>
  <si>
    <t>Ian Joseph</t>
  </si>
  <si>
    <t>Ramirez Rocha</t>
  </si>
  <si>
    <t>Ian Joseph Ramirez Rocha</t>
  </si>
  <si>
    <t>ianrocha081010@gmail.com</t>
  </si>
  <si>
    <t>no tengo ninguna alergia</t>
  </si>
  <si>
    <t>Beatriz Adriana Rocha Gonzalez</t>
  </si>
  <si>
    <t>bettyrocha81@gmail.com</t>
  </si>
  <si>
    <t>Adonay</t>
  </si>
  <si>
    <t>Concepcion Dominguez</t>
  </si>
  <si>
    <t>Adonay Concepcion Dominguez</t>
  </si>
  <si>
    <t>adonaydominguez019@gmail.com</t>
  </si>
  <si>
    <t>Yaremi Domínguez Camacho</t>
  </si>
  <si>
    <t>ydominguezcamacho@gmail.com</t>
  </si>
  <si>
    <t>Leilani Catalina</t>
  </si>
  <si>
    <t>Reyes Cruz</t>
  </si>
  <si>
    <t>Leilani Catalina Reyes Cruz</t>
  </si>
  <si>
    <t>leilanireyess777@gmail.com</t>
  </si>
  <si>
    <t>Miguel Reyes Vargas</t>
  </si>
  <si>
    <t>leinanireyes777@gmail.com</t>
  </si>
  <si>
    <t>Luis Anthuan</t>
  </si>
  <si>
    <t>Murillo Arreguin</t>
  </si>
  <si>
    <t>Luis Anthuan Murillo Arreguin</t>
  </si>
  <si>
    <t>Athuarreguin@gmail.com</t>
  </si>
  <si>
    <t>Adriana Flores Hernández</t>
  </si>
  <si>
    <t>fhadry05@gmail.com</t>
  </si>
  <si>
    <t>Sergio Andres</t>
  </si>
  <si>
    <t>Guerrero Hernandez</t>
  </si>
  <si>
    <t>Sergio Andres Guerrero Hernandez</t>
  </si>
  <si>
    <t>thedemonking360@gmail.com</t>
  </si>
  <si>
    <t>Ninguna, solo alérgico al ibuprofeno</t>
  </si>
  <si>
    <t>sara hernández</t>
  </si>
  <si>
    <t>erendiras705@gmail.com</t>
  </si>
  <si>
    <t>Vanessa Itzel</t>
  </si>
  <si>
    <t>Vanessa Itzel Bustos López</t>
  </si>
  <si>
    <t>vanessaitzelbustoslopez@gmail.com</t>
  </si>
  <si>
    <t>José Eduardo</t>
  </si>
  <si>
    <t>Hernández López</t>
  </si>
  <si>
    <t>José Eduardo Hernández López</t>
  </si>
  <si>
    <t>elchino17america@gmail.com</t>
  </si>
  <si>
    <t>Leticia Guadalupe Rosas Guevara</t>
  </si>
  <si>
    <t>naukumi@gmail.com</t>
  </si>
  <si>
    <t>Frida María</t>
  </si>
  <si>
    <t>Vázquez Alva</t>
  </si>
  <si>
    <t>Frida María Vázquez Alva</t>
  </si>
  <si>
    <t>fridamaria.va@gmail.com</t>
  </si>
  <si>
    <t>Rafael Vázquez Velázquez</t>
  </si>
  <si>
    <t>rvazquezv@outlook.com</t>
  </si>
  <si>
    <t>Cynthya Alva de Vázquez Velázquez</t>
  </si>
  <si>
    <t>cynthya_alva@hotmail.com</t>
  </si>
  <si>
    <t>Nuez</t>
  </si>
  <si>
    <t>Lesly Fernanda</t>
  </si>
  <si>
    <t>Santos Morales</t>
  </si>
  <si>
    <t>Lesly Fernanda Santos Morales</t>
  </si>
  <si>
    <t>santosmoraleslesly@gmail.com</t>
  </si>
  <si>
    <t>Sandra Morales Aguilar</t>
  </si>
  <si>
    <t>Zoe Escarlett</t>
  </si>
  <si>
    <t>Arenas Salas</t>
  </si>
  <si>
    <t>Zoe Escarlett Arenas Salas</t>
  </si>
  <si>
    <t>arenassalaszoeescarlett@gmail.com</t>
  </si>
  <si>
    <t>No alegica a nada</t>
  </si>
  <si>
    <t>ENRIQUE ARENAS CASTILLO</t>
  </si>
  <si>
    <t>locoares@gmail.com</t>
  </si>
  <si>
    <t>Danae Salas de la Cruz</t>
  </si>
  <si>
    <t>axeldanrouses@gmail.com</t>
  </si>
  <si>
    <t>Garcia Valdez</t>
  </si>
  <si>
    <t>Kevin Garcia Valdez</t>
  </si>
  <si>
    <t>adeprincess4@gmail.com</t>
  </si>
  <si>
    <t>César Enoc Sandoval Pérez</t>
  </si>
  <si>
    <t>icontact.opt@gmail.com</t>
  </si>
  <si>
    <t>Liz Adela de Sandoval Valdez</t>
  </si>
  <si>
    <t>Haro Trujillo</t>
  </si>
  <si>
    <t>bakuyaz@hotmail.com</t>
  </si>
  <si>
    <t>Jazmin Catalina Trujillo Ortiz</t>
  </si>
  <si>
    <t>Ivan Haro Delgado</t>
  </si>
  <si>
    <t>reveliv@hotmail.com</t>
  </si>
  <si>
    <t>Frio</t>
  </si>
  <si>
    <t>Jesus Israel</t>
  </si>
  <si>
    <t>Hernandez Godinez</t>
  </si>
  <si>
    <t>Jesus Israel Hernandez Godinez</t>
  </si>
  <si>
    <t>pillin.herg11@gmail.com</t>
  </si>
  <si>
    <t>Tania Marlen Godínez Rosas</t>
  </si>
  <si>
    <t>taniamar1920@gmail.com</t>
  </si>
  <si>
    <t>Dulce Camina</t>
  </si>
  <si>
    <t>Castro Hernández</t>
  </si>
  <si>
    <t>admon.procura.ac@gmail.com</t>
  </si>
  <si>
    <t>Rosa María Hernández Gutiérrez</t>
  </si>
  <si>
    <t>Luis Osvaldo</t>
  </si>
  <si>
    <t>Santos Ramirez</t>
  </si>
  <si>
    <t>Luis Osvaldo Santos Ramirez</t>
  </si>
  <si>
    <t>osvaldo.ramirez5246@gmail.com</t>
  </si>
  <si>
    <t>Aideth Santos Ramírez</t>
  </si>
  <si>
    <t>koaidethbe@hotmail.com</t>
  </si>
  <si>
    <t>Yamdra</t>
  </si>
  <si>
    <t>Mata Rojas</t>
  </si>
  <si>
    <t>nefitas123san@gmail.com</t>
  </si>
  <si>
    <t>Sandra Rojas Lara</t>
  </si>
  <si>
    <t>Raul Jamin Mata Villa</t>
  </si>
  <si>
    <t>raul2010mata@gmail.com</t>
  </si>
  <si>
    <t>Omar Aldair</t>
  </si>
  <si>
    <t>Perez Ramirez</t>
  </si>
  <si>
    <t>Omar Aldair Perez Ramirez</t>
  </si>
  <si>
    <t>omaraldairperezramirez@gmail.com</t>
  </si>
  <si>
    <t>No hay ninguna restricción sobre su dieta alimentaria. Puede comer todos los alimentos.</t>
  </si>
  <si>
    <t>Omar Jesús Pérez Ramos</t>
  </si>
  <si>
    <t>omarxpheria@gmail.com</t>
  </si>
  <si>
    <t>Adriana Guadalupe Ramírez Galindo</t>
  </si>
  <si>
    <t>adriana_rmzg@yahoo.com.mx</t>
  </si>
  <si>
    <t>Diego Giancarlo</t>
  </si>
  <si>
    <t>Garcia Barajas</t>
  </si>
  <si>
    <t>acq.laurabarajas@gmail.com</t>
  </si>
  <si>
    <t>Laura Celina Barajas Vega</t>
  </si>
  <si>
    <t>arq.laurabarajas@gmail.com</t>
  </si>
  <si>
    <t>Jorge Oliver Palma Flores</t>
  </si>
  <si>
    <t>joliverpalma@gmail.com</t>
  </si>
  <si>
    <t>Eduardo David</t>
  </si>
  <si>
    <t>Fuentes Marquez</t>
  </si>
  <si>
    <t>Eduardo David Fuentes Marquez</t>
  </si>
  <si>
    <t>Iñaki</t>
  </si>
  <si>
    <t>Miranda Caro Robles</t>
  </si>
  <si>
    <t>Iñaki Miranda Caro Robles</t>
  </si>
  <si>
    <t>inakimiranda7@gmail.com</t>
  </si>
  <si>
    <t>Daniel Miranda Miyagi</t>
  </si>
  <si>
    <t>dmirandamiy@gmail.com</t>
  </si>
  <si>
    <t>Luna Camila</t>
  </si>
  <si>
    <t>Ramirez González</t>
  </si>
  <si>
    <t>Luna Camila Ramirez González</t>
  </si>
  <si>
    <t>diegodustinsud@gmail.com</t>
  </si>
  <si>
    <t>Diego dustin ramirez mejia</t>
  </si>
  <si>
    <t>Fuentes Zavaleta</t>
  </si>
  <si>
    <t>Aline Fuentes Zavaleta</t>
  </si>
  <si>
    <t>alinefz0311@gmail.com</t>
  </si>
  <si>
    <t>Miguel Angel Fuentes Campuzano</t>
  </si>
  <si>
    <t>angelfc290485@gmail.com</t>
  </si>
  <si>
    <t>Josefina Raquel Campuzano Cuellar</t>
  </si>
  <si>
    <t>camp_cuellar@hotmail.com</t>
  </si>
  <si>
    <t>Sophia Yahel</t>
  </si>
  <si>
    <t>Sophia Yahel Viadest Nuñez</t>
  </si>
  <si>
    <t>yahelviadest1@gmail.com</t>
  </si>
  <si>
    <t>Iris Ali de Rodriguez Nuñez</t>
  </si>
  <si>
    <t>Figueroa Garcia</t>
  </si>
  <si>
    <t>Isabella Figueroa Garcia</t>
  </si>
  <si>
    <t>isabellafigueroa0612@gmail.com</t>
  </si>
  <si>
    <t>come de todo no hay ningún inconveniente</t>
  </si>
  <si>
    <t>Leslie García Badillo</t>
  </si>
  <si>
    <t>lgbadillo959@gmail.com</t>
  </si>
  <si>
    <t>Felipe Isaac Figueroa Vargas</t>
  </si>
  <si>
    <t>felipeisaacfigueroavargas@gmail.com</t>
  </si>
  <si>
    <t>a las bellotas</t>
  </si>
  <si>
    <t>Angel Miguel</t>
  </si>
  <si>
    <t>Alviter Villanueva</t>
  </si>
  <si>
    <t>Angel Miguel Alviter Villanueva</t>
  </si>
  <si>
    <t>alvitercheli@gmail.com</t>
  </si>
  <si>
    <t>Lilia villanueva hernandez</t>
  </si>
  <si>
    <t>liliavillanuevahernandez042@gmail.com</t>
  </si>
  <si>
    <t>Jessica Ariadna</t>
  </si>
  <si>
    <t>Barajas Martinez</t>
  </si>
  <si>
    <t>Jessica Ariadna Barajas Martinez</t>
  </si>
  <si>
    <t>jessica2009mtz@gmail.com</t>
  </si>
  <si>
    <t>Marco Favio Barajas Aguilar</t>
  </si>
  <si>
    <t>ingbarajasmarco@aol.com</t>
  </si>
  <si>
    <t>Ariadna Paola Martinez Patiño</t>
  </si>
  <si>
    <t>paogirl21@gmail.com</t>
  </si>
  <si>
    <t>Daniel Antonio</t>
  </si>
  <si>
    <t>Rodriguez Garcia</t>
  </si>
  <si>
    <t>Daniel Antonio Rodriguez Garcia</t>
  </si>
  <si>
    <t>danielantonioyrodriguez@gmail.com</t>
  </si>
  <si>
    <t>Patricia Garcia Guerra</t>
  </si>
  <si>
    <t>patogg17@gmail.com</t>
  </si>
  <si>
    <t>Becerra Millares</t>
  </si>
  <si>
    <t>Mauricio Becerra Millares</t>
  </si>
  <si>
    <t>becerramauricio122@gmail.com</t>
  </si>
  <si>
    <t>Mauricio Becerra Ramírez</t>
  </si>
  <si>
    <t>m.becerra.23@outlook.com</t>
  </si>
  <si>
    <t>Alma Mónica Millares Fabbri</t>
  </si>
  <si>
    <t>a.millares@hotmail.com</t>
  </si>
  <si>
    <t>Diego</t>
  </si>
  <si>
    <t>Neri Romero</t>
  </si>
  <si>
    <t>xisadineri@gmail.com</t>
  </si>
  <si>
    <t>Juana Romero Juárez</t>
  </si>
  <si>
    <t>Azul Karimmé Io</t>
  </si>
  <si>
    <t>Soto Escalona</t>
  </si>
  <si>
    <t>karymmesoto@gmail.con</t>
  </si>
  <si>
    <t>Lilian Aseneth Escalona Velázquez</t>
  </si>
  <si>
    <t>aseneth.lian@gmail.com</t>
  </si>
  <si>
    <t>Melissa</t>
  </si>
  <si>
    <t>Sandoval Vazquez</t>
  </si>
  <si>
    <t>Melissa Sandoval Vazquez</t>
  </si>
  <si>
    <t>jazsandovalv@hotmail.com</t>
  </si>
  <si>
    <t>Juan Jose Sandoval Hernandez</t>
  </si>
  <si>
    <t>juansandoval2009@live.com.mx</t>
  </si>
  <si>
    <t>Jazmin Rosario de Sandoval Vazquez</t>
  </si>
  <si>
    <t>Medina Sandoval</t>
  </si>
  <si>
    <t>Josue Medina Sandoval</t>
  </si>
  <si>
    <t>jos33arc@gmail.com</t>
  </si>
  <si>
    <t>Olivia Sandoval Sandoval</t>
  </si>
  <si>
    <t>yess.uribe95@gmail.com</t>
  </si>
  <si>
    <t>Leonardo</t>
  </si>
  <si>
    <t>Leonardo Osnaya Juárez</t>
  </si>
  <si>
    <t>Gabriela Juárez Velázquez</t>
  </si>
  <si>
    <t>gabbyux@hotmail.com</t>
  </si>
  <si>
    <t>Rubén Alexánder</t>
  </si>
  <si>
    <t>Soriano Mireles</t>
  </si>
  <si>
    <t>Rubén Alexánder Soriano Mireles</t>
  </si>
  <si>
    <t>ralexandersoriano@gmail.com</t>
  </si>
  <si>
    <t>Ruben Soriano Figueroa</t>
  </si>
  <si>
    <t>glacius37@gmail.com</t>
  </si>
  <si>
    <t>Miriam de Solis Mireles</t>
  </si>
  <si>
    <t>mmr_lds@hotmail.com</t>
  </si>
  <si>
    <t>Villalobos Alvarado</t>
  </si>
  <si>
    <t>Valentina Villalobos Alvarado</t>
  </si>
  <si>
    <t>valentina.av.291210@gmail.com</t>
  </si>
  <si>
    <t>Rosalba Villalobos Salas</t>
  </si>
  <si>
    <t>villalobossalasr33@gmail.com</t>
  </si>
  <si>
    <t>Luis Alberto Alvarado García</t>
  </si>
  <si>
    <t>bet_tito83@hotmail.com</t>
  </si>
  <si>
    <t>a desparacitante nitazoxanida</t>
  </si>
  <si>
    <t>Christian Yahir</t>
  </si>
  <si>
    <t>Marroquín Gonzalez</t>
  </si>
  <si>
    <t>Christian Yahir Marroquín Gonzalez</t>
  </si>
  <si>
    <t>Christian.marro@outlook.com</t>
  </si>
  <si>
    <t>Carlos Yilmar Marroquin Guzman</t>
  </si>
  <si>
    <t>marroo2027@hotmail.com</t>
  </si>
  <si>
    <t>Anel</t>
  </si>
  <si>
    <t>Anel Santiago Castellanos</t>
  </si>
  <si>
    <t>Ernesto Castellanos Juarez</t>
  </si>
  <si>
    <t>Mía Estephania</t>
  </si>
  <si>
    <t>Peña Cienega</t>
  </si>
  <si>
    <t>Mía Estephania Peña Cienega</t>
  </si>
  <si>
    <t>miaestephania1811@gmail.com</t>
  </si>
  <si>
    <t>Alicia Cienega Saldaña</t>
  </si>
  <si>
    <t>camealymay@gmail.com</t>
  </si>
  <si>
    <t>Sulfas</t>
  </si>
  <si>
    <t>Iván Isaías</t>
  </si>
  <si>
    <t>Olvera Morales</t>
  </si>
  <si>
    <t>ivanisaiasolveramorales@gmail.com</t>
  </si>
  <si>
    <t>María Irene Palacios Olvera</t>
  </si>
  <si>
    <t>Christopher Carlos</t>
  </si>
  <si>
    <t>Ramírez Marín</t>
  </si>
  <si>
    <t>Christopher Carlos Ramírez Marín</t>
  </si>
  <si>
    <t>carlosramirezloera@hotmail.com</t>
  </si>
  <si>
    <t>come de todo, todo bien con la alimentación.</t>
  </si>
  <si>
    <t>Carlos Ramírez Loera</t>
  </si>
  <si>
    <t>Miriam Marín Ortega</t>
  </si>
  <si>
    <t>Sofya</t>
  </si>
  <si>
    <t>Sosa Reyes</t>
  </si>
  <si>
    <t>Sofya Sosa Reyes</t>
  </si>
  <si>
    <t>marioesc11@hotmail.com</t>
  </si>
  <si>
    <t>Martio Alberto Sosa Perez</t>
  </si>
  <si>
    <t>Chavez Huerta</t>
  </si>
  <si>
    <t>David Chavez Huerta</t>
  </si>
  <si>
    <t>CHAVEZHUERTADAVID@GMAIL.COM</t>
  </si>
  <si>
    <t>David Chávez González</t>
  </si>
  <si>
    <t>countrydavsud@mail.com</t>
  </si>
  <si>
    <t>Vanessa</t>
  </si>
  <si>
    <t>Nava Valencia</t>
  </si>
  <si>
    <t>Vanessa Nava Valencia</t>
  </si>
  <si>
    <t>vanessanavavalencia11@gmail.com</t>
  </si>
  <si>
    <t>Sarai Valencia de la Luz</t>
  </si>
  <si>
    <t>svalenciadlluz@gmail.com</t>
  </si>
  <si>
    <t>José Jorge Nava valencia</t>
  </si>
  <si>
    <t>pepesnavag@gmail.com</t>
  </si>
  <si>
    <t>Fidel</t>
  </si>
  <si>
    <t>Fidel Mendez Marquez</t>
  </si>
  <si>
    <t>Paola Lisset</t>
  </si>
  <si>
    <t>Martinez Tolentino</t>
  </si>
  <si>
    <t>martineztolentinopaola@gmail.com</t>
  </si>
  <si>
    <t>Juana Tolentino Martínez</t>
  </si>
  <si>
    <t>juanatolentino533@gmail.com</t>
  </si>
  <si>
    <t>Gerardo</t>
  </si>
  <si>
    <t>Guzman Rios</t>
  </si>
  <si>
    <t>Gerardo Guzman Rios</t>
  </si>
  <si>
    <t>guzmanriosgerardo365@gmail.com</t>
  </si>
  <si>
    <t>karen fernanda lara rios</t>
  </si>
  <si>
    <t>guzmanriosmichell365@gmail.com</t>
  </si>
  <si>
    <t>Giovanna</t>
  </si>
  <si>
    <t>Garcia Hernandez</t>
  </si>
  <si>
    <t>Giovanna Garcia Hernandez</t>
  </si>
  <si>
    <t>giogarher070809@icloud.com</t>
  </si>
  <si>
    <t>Sheila Garcia Hernandez</t>
  </si>
  <si>
    <t>Sheylagarcia370@gmail.com</t>
  </si>
  <si>
    <t>Falcon Juarez</t>
  </si>
  <si>
    <t>Leonel Falcon Juarez</t>
  </si>
  <si>
    <t>leonelfalcon1998@gmail.com</t>
  </si>
  <si>
    <t>Alergia a las zanahorias</t>
  </si>
  <si>
    <t>Claudia Falcon</t>
  </si>
  <si>
    <t>Sin zanahorias</t>
  </si>
  <si>
    <t>Zanahoria</t>
  </si>
  <si>
    <t>Carmen Valentina</t>
  </si>
  <si>
    <t>Granados Melendez</t>
  </si>
  <si>
    <t>Carmen Valentina Granados Melendez</t>
  </si>
  <si>
    <t>granadosv526@gmail.com</t>
  </si>
  <si>
    <t>Erika Anabel Melendez Haro</t>
  </si>
  <si>
    <t>melendezerika577@gmai.com</t>
  </si>
  <si>
    <t>Eber Granados Andrade</t>
  </si>
  <si>
    <t>Ruben Akinyemi</t>
  </si>
  <si>
    <t>Esteves Hernandez</t>
  </si>
  <si>
    <t>Ruben Akinyemi Esteves Hernandez</t>
  </si>
  <si>
    <t>55 4863 1825</t>
  </si>
  <si>
    <t>akinru27@gmail.com</t>
  </si>
  <si>
    <t>Cristina Hernandez Cruz</t>
  </si>
  <si>
    <t>criskym10@gmail.com</t>
  </si>
  <si>
    <t>55 2701 1708</t>
  </si>
  <si>
    <t>Hernandez Muñiz</t>
  </si>
  <si>
    <t>Santiago Hernandez Muñiz</t>
  </si>
  <si>
    <t>santiagohernandezmuniz986@gmail.com</t>
  </si>
  <si>
    <t>Irene karina Muñiz luna</t>
  </si>
  <si>
    <t>sandybella_79@yahoo.com</t>
  </si>
  <si>
    <t>Miriam Aideé</t>
  </si>
  <si>
    <t>Hernández Reyes</t>
  </si>
  <si>
    <t>Miriam Aideé Hernández Reyes</t>
  </si>
  <si>
    <t>hernandezreyesmiri.123@gmail.com</t>
  </si>
  <si>
    <t>Sergio Hernández Castro</t>
  </si>
  <si>
    <t>comdisca69@gmail.com</t>
  </si>
  <si>
    <t>Irma Reyes Lázaro</t>
  </si>
  <si>
    <t>irmareyeslazaro@gmail.com</t>
  </si>
  <si>
    <t>Kendra Raquel</t>
  </si>
  <si>
    <t>Kendra Raquel Sandoval Rosas</t>
  </si>
  <si>
    <t>sandovalrosaskendraraquel@gmail.com</t>
  </si>
  <si>
    <t>Valeria</t>
  </si>
  <si>
    <t>García Gandarilla</t>
  </si>
  <si>
    <t>Valeria García Gandarilla</t>
  </si>
  <si>
    <t>valg72728@gmail.com</t>
  </si>
  <si>
    <t>Laura Garcia Gandarilla</t>
  </si>
  <si>
    <t>garcialaurag@hotmail.com</t>
  </si>
  <si>
    <t>Brisa Alejandra</t>
  </si>
  <si>
    <t>Morales Pérez</t>
  </si>
  <si>
    <t>Brisa Alejandra Morales Pérez</t>
  </si>
  <si>
    <t>brissmp011@gmail.com</t>
  </si>
  <si>
    <t>no hay ninguna dieta en especial</t>
  </si>
  <si>
    <t>Maria del Rosario Perez Gallaga</t>
  </si>
  <si>
    <t>mariagallaga54@gmail.com</t>
  </si>
  <si>
    <t>Alexandra Sarai</t>
  </si>
  <si>
    <t>Ortega Arcos</t>
  </si>
  <si>
    <t>Alexandra Sarai Ortega Arcos</t>
  </si>
  <si>
    <t>alexandraortegaarcos1030@gmail.com</t>
  </si>
  <si>
    <t>Juan Manuel Ortega Cruz</t>
  </si>
  <si>
    <t>baruzi_pauleta2221@gmail.com</t>
  </si>
  <si>
    <t>Sarai Arcos Padilla</t>
  </si>
  <si>
    <t>saraiarcospadilla@Gmail.com</t>
  </si>
  <si>
    <t>Nuri alondra</t>
  </si>
  <si>
    <t>Magallon lona</t>
  </si>
  <si>
    <t>Marylin viridiana lona zamora</t>
  </si>
  <si>
    <t>nurialondramlona28@gmail.com</t>
  </si>
  <si>
    <t>Rodríguez Jiménez</t>
  </si>
  <si>
    <t>luzelrj001@gmail.com</t>
  </si>
  <si>
    <t>Beatriz Rodriguez Jimenez</t>
  </si>
  <si>
    <t>betyrdgzjimenez04@gmail.com</t>
  </si>
  <si>
    <t>Martinez Cruz</t>
  </si>
  <si>
    <t>David Martinez Cruz</t>
  </si>
  <si>
    <t>davidmartinezcr2501@gmail.com</t>
  </si>
  <si>
    <t>Ana Lilia Cruz Dominguez</t>
  </si>
  <si>
    <t>anali00ya@gmail.com</t>
  </si>
  <si>
    <t>Carlos Daniel</t>
  </si>
  <si>
    <t>Montoya Nuñez</t>
  </si>
  <si>
    <t>Carlos Daniel Montoya Nuñez</t>
  </si>
  <si>
    <t>carlos.daniel.montoyan@gmail.com</t>
  </si>
  <si>
    <t>Carlos Montoya Rios</t>
  </si>
  <si>
    <t>tryu1734@gmail.com</t>
  </si>
  <si>
    <t>Naomi de Garnica Nuñez</t>
  </si>
  <si>
    <t>imoan.29@gmail.com</t>
  </si>
  <si>
    <t>56 3022 4412</t>
  </si>
  <si>
    <t>Abinadi Hyrum</t>
  </si>
  <si>
    <t>Sanchez Cruz</t>
  </si>
  <si>
    <t>Abinadi Hyrum Sanchez Cruz</t>
  </si>
  <si>
    <t>abinadikamado@gmail.com</t>
  </si>
  <si>
    <t>Lucia Cruz</t>
  </si>
  <si>
    <t>lucy012504@gmail.com</t>
  </si>
  <si>
    <t>Athenas Escarlet</t>
  </si>
  <si>
    <t>Herrera Rivas</t>
  </si>
  <si>
    <t>Athenas Escarlet Herrera Rivas</t>
  </si>
  <si>
    <t>herreraae20@gmail.com</t>
  </si>
  <si>
    <t>Fatima Rivas Corralejo</t>
  </si>
  <si>
    <t>fatima033@gmail.com</t>
  </si>
  <si>
    <t>Intolerante a la lactosa, penicilina</t>
  </si>
  <si>
    <t>Bárbara Waleska</t>
  </si>
  <si>
    <t>Bárbara Waleska Tello Tello</t>
  </si>
  <si>
    <t>waleskatellotello@gmail.com</t>
  </si>
  <si>
    <t>Ricardo Tello Saavedra</t>
  </si>
  <si>
    <t>Rinitis alergica</t>
  </si>
  <si>
    <t>Briceyda Natalia</t>
  </si>
  <si>
    <t>Rojas Dominguez</t>
  </si>
  <si>
    <t>briceydanataliar@gmail.com</t>
  </si>
  <si>
    <t>toma agua todo el dia por una afectacion cardiaca</t>
  </si>
  <si>
    <t>Rolando Williams Rojas Milla</t>
  </si>
  <si>
    <t>rojasmillarolando@gmail.com</t>
  </si>
  <si>
    <t>Ivonne Susana de Rojas Dominguez</t>
  </si>
  <si>
    <t>dori7059@gmail.com</t>
  </si>
  <si>
    <t>Eliot Ahbdayan</t>
  </si>
  <si>
    <t>Eliot Ahbdayan Lopez Rodriguez</t>
  </si>
  <si>
    <t>lopezrodriguezeliotadhbayan@gmail.com</t>
  </si>
  <si>
    <t>Oziel Baruk</t>
  </si>
  <si>
    <t>Oziel Baruk Gomez Casiano</t>
  </si>
  <si>
    <t>gomezbaruk65@gmail.com</t>
  </si>
  <si>
    <t>EDGAR MIGUEL GOMEZ MASCAREÑAS</t>
  </si>
  <si>
    <t>gargui_86@hotmail.com</t>
  </si>
  <si>
    <t>55 3725 6597</t>
  </si>
  <si>
    <t>Maria Guadalupe Casiano Antonio</t>
  </si>
  <si>
    <t>55 1344 2315</t>
  </si>
  <si>
    <t>Miriam</t>
  </si>
  <si>
    <t>Peralta Galicia</t>
  </si>
  <si>
    <t>Miriam Peralta Galicia</t>
  </si>
  <si>
    <t>everperalta79@gmail.com</t>
  </si>
  <si>
    <t>Narciso Everardo Peralta Aviles</t>
  </si>
  <si>
    <t>Nelly Galicia García</t>
  </si>
  <si>
    <t>nellygalicia.unam@gmail.com</t>
  </si>
  <si>
    <t>Luciana</t>
  </si>
  <si>
    <t>Duque Reyes</t>
  </si>
  <si>
    <t>Luciana Duque Reyes</t>
  </si>
  <si>
    <t>icagloriareyes@hotmail.com</t>
  </si>
  <si>
    <t>Gloria Lilian Reyes Leon</t>
  </si>
  <si>
    <t>Adrián Kaleb</t>
  </si>
  <si>
    <t>Romero Domínguez</t>
  </si>
  <si>
    <t>Adrián Kaleb Romero Domínguez</t>
  </si>
  <si>
    <t>kalebromero150@gmail.com</t>
  </si>
  <si>
    <t>Alma Nayeli Dominguez Tejeda</t>
  </si>
  <si>
    <t>almanayeli1470@gmail.com</t>
  </si>
  <si>
    <t>Larrondo Guerrero</t>
  </si>
  <si>
    <t>Camila Larrondo Guerrero</t>
  </si>
  <si>
    <t>camila.larrondo.g@gmail.com</t>
  </si>
  <si>
    <t>María Fernanda Guerrero Fernandez</t>
  </si>
  <si>
    <t>fernandag_18@hotmail.com</t>
  </si>
  <si>
    <t>Aspirina</t>
  </si>
  <si>
    <t>Bruno Emiliano</t>
  </si>
  <si>
    <t>Bruno Emiliano Lemus Gutierrez</t>
  </si>
  <si>
    <t>brunolemus1909@gmail.com</t>
  </si>
  <si>
    <t>Jorge Lemus Alberto</t>
  </si>
  <si>
    <t>lemusaljo@hotmail.com</t>
  </si>
  <si>
    <t>linda-83266@hotmail.com</t>
  </si>
  <si>
    <t>Josué Elí</t>
  </si>
  <si>
    <t>Josué Elí Peralta Galicia</t>
  </si>
  <si>
    <t>josueeliperaltagalicia@gmail.com</t>
  </si>
  <si>
    <t>eduardo</t>
  </si>
  <si>
    <t>De la cruz bautista</t>
  </si>
  <si>
    <t>Andrea bautista enrique</t>
  </si>
  <si>
    <t>andreaylaloandra@gmail.com</t>
  </si>
  <si>
    <t>Brisia Johana</t>
  </si>
  <si>
    <t>Menez Yee</t>
  </si>
  <si>
    <t>Brisia Johana Menez Yee</t>
  </si>
  <si>
    <t>brisiajohanamenezyee@gmail.com</t>
  </si>
  <si>
    <t>Jared Nathaly de Segura Menez</t>
  </si>
  <si>
    <t>menezyee@hotmail.com</t>
  </si>
  <si>
    <t>Geremy</t>
  </si>
  <si>
    <t>Geremy Concepcion Dominguez</t>
  </si>
  <si>
    <t>Gere152010@gmail.com</t>
  </si>
  <si>
    <t>Dileyna Paola</t>
  </si>
  <si>
    <t>Guarneros Guadarrama</t>
  </si>
  <si>
    <t>Dileyna Paola Guarneros Guadarrama</t>
  </si>
  <si>
    <t>Pao come de todo no hay problema por eso y no es alérgica a ningún alimento hasta</t>
  </si>
  <si>
    <t>Ana Laura Guadarrama Resendiz</t>
  </si>
  <si>
    <t>Amayrany</t>
  </si>
  <si>
    <t>Rojas Sánchez</t>
  </si>
  <si>
    <t>lemuusamayrany@gmail.com</t>
  </si>
  <si>
    <t>Alberto Rojas Becerril</t>
  </si>
  <si>
    <t>Vicente Jorge</t>
  </si>
  <si>
    <t>Vicente Jorge Sequeira Palma</t>
  </si>
  <si>
    <t>vicente.sequeira.p@gmail.com</t>
  </si>
  <si>
    <t>Emiliano</t>
  </si>
  <si>
    <t>Rendon Morales</t>
  </si>
  <si>
    <t>Emiliano Rendon Morales</t>
  </si>
  <si>
    <t>hyperian.esports@gmail.com</t>
  </si>
  <si>
    <t>Georgina Morales Bringas</t>
  </si>
  <si>
    <t>ginabringas@icloud.com</t>
  </si>
  <si>
    <t>David Levi</t>
  </si>
  <si>
    <t>David Levi Aragon Tirado</t>
  </si>
  <si>
    <t>davidleviaragontirado@gmail.com</t>
  </si>
  <si>
    <t>Araceli Tirado Velasco</t>
  </si>
  <si>
    <t>missaracelestin@gmail.com</t>
  </si>
  <si>
    <t>arapolidavid@gmaill.com</t>
  </si>
  <si>
    <t>Astrid Zamira</t>
  </si>
  <si>
    <t>Astrid Zamira Mina Carrion</t>
  </si>
  <si>
    <t>Luis Angel</t>
  </si>
  <si>
    <t>Gonzalez Garduño</t>
  </si>
  <si>
    <t>Luis Angel Gonzalez Garduño</t>
  </si>
  <si>
    <t>Luisgp1237@gmail.com</t>
  </si>
  <si>
    <t>Christian Jesus Gonzalez Paz</t>
  </si>
  <si>
    <t>vosagar1976@hotmail.com</t>
  </si>
  <si>
    <t>Valeria Daniela</t>
  </si>
  <si>
    <t>Gonzalez Baltierra</t>
  </si>
  <si>
    <t>Valeria Daniela Gonzalez Baltierra</t>
  </si>
  <si>
    <t>valeriad.gonzalezb@gmail.com</t>
  </si>
  <si>
    <t>Jose Daniel Gonzalez Ramirez</t>
  </si>
  <si>
    <t>jdaniel.gonzalezr@gmail.com</t>
  </si>
  <si>
    <t>Alma Angelica De Gonzalez Baltierra</t>
  </si>
  <si>
    <t>alma.baltierra@gmail.com</t>
  </si>
  <si>
    <t>Barbara Camila</t>
  </si>
  <si>
    <t>Bedolla Villarreal</t>
  </si>
  <si>
    <t>Barbara Camila Bedolla Villarreal</t>
  </si>
  <si>
    <t>luismichelbedolla@gmail.com</t>
  </si>
  <si>
    <t>No come mariscos Todo lo demás si</t>
  </si>
  <si>
    <t>Laura Sayuri Villarreal Hernández</t>
  </si>
  <si>
    <t>vsayuri1@gmail.com</t>
  </si>
  <si>
    <t>Abril Danith</t>
  </si>
  <si>
    <t>García Garduño</t>
  </si>
  <si>
    <t>Abril Danith García Garduño</t>
  </si>
  <si>
    <t>adanith01@gmail.com</t>
  </si>
  <si>
    <t>Orlando Garcia</t>
  </si>
  <si>
    <t>o.garciag@live.com.mx</t>
  </si>
  <si>
    <t>ceftriasona</t>
  </si>
  <si>
    <t>Fernanda</t>
  </si>
  <si>
    <t>Sosa Hernandez</t>
  </si>
  <si>
    <t>Fernanda Sosa Hernandez</t>
  </si>
  <si>
    <t>Solo leche deslactosada</t>
  </si>
  <si>
    <t>Omeprazol</t>
  </si>
  <si>
    <t>Ruedas Alvarez</t>
  </si>
  <si>
    <t>Kamila Zoe</t>
  </si>
  <si>
    <t>Ruedas Alvarez Kamila Zoe</t>
  </si>
  <si>
    <t>kamillazoe.ruedas@gmail.com</t>
  </si>
  <si>
    <t>Leslie Alvarez Quintana</t>
  </si>
  <si>
    <t>lesliealvarez_1979@hotmail.com</t>
  </si>
  <si>
    <t>Iaan Eduardo</t>
  </si>
  <si>
    <t>Hernandez Mercado</t>
  </si>
  <si>
    <t>Iaan Eduardo Hernandez Mercado</t>
  </si>
  <si>
    <t>eduardo_eh2@hotmail.com</t>
  </si>
  <si>
    <t>Nada en particular</t>
  </si>
  <si>
    <t>Gabriel Eduardo Hernandez Varela</t>
  </si>
  <si>
    <t>eduardoeh2.ev@gmail.com</t>
  </si>
  <si>
    <t>Cindy Nayely Mercado Olvera</t>
  </si>
  <si>
    <t>cindymercadoolvera@gmail.com</t>
  </si>
  <si>
    <t>A medicamento metronidazol y penicilina</t>
  </si>
  <si>
    <t>Uso de anteojos</t>
  </si>
  <si>
    <t>Nuri Alondra</t>
  </si>
  <si>
    <t>Magallón Lona</t>
  </si>
  <si>
    <t>Nuri Alondra Magallón Lona</t>
  </si>
  <si>
    <t>Marylin Viridiana Lona Zamora</t>
  </si>
  <si>
    <t>mviri.lonaz_fq@outlook.com</t>
  </si>
  <si>
    <t>Paula Andrea</t>
  </si>
  <si>
    <t>García García</t>
  </si>
  <si>
    <t>Paula Andrea García García</t>
  </si>
  <si>
    <t>55 8609 8703</t>
  </si>
  <si>
    <t>pauandrea1612@outlook.com</t>
  </si>
  <si>
    <t>Daniel García Tagle</t>
  </si>
  <si>
    <t>dgtgarcialum@gmail.com</t>
  </si>
  <si>
    <t>55 3883 2369</t>
  </si>
  <si>
    <t>Mariana</t>
  </si>
  <si>
    <t>Medina Valdovinos</t>
  </si>
  <si>
    <t>Mariana Medina Valdovinos</t>
  </si>
  <si>
    <t>56 6082 3777</t>
  </si>
  <si>
    <t>xentinelavar@gmail.com</t>
  </si>
  <si>
    <t>Rosenda valdovinos</t>
  </si>
  <si>
    <t>Sulfas y penicilina</t>
  </si>
  <si>
    <t>Silvia Natalia</t>
  </si>
  <si>
    <t>Espinosa Espinosa</t>
  </si>
  <si>
    <t>Silvia Natalia Espinosa Espinosa</t>
  </si>
  <si>
    <t>silvia15042@hotmail.com</t>
  </si>
  <si>
    <t>Silvia Espinoza Espinoza</t>
  </si>
  <si>
    <t>Efrain</t>
  </si>
  <si>
    <t>Garduño Flores</t>
  </si>
  <si>
    <t>Efrain Garduño Flores</t>
  </si>
  <si>
    <t>efraingardunoflores@gmail.com</t>
  </si>
  <si>
    <t>sin alergias.</t>
  </si>
  <si>
    <t>Heber Raul Garduño Ponce</t>
  </si>
  <si>
    <t>hrgp88@gmail.com</t>
  </si>
  <si>
    <t>Alejandra de Garduño Flores</t>
  </si>
  <si>
    <t>floresrodriguez240315@gmail.com</t>
  </si>
  <si>
    <t>Ramses Alexander</t>
  </si>
  <si>
    <t>Belmont Sandoval</t>
  </si>
  <si>
    <t>belmontalexander06@gmail.com</t>
  </si>
  <si>
    <t>Mauricio Belmont Sánchez</t>
  </si>
  <si>
    <t>belmontmauricio9@gmail.com</t>
  </si>
  <si>
    <t>Inderalici (propranolol) media tableta cada 12 horas</t>
  </si>
  <si>
    <t>Roa Morales</t>
  </si>
  <si>
    <t>Carlos Daniel Roa Morales</t>
  </si>
  <si>
    <t>amparomoralesmor@gmail.com</t>
  </si>
  <si>
    <t>Jose Adolfo Martínez Álvarez</t>
  </si>
  <si>
    <t>ppmartinezz1973@gmail.com</t>
  </si>
  <si>
    <t>Leonardo Dante</t>
  </si>
  <si>
    <t>Murguia Romero</t>
  </si>
  <si>
    <t>Leonardo Dante Murguia Romero</t>
  </si>
  <si>
    <t>martha.xamd@gmail.com</t>
  </si>
  <si>
    <t>Angel Murguia Dominguez</t>
  </si>
  <si>
    <t>Perez Rodriguez</t>
  </si>
  <si>
    <t>Alan Perez Rodriguez</t>
  </si>
  <si>
    <t>perezalanisai932@gmail.com</t>
  </si>
  <si>
    <t>Amelia Guadalupe Rodriguez Rosas</t>
  </si>
  <si>
    <t>melyrodriguez0590@gmail.com</t>
  </si>
  <si>
    <t>Edgar Sebastian</t>
  </si>
  <si>
    <t>Guevara Perez</t>
  </si>
  <si>
    <t>Edgar Sebastian Guevara Perez</t>
  </si>
  <si>
    <t>guevaraperezedgarsebastianguev@gmail.com</t>
  </si>
  <si>
    <t>Belén Pérez Blanco</t>
  </si>
  <si>
    <t>bp420881@gmail.com</t>
  </si>
  <si>
    <t>Himni Yaret</t>
  </si>
  <si>
    <t>Vazquez Garcia</t>
  </si>
  <si>
    <t>Himni Yaret Vazquez Garcia</t>
  </si>
  <si>
    <t>jesaret2410@hotmail.com</t>
  </si>
  <si>
    <t>Jose Filiberto Vazquez Leyva</t>
  </si>
  <si>
    <t>vazgar2105@gmail.com</t>
  </si>
  <si>
    <t>Nancy Garcia Alvarez</t>
  </si>
  <si>
    <t>Analí</t>
  </si>
  <si>
    <t>Garcia Santillan</t>
  </si>
  <si>
    <t>Analí Garcia Santillan</t>
  </si>
  <si>
    <t>garciasantillananali@gmail.com</t>
  </si>
  <si>
    <t>Teresa Santillan Portillo</t>
  </si>
  <si>
    <t>teresasantillanportillo@gmail.com</t>
  </si>
  <si>
    <t>guadalupevaleriagarcia11@gmail.com</t>
  </si>
  <si>
    <t>Diego Emmanuel</t>
  </si>
  <si>
    <t>Rodriguez Osnaya</t>
  </si>
  <si>
    <t>Diego Emmanuel Rodriguez Osnaya</t>
  </si>
  <si>
    <t>eldieguito2006@gmail.com</t>
  </si>
  <si>
    <t>Miriam de Jesus Osnaya Bolaños</t>
  </si>
  <si>
    <t>miriamob1@hotmail.com</t>
  </si>
  <si>
    <t>Pérez Galván</t>
  </si>
  <si>
    <t>Valeria Pérez Galván</t>
  </si>
  <si>
    <t>valeeperezg0510@gmail.com</t>
  </si>
  <si>
    <t>Noe Perez Alvarez</t>
  </si>
  <si>
    <t>noepalvarez@gmail.com</t>
  </si>
  <si>
    <t>Leticia Galvan Fray</t>
  </si>
  <si>
    <t>lety.galvan1809@gmail.com</t>
  </si>
  <si>
    <t>Rodrigo Yael</t>
  </si>
  <si>
    <t>Rodrigo Yael Guevara Perez</t>
  </si>
  <si>
    <t>ro6erto.alpu09@gmail.com</t>
  </si>
  <si>
    <t>Belen Perez Blanco</t>
  </si>
  <si>
    <t>Ainara Natalia</t>
  </si>
  <si>
    <t>sandoval santiago</t>
  </si>
  <si>
    <t>Ainara Natalia sandoval santiago</t>
  </si>
  <si>
    <t>Norma Hilda Santiago Oloarte</t>
  </si>
  <si>
    <t>Renata</t>
  </si>
  <si>
    <t>Renata Ruiz Sanchez</t>
  </si>
  <si>
    <t>r3465990@gmail.com</t>
  </si>
  <si>
    <t>Tonanzin Gabriela</t>
  </si>
  <si>
    <t>Perez Serna</t>
  </si>
  <si>
    <t>Tonanzin Gabriela Perez Serna</t>
  </si>
  <si>
    <t>tonanzinperez4@gmail.com</t>
  </si>
  <si>
    <t>Dulce Maria Serna Pluma</t>
  </si>
  <si>
    <t>sernaplumadulcemaria@gmail.com</t>
  </si>
  <si>
    <t>Salvador</t>
  </si>
  <si>
    <t>Valdez Cantu</t>
  </si>
  <si>
    <t>Salvador Valdez Cantu</t>
  </si>
  <si>
    <t>icandy.rosa@gmail.com</t>
  </si>
  <si>
    <t>Rosa María Rodríguez Esqudero</t>
  </si>
  <si>
    <t>Icandy.rosa@gmail.com</t>
  </si>
  <si>
    <t>Emma Jocelyn</t>
  </si>
  <si>
    <t>Emma Jocelyn Ramírez Sánchez</t>
  </si>
  <si>
    <t>sanazu_86@hotmail.com</t>
  </si>
  <si>
    <t>puede cØmer frutas, verduras, de todo</t>
  </si>
  <si>
    <t>Nadia Carolina</t>
  </si>
  <si>
    <t>Misael Ramirez</t>
  </si>
  <si>
    <t>mramirezqualitas@gmail.com</t>
  </si>
  <si>
    <t>Alisson Sarahi</t>
  </si>
  <si>
    <t>Martinez Palma</t>
  </si>
  <si>
    <t>Alisson Sarahi Martinez Palma</t>
  </si>
  <si>
    <t>alisson10mtz@gmail.com</t>
  </si>
  <si>
    <t>lina talia palma rugerio</t>
  </si>
  <si>
    <t>tutualis.mar@gmail.com</t>
  </si>
  <si>
    <t>Ismael Benjamin</t>
  </si>
  <si>
    <t>Bernal Oleta</t>
  </si>
  <si>
    <t>Ismael Benjamin Bernal Oleta</t>
  </si>
  <si>
    <t>ismaelbernaloleta1@gmail.com</t>
  </si>
  <si>
    <t>Alejandro Bernal Oleta</t>
  </si>
  <si>
    <t>Isabel Oleta Diaz</t>
  </si>
  <si>
    <t>Macias Sanchez</t>
  </si>
  <si>
    <t>Regina Macias Sanchez</t>
  </si>
  <si>
    <t>rexilitas@gmail.com</t>
  </si>
  <si>
    <t>Jorge Enrique Macías Ramírez</t>
  </si>
  <si>
    <t>jorgemacias2003@gmail.com</t>
  </si>
  <si>
    <t>Fabiola del Carmen Sánchez Flores</t>
  </si>
  <si>
    <t>fabilitas@gmail.com</t>
  </si>
  <si>
    <t>Santiago Michelle</t>
  </si>
  <si>
    <t>Aguilar Peyrani</t>
  </si>
  <si>
    <t>Santiago Michelle Aguilar Peyrani</t>
  </si>
  <si>
    <t>santiagoaguilar82495@gmail.com</t>
  </si>
  <si>
    <t>Michelle Aguilar Tomas</t>
  </si>
  <si>
    <t>aguilartomasmichelle35@gmail.com</t>
  </si>
  <si>
    <t>Naranja</t>
  </si>
  <si>
    <t>Ernesto Moriancumer</t>
  </si>
  <si>
    <t>Ernesto Moriancumer Osorio Duran</t>
  </si>
  <si>
    <t>moriancumer851@gmail.com</t>
  </si>
  <si>
    <t>Geraldine Idaly</t>
  </si>
  <si>
    <t>Roca Vargas</t>
  </si>
  <si>
    <t>Geraldine Idaly Roca Vargas</t>
  </si>
  <si>
    <t>geraldineidalyroca@gmail.com</t>
  </si>
  <si>
    <t>Yarett Idali Vargas Rodriguez</t>
  </si>
  <si>
    <t>yarett_idaly@hotmail.com</t>
  </si>
  <si>
    <t>Daphne Irais</t>
  </si>
  <si>
    <t>Baéz Celedonio</t>
  </si>
  <si>
    <t>Daphne Irais Baéz Celedonio</t>
  </si>
  <si>
    <t>jannetebaezceledonio@gmail.com</t>
  </si>
  <si>
    <t>Jannete Baéz Celedonio</t>
  </si>
  <si>
    <t>jannetebaezceledonio@gmail.con</t>
  </si>
  <si>
    <t>Yaretzi Itzayana</t>
  </si>
  <si>
    <t>Contreras Flores</t>
  </si>
  <si>
    <t>Yaretzi Itzayana Contreras Flores</t>
  </si>
  <si>
    <t>contreras100210@gmail.com</t>
  </si>
  <si>
    <t>Manuel Contreras Juarez</t>
  </si>
  <si>
    <t>manuel.contreras6303@gmail.com</t>
  </si>
  <si>
    <t>Itan Raymundo</t>
  </si>
  <si>
    <t>García Pacheco</t>
  </si>
  <si>
    <t>Itan Raymundo García Pacheco</t>
  </si>
  <si>
    <t>itan220904@gmail.com</t>
  </si>
  <si>
    <t>plato del buen comer sin restricciones alimenticias</t>
  </si>
  <si>
    <t>isabellagrc4@gmail.com</t>
  </si>
  <si>
    <t>Karla Viviana</t>
  </si>
  <si>
    <t>Arcos Hurtado</t>
  </si>
  <si>
    <t>Karla Viviana Arcos Hurtado</t>
  </si>
  <si>
    <t>karliana1108@gmail.com</t>
  </si>
  <si>
    <t>Arcos Hurtado Guadalupe Andrea</t>
  </si>
  <si>
    <t>evolethjonhyq@gmail.com</t>
  </si>
  <si>
    <t>Michelle</t>
  </si>
  <si>
    <t>Román Martinez</t>
  </si>
  <si>
    <t>Michelle Román Martinez</t>
  </si>
  <si>
    <t>estrellaroman184@gmail.com</t>
  </si>
  <si>
    <t>Guadalupe Román Martínez</t>
  </si>
  <si>
    <t>lupita_star_rm@hotmail.com</t>
  </si>
  <si>
    <t>Rodrigo Sebastian</t>
  </si>
  <si>
    <t>Tavera Rodriguez</t>
  </si>
  <si>
    <t>Rodrigo Sebastian Tavera Rodriguez</t>
  </si>
  <si>
    <t>sebastav582010@gmail.com</t>
  </si>
  <si>
    <t>Dilsia Rodiguez Dueñas</t>
  </si>
  <si>
    <t>dbonita_78@hotmail.com</t>
  </si>
  <si>
    <t>Rodrigo Tavera Carreño</t>
  </si>
  <si>
    <t>rodris__bous1974@hotmail.com</t>
  </si>
  <si>
    <t>Juárez Migueles</t>
  </si>
  <si>
    <t>Daniel Juárez Migueles</t>
  </si>
  <si>
    <t>Danieljuarezmigueles@gmail.com</t>
  </si>
  <si>
    <t>Daniel Juarez Luna</t>
  </si>
  <si>
    <t>danieljua@hotmail.com</t>
  </si>
  <si>
    <t>Camarones</t>
  </si>
  <si>
    <t>Jandury Alexandra</t>
  </si>
  <si>
    <t>Jandury Alexandra Sifuentes Gutierrez</t>
  </si>
  <si>
    <t>janduryg@gmail.com</t>
  </si>
  <si>
    <t>Francisco Sifuentes Castilla</t>
  </si>
  <si>
    <t>fsifuentessud@gmail.com</t>
  </si>
  <si>
    <t>Rocio Gutiérrez Cisneros</t>
  </si>
  <si>
    <t>Hugo Alberto</t>
  </si>
  <si>
    <t>Figueroa Flandes</t>
  </si>
  <si>
    <t>Hugo Alberto Figueroa Flandes</t>
  </si>
  <si>
    <t>hf13hugo@gmail.com</t>
  </si>
  <si>
    <t>Hugo Figueroa Pérez</t>
  </si>
  <si>
    <t>ffpisis@gmail.com</t>
  </si>
  <si>
    <t>Myrna Flandes Reyes</t>
  </si>
  <si>
    <t>myrpisis@gmail.com</t>
  </si>
  <si>
    <t>Arnold Jael</t>
  </si>
  <si>
    <t>Avila Domínguez</t>
  </si>
  <si>
    <t>Jared Avila Domínguez</t>
  </si>
  <si>
    <t>ldsjaredpro@icloud.com</t>
  </si>
  <si>
    <t>Arnold Jael Martinez Palma</t>
  </si>
  <si>
    <t>Nancy Arely Dominguez Amezcua</t>
  </si>
  <si>
    <t>nantinini@hotmail.com</t>
  </si>
  <si>
    <t>Carlos Emiliano</t>
  </si>
  <si>
    <t>Carlos Emiliano Moreno Rosas</t>
  </si>
  <si>
    <t>emilianomorenorosas@gmail.com</t>
  </si>
  <si>
    <t>Juan Carlos Moreno juarez</t>
  </si>
  <si>
    <t>carlos.moreno@originago.com</t>
  </si>
  <si>
    <t>arnold.ag91@gmail.com</t>
  </si>
  <si>
    <t>Jimena</t>
  </si>
  <si>
    <t>Jimena Sandoval Garcia</t>
  </si>
  <si>
    <t>Efrain Martinez</t>
  </si>
  <si>
    <t>lic_oasg@yahoo.com.mx</t>
  </si>
  <si>
    <t>Comer a tiempo</t>
  </si>
  <si>
    <t>jael.ag91@gmail.com</t>
  </si>
  <si>
    <t>Omar Adrian Sandoval Garcia</t>
  </si>
  <si>
    <t>Ivonne Garcia</t>
  </si>
  <si>
    <t>bony_mi@yahoo.com.mx</t>
  </si>
  <si>
    <t>55 3889 1959</t>
  </si>
  <si>
    <t>Erick Sebastian</t>
  </si>
  <si>
    <t>Esquivel Dominguez</t>
  </si>
  <si>
    <t>Erick Sebastian Esquivel Dominguez</t>
  </si>
  <si>
    <t>gygy010675@gmail.com</t>
  </si>
  <si>
    <t>Georgina Domínguez</t>
  </si>
  <si>
    <t>Alfredo Esquivel</t>
  </si>
  <si>
    <t>DIABETES</t>
  </si>
  <si>
    <t>Idali</t>
  </si>
  <si>
    <t>Gonzalez Ocampo</t>
  </si>
  <si>
    <t>Idali Gonzalez Ocampo</t>
  </si>
  <si>
    <t>idali.glez.o.13@gmail.com</t>
  </si>
  <si>
    <t>Valeria González Ocampo</t>
  </si>
  <si>
    <t>validica13@gmail.com</t>
  </si>
  <si>
    <t>Isabella Romina</t>
  </si>
  <si>
    <t>Maldonado Ayala</t>
  </si>
  <si>
    <t>Isabella Romina Maldonado Ayala</t>
  </si>
  <si>
    <t>55 2433 5264</t>
  </si>
  <si>
    <t>aleayal@yahoo.com.mx</t>
  </si>
  <si>
    <t>Ninguna restricciòn</t>
  </si>
  <si>
    <t>Adriana Alejandra Ayala Espinosa</t>
  </si>
  <si>
    <t>José Alberto Maldonado López</t>
  </si>
  <si>
    <t>j_amaldonado@hotmail.com</t>
  </si>
  <si>
    <t>Mahonri Daniel</t>
  </si>
  <si>
    <t>Villanueva Juarez</t>
  </si>
  <si>
    <t>Mahonri Daniel Villanueva Juarez</t>
  </si>
  <si>
    <t>vmahonridaniel@gmail.com</t>
  </si>
  <si>
    <t>Javier Villanueva Hernández</t>
  </si>
  <si>
    <t>jvillanuevah2012@gmail.com</t>
  </si>
  <si>
    <t>Evelin Juárez Ronquillo</t>
  </si>
  <si>
    <t>evelinjr06@hotmail.com</t>
  </si>
  <si>
    <t>María</t>
  </si>
  <si>
    <t>Carbajal Langarica</t>
  </si>
  <si>
    <t>María Carbajal Langarica</t>
  </si>
  <si>
    <t>55 2308 3906</t>
  </si>
  <si>
    <t>mariacarbajallangarica@gmail.com</t>
  </si>
  <si>
    <t>Alejandro Carbajal Barrón</t>
  </si>
  <si>
    <t>alejandro.carbajalb@gmail.com</t>
  </si>
  <si>
    <t>Monica Langarica Chavez</t>
  </si>
  <si>
    <t>monica.langaricac@gmail.com</t>
  </si>
  <si>
    <t>Angél Edwin</t>
  </si>
  <si>
    <t>Gómez Fernádez</t>
  </si>
  <si>
    <t>gomezangeled01@gmail.com</t>
  </si>
  <si>
    <t>Jose Angel Gomez Castrejon</t>
  </si>
  <si>
    <t>evilangels8827@gmail.com</t>
  </si>
  <si>
    <t>Yaruby Fernanda</t>
  </si>
  <si>
    <t>Venegas Lopez</t>
  </si>
  <si>
    <t>Yaruby Fernanda Venegas Lopez</t>
  </si>
  <si>
    <t>yarubylope74@gmail.com</t>
  </si>
  <si>
    <t>Maria Magdalena Sanchez Morales</t>
  </si>
  <si>
    <t>yarubylopez@gmail.com</t>
  </si>
  <si>
    <t>Camila Aranza</t>
  </si>
  <si>
    <t>Chavez Perez</t>
  </si>
  <si>
    <t>Camila Aranza Chavez Perez</t>
  </si>
  <si>
    <t>camichvega03@gmail.com</t>
  </si>
  <si>
    <t>Cesar Chavez Vega</t>
  </si>
  <si>
    <t>cesarwega777@gmail.com</t>
  </si>
  <si>
    <t>55 8678 3234</t>
  </si>
  <si>
    <t>Maria Elena Perez Licona</t>
  </si>
  <si>
    <t>elena1503cami@gmail.com</t>
  </si>
  <si>
    <t>56 6135 8126</t>
  </si>
  <si>
    <t>Omar Azeem</t>
  </si>
  <si>
    <t>Carbajal Reyes</t>
  </si>
  <si>
    <t>Omar Azeem Carbajal Reyes</t>
  </si>
  <si>
    <t>superomar-6@outlook.com</t>
  </si>
  <si>
    <t>Ningún problema</t>
  </si>
  <si>
    <t>Alma Reyes Medina</t>
  </si>
  <si>
    <t>almarm-28@hotmail.com</t>
  </si>
  <si>
    <t>Apéndice</t>
  </si>
  <si>
    <t>Lorelaine</t>
  </si>
  <si>
    <t>Juárez Espinosa</t>
  </si>
  <si>
    <t>Lorelaine Juárez Espinosa</t>
  </si>
  <si>
    <t>loratadinaa_20g@outlook.com</t>
  </si>
  <si>
    <t>David Isaac Juárez Velázquez</t>
  </si>
  <si>
    <t>blackjudas1@hotmail.com</t>
  </si>
  <si>
    <t>Minerva Selene de Juárez Espinosa</t>
  </si>
  <si>
    <t>selenee_luna@hotmail.com</t>
  </si>
  <si>
    <t>Ricardo Agustín</t>
  </si>
  <si>
    <t>Jiménez Barba</t>
  </si>
  <si>
    <t>Ricardo Agustín Jiménez Barba</t>
  </si>
  <si>
    <t>ricardoagustinjimenezbarba@gmail.com</t>
  </si>
  <si>
    <t>Norma Gabriela Barba Hernandez</t>
  </si>
  <si>
    <t>barbahernandezn@gmail.com</t>
  </si>
  <si>
    <t>Isabella Dubhé</t>
  </si>
  <si>
    <t>Barroso Escalona</t>
  </si>
  <si>
    <t>Isabella Dubhé Barroso Escalona</t>
  </si>
  <si>
    <t>rosendo.b.educacionfinanciera@gmail.com</t>
  </si>
  <si>
    <t>Rosendo Barroso Iglesias</t>
  </si>
  <si>
    <t>Dulce Carolina Escalona Velazquez</t>
  </si>
  <si>
    <t>dulce.c.barroso@gmail.com</t>
  </si>
  <si>
    <t>Medicamento: Penicilina</t>
  </si>
  <si>
    <t>Adriel Tonatiuh</t>
  </si>
  <si>
    <t>Luna Cervantes</t>
  </si>
  <si>
    <t>Adriel Tonatiuh Luna Cervantes</t>
  </si>
  <si>
    <t>adrieltlc64@gmail.com</t>
  </si>
  <si>
    <t>Rodrigo</t>
  </si>
  <si>
    <t>Sicardo Saldaña</t>
  </si>
  <si>
    <t>Rodrigo Sicardo Saldaña</t>
  </si>
  <si>
    <t>55 2380 9445</t>
  </si>
  <si>
    <t>rsicardosaldana@gmail.com</t>
  </si>
  <si>
    <t>Héctor Sicardo Ramírez</t>
  </si>
  <si>
    <t>sicardoh@outlook.com</t>
  </si>
  <si>
    <t>Israel Alejandro</t>
  </si>
  <si>
    <t>Gallegos Cervantes</t>
  </si>
  <si>
    <t>Israel Alejandro Gallegos Cervantes</t>
  </si>
  <si>
    <t>Alejandrogcervantes04@gmail.com</t>
  </si>
  <si>
    <t>Alma Lilian</t>
  </si>
  <si>
    <t>felinovet@gmail.com</t>
  </si>
  <si>
    <t>Caudillo Días</t>
  </si>
  <si>
    <t>Natalia Caudillo Días</t>
  </si>
  <si>
    <t>momodiaz0605@gmail.com</t>
  </si>
  <si>
    <t>Frutas ,verduras,pollo,carne</t>
  </si>
  <si>
    <t>Módica josefina diaz gomez</t>
  </si>
  <si>
    <t>A la cebolla y al maquillaje y paracetamol</t>
  </si>
  <si>
    <t>Brayan De Jesús</t>
  </si>
  <si>
    <t>Montes Ojeda</t>
  </si>
  <si>
    <t>Brayan De Jesús Montes Ojeda</t>
  </si>
  <si>
    <t>montesojedabryan@gmail.com</t>
  </si>
  <si>
    <t>Ricardo Montes Lopez</t>
  </si>
  <si>
    <t>richimontlop89@gmail.com</t>
  </si>
  <si>
    <t>Mahonry Moriancumer</t>
  </si>
  <si>
    <t>Balderas Molina</t>
  </si>
  <si>
    <t>Mahonry Moriancumer Balderas Molina</t>
  </si>
  <si>
    <t>mahm.balm32@aefcm.nuevaescuela.mx</t>
  </si>
  <si>
    <t>Erick Ernesto Sánchez Ramírez</t>
  </si>
  <si>
    <t>madness.storm@gmail.com</t>
  </si>
  <si>
    <t>rinitis qalergica</t>
  </si>
  <si>
    <t>Zara</t>
  </si>
  <si>
    <t>Cárdenas Torres</t>
  </si>
  <si>
    <t>Zara Cárdenas Torres</t>
  </si>
  <si>
    <t>zaracardenastorres@gmail.com</t>
  </si>
  <si>
    <t>Yadira Betsabe Torres Baranda</t>
  </si>
  <si>
    <t>yadce@hotmail.com</t>
  </si>
  <si>
    <t>Angel Moises</t>
  </si>
  <si>
    <t>Perez Ventura Angel Moises</t>
  </si>
  <si>
    <t>esmidamian@gmail.com</t>
  </si>
  <si>
    <t>Esmirna Ventura Damian</t>
  </si>
  <si>
    <t>atoo56548@gmail.com</t>
  </si>
  <si>
    <t>Dayami Arisbeth</t>
  </si>
  <si>
    <t>Rosas Juarez</t>
  </si>
  <si>
    <t>Dayami Arisbeth Rosas Juarez</t>
  </si>
  <si>
    <t>rosasmendoza76@gmail.com</t>
  </si>
  <si>
    <t>Sin restricción</t>
  </si>
  <si>
    <t>Tomás Rosas Mendoza</t>
  </si>
  <si>
    <t>Erika Rosalba Juárez Ronquillo</t>
  </si>
  <si>
    <t>erikarjronquillo@gmail.com</t>
  </si>
  <si>
    <t>alergia a la Loratadina</t>
  </si>
  <si>
    <t>Cesia Valentina</t>
  </si>
  <si>
    <t>Garcia Miguel</t>
  </si>
  <si>
    <t>Cesia Valentina Garcia Miguel</t>
  </si>
  <si>
    <t>cesiamiguel70@gmail.com</t>
  </si>
  <si>
    <t>Maria del Rosario Miguel Lorenzo</t>
  </si>
  <si>
    <t>chayo.te0504@gmail.com</t>
  </si>
  <si>
    <t>Manzana, Durazno, Ciruela, Avelana</t>
  </si>
  <si>
    <t>Brashir Eduardo</t>
  </si>
  <si>
    <t>Gutierrez Sujia</t>
  </si>
  <si>
    <t>Brashir Eduardo Gutierrez Sujia</t>
  </si>
  <si>
    <t>brashirg@gmail.com</t>
  </si>
  <si>
    <t>Eduardo Gutierrez Hernandez</t>
  </si>
  <si>
    <t>lalogh1978@gmail.com</t>
  </si>
  <si>
    <t>Marisol Sujia Aguilar</t>
  </si>
  <si>
    <t>marisujia@hotmail.com</t>
  </si>
  <si>
    <t>rojo 5,omeprazol</t>
  </si>
  <si>
    <t>Dafne Zoe Rios Becerril</t>
  </si>
  <si>
    <t>Rios Becerril</t>
  </si>
  <si>
    <t>zoerios560@gmail.com</t>
  </si>
  <si>
    <t>Miriam del Carmen Becerril Lama</t>
  </si>
  <si>
    <t>felixbela2017@gmail.com</t>
  </si>
  <si>
    <t>Plata Molina</t>
  </si>
  <si>
    <t>Isabella Plata Molina</t>
  </si>
  <si>
    <t>bella.platamolina@gmail.com</t>
  </si>
  <si>
    <t>Maribel Molina Jerónimo</t>
  </si>
  <si>
    <t>marmol.je4h@hotmail.com</t>
  </si>
  <si>
    <t>Danae Victoria</t>
  </si>
  <si>
    <t>Aguilar Vargas</t>
  </si>
  <si>
    <t>Danae Victoria Aguilar Vargas</t>
  </si>
  <si>
    <t>ross701@hotmail.com</t>
  </si>
  <si>
    <t>Rosalba Vargas Chavez</t>
  </si>
  <si>
    <t>Piquete mosco</t>
  </si>
  <si>
    <t>Nimrod</t>
  </si>
  <si>
    <t>Avila Dominguez</t>
  </si>
  <si>
    <t>Nimrod Avila Dominguez</t>
  </si>
  <si>
    <t>ldsnimpro@icloud.com</t>
  </si>
  <si>
    <t>de preferencia carne</t>
  </si>
  <si>
    <t>Venus Yaretzi</t>
  </si>
  <si>
    <t>Venus Yaretzi Gonzalez Contreras</t>
  </si>
  <si>
    <t>gonzalezcontrerasvenusyaretzi@gmail.com</t>
  </si>
  <si>
    <t>Xadani</t>
  </si>
  <si>
    <t>Bond</t>
  </si>
  <si>
    <t>Xadani Bond</t>
  </si>
  <si>
    <t>kmb365@yahoo.com</t>
  </si>
  <si>
    <t>Kenneth Bond</t>
  </si>
  <si>
    <t>San Antonio Texas Stake</t>
  </si>
  <si>
    <t>Adams Hill Ward (Spanish)</t>
  </si>
  <si>
    <t>obispoadamshill@gmail.com</t>
  </si>
  <si>
    <t>Nohemí</t>
  </si>
  <si>
    <t>Nohemí Santiago Castellanos</t>
  </si>
  <si>
    <t>santiagonoemi760@gmail.com</t>
  </si>
  <si>
    <t>Muñoz Pacheco</t>
  </si>
  <si>
    <t>Samuel Muñoz Pacheco</t>
  </si>
  <si>
    <t>munozpachecosamuel@cetis50cdmx.com</t>
  </si>
  <si>
    <t>como todo tipo de alimentos</t>
  </si>
  <si>
    <t>Manuel Muñoz Ambriz</t>
  </si>
  <si>
    <t>manmuam74@gmail.com</t>
  </si>
  <si>
    <t>Layla Fernanda</t>
  </si>
  <si>
    <t>Badillo Sierra</t>
  </si>
  <si>
    <t>Layla Fernanda Badillo Sierra</t>
  </si>
  <si>
    <t>laylabadillosierra@gmail.com</t>
  </si>
  <si>
    <t>Erika Ivonne Sierra Flores</t>
  </si>
  <si>
    <t>ivonnesierraflores1@gmail.com</t>
  </si>
  <si>
    <t>Luis Felipe Badillo Garcia</t>
  </si>
  <si>
    <t>luisfelipeb4@gmail.com</t>
  </si>
  <si>
    <t>Odette Getzemani</t>
  </si>
  <si>
    <t>Sanchez Arizmendi</t>
  </si>
  <si>
    <t>Odette Getzemani Sanchez Arizmendi</t>
  </si>
  <si>
    <t>karina.afodecc@yahoo.com.mx</t>
  </si>
  <si>
    <t>Karina Arizmendi Morales</t>
  </si>
  <si>
    <t>Josúe Aarón</t>
  </si>
  <si>
    <t>Rodríguez Cázares</t>
  </si>
  <si>
    <t>Josúe Aarón Rodríguez Cázares</t>
  </si>
  <si>
    <t>rocajoa121206@gmail.com</t>
  </si>
  <si>
    <t>Jaime Rodriguez Olmedo</t>
  </si>
  <si>
    <t>jaimeolmedo13@yahoo.com</t>
  </si>
  <si>
    <t>Luz del Carmen Cazares Lee</t>
  </si>
  <si>
    <t>luzdelcarmenclee@yahoo.com.mx</t>
  </si>
  <si>
    <t>Yenissei Eyrem</t>
  </si>
  <si>
    <t>Castellanos Jimenez</t>
  </si>
  <si>
    <t>Yenissei Eyrem Castellanos Jimenez</t>
  </si>
  <si>
    <t>antonio.120river@gmail.com</t>
  </si>
  <si>
    <t>Yenissei Alhiyan Jimenez Dominguez</t>
  </si>
  <si>
    <t>alhiyan.yen@hotmail.com</t>
  </si>
  <si>
    <t>Renata Abigail</t>
  </si>
  <si>
    <t>Franco Acevedo</t>
  </si>
  <si>
    <t>Erendira Nayeli Acevedo Muñoz</t>
  </si>
  <si>
    <t>nayenaye2102@gmail.com</t>
  </si>
  <si>
    <t>Ángel Maonrry</t>
  </si>
  <si>
    <t>Jímenez Gómez</t>
  </si>
  <si>
    <t>Ángel Maonrry Jímenez Gómez</t>
  </si>
  <si>
    <t>angelmaonrryjg@gmail.com</t>
  </si>
  <si>
    <t>Maria de Jesús Gómez Espinoza</t>
  </si>
  <si>
    <t>Antonio Jiménez López</t>
  </si>
  <si>
    <t>antoniomorianjl@gmail.com</t>
  </si>
  <si>
    <t>Grande</t>
  </si>
  <si>
    <t>Gabriel Andres</t>
  </si>
  <si>
    <t>Gabriel Andres Varela Hinojosa</t>
  </si>
  <si>
    <t>gabitoballesteros20b@gmail.com</t>
  </si>
  <si>
    <t>Vania Alhin</t>
  </si>
  <si>
    <t>García Martínez</t>
  </si>
  <si>
    <t>vaniamorada08@gmail.com</t>
  </si>
  <si>
    <t>Vianey Alejandra Martínez Zacatelco</t>
  </si>
  <si>
    <t>eztrellita247@gmail.com</t>
  </si>
  <si>
    <t>Jose Ramón García Ramírez</t>
  </si>
  <si>
    <t>sicler201@gmail.com</t>
  </si>
  <si>
    <t>Penicilina y derivados</t>
  </si>
  <si>
    <t>Angela Elena</t>
  </si>
  <si>
    <t>Romero Dominguez</t>
  </si>
  <si>
    <t>Angela Elena Romero Dominguez</t>
  </si>
  <si>
    <t>angearomero8@gmail.com</t>
  </si>
  <si>
    <t>Hyrum Hazael</t>
  </si>
  <si>
    <t>Palma Nuñez</t>
  </si>
  <si>
    <t>palmanunezhyrum@gmail.com</t>
  </si>
  <si>
    <t>Reynaldo Nuñez Dominguez</t>
  </si>
  <si>
    <t>reynaldonunez199@gmail.com</t>
  </si>
  <si>
    <t>Nefith</t>
  </si>
  <si>
    <t>Nuñez Enriquez</t>
  </si>
  <si>
    <t>Nefith Nuñez Enriquez</t>
  </si>
  <si>
    <t>nefith.n.e@gmail.com</t>
  </si>
  <si>
    <t>Nefith Nuñez Sanchez</t>
  </si>
  <si>
    <t>nefith.n@gmail.com</t>
  </si>
  <si>
    <t>Gabriela de Nuñez Enriquez</t>
  </si>
  <si>
    <t>gaby.nrqz@gmail.com</t>
  </si>
  <si>
    <t>Usa Lentes</t>
  </si>
  <si>
    <t>Lian Ricardo</t>
  </si>
  <si>
    <t>Lian Ricardo Murillo Sevilla</t>
  </si>
  <si>
    <t>lian.murillo.9a@gmail.com</t>
  </si>
  <si>
    <t>linda sevilla hernandez</t>
  </si>
  <si>
    <t>Zoé Ximena</t>
  </si>
  <si>
    <t>Zoé Ximena Gonzalez Gomez</t>
  </si>
  <si>
    <t>ximena.gogomez15@gmail.com</t>
  </si>
  <si>
    <t>Mayolo González Ramírez</t>
  </si>
  <si>
    <t>gmayolo32@gmail.com</t>
  </si>
  <si>
    <t>Jessica de Gonzalez Gomez</t>
  </si>
  <si>
    <t>arq.jessicagl@gmail.com</t>
  </si>
  <si>
    <t>Gael Santiago</t>
  </si>
  <si>
    <t>Quiñonez Ortiz</t>
  </si>
  <si>
    <t>Gael Santiago Quiñonez Ortiz</t>
  </si>
  <si>
    <t>santi260808@gmail.com</t>
  </si>
  <si>
    <t>Abel Quiñones Colorado</t>
  </si>
  <si>
    <t>quabel@hotmail.com</t>
  </si>
  <si>
    <t>Alma Patricia Ortiz Galicia</t>
  </si>
  <si>
    <t>patricia_ortiz06@hotmail.com</t>
  </si>
  <si>
    <t>Iszair</t>
  </si>
  <si>
    <t>Iszair Cruz Castañón</t>
  </si>
  <si>
    <t>iszaircruz@gmail.com</t>
  </si>
  <si>
    <t>Arenas Alanis</t>
  </si>
  <si>
    <t>Hairi Alexandra</t>
  </si>
  <si>
    <t>Arenas Alanis Hairi Alexandra</t>
  </si>
  <si>
    <t>edialansan@gmail.com</t>
  </si>
  <si>
    <t>Edith Alanis Sánchez</t>
  </si>
  <si>
    <t>Isaac Daniel</t>
  </si>
  <si>
    <t>Palacios Galindo</t>
  </si>
  <si>
    <t>Isaac Daniel Palacios Galindo</t>
  </si>
  <si>
    <t>danielpalaciosgalindo@gmail.com</t>
  </si>
  <si>
    <t>Ivy Alfornon</t>
  </si>
  <si>
    <t>Delos Santos</t>
  </si>
  <si>
    <t>Ivy Alfornon Delos Santos</t>
  </si>
  <si>
    <t>ivy0215delossantos@gmail.com</t>
  </si>
  <si>
    <t>Glemar Delos Santos</t>
  </si>
  <si>
    <t>glemards67@gmail.com</t>
  </si>
  <si>
    <t>Erine Pamela</t>
  </si>
  <si>
    <t>Tiscareño Vázquez</t>
  </si>
  <si>
    <t>Erine Pamela Tiscareño Vázquez</t>
  </si>
  <si>
    <t>erinetonejo@gmail.com</t>
  </si>
  <si>
    <t>Jezabel Vázquez Aldana</t>
  </si>
  <si>
    <t>Vazquezlmj@gmail.com</t>
  </si>
  <si>
    <t>Ruben luciano</t>
  </si>
  <si>
    <t>Gutierrez muñoz</t>
  </si>
  <si>
    <t>rubengusano3@gmail.com</t>
  </si>
  <si>
    <t>Ruben Gutierrez rios</t>
  </si>
  <si>
    <t>nicolettemunos100791@gmail.com</t>
  </si>
  <si>
    <t>Ian Alexander</t>
  </si>
  <si>
    <t>García Hernández</t>
  </si>
  <si>
    <t>Ian Alexander García Hernández</t>
  </si>
  <si>
    <t>iangaherghr120121@gmail.com</t>
  </si>
  <si>
    <t>Silvia Maria del Carmen Hernandez Becerra</t>
  </si>
  <si>
    <t>silvia2107hernandez@gmail.com</t>
  </si>
  <si>
    <t>Annia</t>
  </si>
  <si>
    <t>Martinez Mejia</t>
  </si>
  <si>
    <t>Annia Martinez Mejia</t>
  </si>
  <si>
    <t>heliel.signum@gmail.com</t>
  </si>
  <si>
    <t>Heliel Martínez Ramírez</t>
  </si>
  <si>
    <t>Magdalena Mejía Medina</t>
  </si>
  <si>
    <t>make.mejia@gmail.com</t>
  </si>
  <si>
    <t>Rocio Johanna</t>
  </si>
  <si>
    <t>Rocio Johanna Salazar Sánchez</t>
  </si>
  <si>
    <t>Claudia Sánchez García</t>
  </si>
  <si>
    <t>Alérgica a las Sulfas</t>
  </si>
  <si>
    <t>Nefi Mauricio</t>
  </si>
  <si>
    <t>Fernandez Toledo</t>
  </si>
  <si>
    <t>Nefi Mauricio Fernandez Toledo</t>
  </si>
  <si>
    <t>fernandeztoledonefimauricio@gmail.com</t>
  </si>
  <si>
    <t>Guadalupe del Carmen Fernandez Toledo</t>
  </si>
  <si>
    <t>lupitatoledo2011@gmail.com</t>
  </si>
  <si>
    <t>Derek Imanol</t>
  </si>
  <si>
    <t>Derek Imanol Rodriguez Osnaya</t>
  </si>
  <si>
    <t>elderek2010@gmail.com</t>
  </si>
  <si>
    <t>Zoram Itzae</t>
  </si>
  <si>
    <t>Rodriguez Mejia</t>
  </si>
  <si>
    <t>Zoram Itzae Rodriguez Mejia</t>
  </si>
  <si>
    <t>zoru09balam@gmail.com</t>
  </si>
  <si>
    <t>Cesar Alberto Rodriguez Acosta</t>
  </si>
  <si>
    <t>chicharito7420@hotmail.com</t>
  </si>
  <si>
    <t>Sherly de Rodriguez Mejia</t>
  </si>
  <si>
    <t>yeyi130678@outlook.com</t>
  </si>
  <si>
    <t>Darinka Valentina</t>
  </si>
  <si>
    <t>Flores Montiel</t>
  </si>
  <si>
    <t>Darinka Valentina Flores Montiel</t>
  </si>
  <si>
    <t>aknira02@gmail.com</t>
  </si>
  <si>
    <t>Alejandro Flores Flores</t>
  </si>
  <si>
    <t>jtdvflores2002@gmail.com</t>
  </si>
  <si>
    <t>Blanca Diana Montiel Uribe</t>
  </si>
  <si>
    <t>diana.montiel.2735@gmail.com</t>
  </si>
  <si>
    <t>Carlos Daniel Laija Mendez</t>
  </si>
  <si>
    <t>55 1651 1587</t>
  </si>
  <si>
    <t>laijacarlos673@gmail.com</t>
  </si>
  <si>
    <t>Kefren Ramses</t>
  </si>
  <si>
    <t>Serna Zavaleta</t>
  </si>
  <si>
    <t>Kefren Ramses Serna Zavaleta</t>
  </si>
  <si>
    <t>kefren145tv1c@gmail.com</t>
  </si>
  <si>
    <t>César Gustavo Serna Ruíz</t>
  </si>
  <si>
    <t>consultoria_jur@hotmail.com</t>
  </si>
  <si>
    <t>Bautista Cosme</t>
  </si>
  <si>
    <t>bautista.monserrattec43@gmail.com</t>
  </si>
  <si>
    <t>Florinda Cosme Mauro</t>
  </si>
  <si>
    <t>florcosme1234pm@gmail.com</t>
  </si>
  <si>
    <t>Mauricio Bautista Martínez</t>
  </si>
  <si>
    <t>maubautista94@gmail.com</t>
  </si>
  <si>
    <t>Alan Chistopher</t>
  </si>
  <si>
    <t>Alan Chistopher Mendez Ornelas</t>
  </si>
  <si>
    <t>Cuentadeeje93@gmail.com</t>
  </si>
  <si>
    <t>Iktan Jarom</t>
  </si>
  <si>
    <t>Iktan Jarom Domínguez Alfaro</t>
  </si>
  <si>
    <t>jxrom0110@icloud.com</t>
  </si>
  <si>
    <t>Jorge Enrique Domínguez Herrada</t>
  </si>
  <si>
    <t>jorge_3dominguez@yahoo.com.mx</t>
  </si>
  <si>
    <t>Berenice Alfaro Ceron</t>
  </si>
  <si>
    <t>crabate@hotmail.com</t>
  </si>
  <si>
    <t>Carla Sofia</t>
  </si>
  <si>
    <t>Hernandez Hernandez</t>
  </si>
  <si>
    <t>Carla Sofia Hernandez Hernandez</t>
  </si>
  <si>
    <t>karlotahuyhuyhuy@gmail.com</t>
  </si>
  <si>
    <t>Ismael Hernandez Chicharo</t>
  </si>
  <si>
    <t>chicharo65@live.com.mx</t>
  </si>
  <si>
    <t>Martha Rocio Hernandez Mozo</t>
  </si>
  <si>
    <t>mozito837@gmail.com</t>
  </si>
  <si>
    <t>Betsabe</t>
  </si>
  <si>
    <t>Betsabe Godinez Moncada</t>
  </si>
  <si>
    <t>moncadabetsabe5@gmail.com</t>
  </si>
  <si>
    <t>al piquete de abeja</t>
  </si>
  <si>
    <t>spray nasal Dirnelid , en caso de baja de presion toma gomitas de sodio y globulos de homeopatia</t>
  </si>
  <si>
    <t>tiene diagnostico de disautonomia por lo que maneja presion arterial baja en promedio 90/50 pero si llegase a bajar más debe acostarse subir las piernas y tomas elecrolito , o sal debado de la lengua , de todos modos llevara gomitas de sodio y homeopatia para elevar la presión</t>
  </si>
  <si>
    <t>Cirugía de rodilla</t>
  </si>
  <si>
    <t>Abby Daniela</t>
  </si>
  <si>
    <t>Abby Daniela Gonzalez Baltierra</t>
  </si>
  <si>
    <t>abbyd.gonzalezb@gmail.com</t>
  </si>
  <si>
    <t>Claudio</t>
  </si>
  <si>
    <t>Claudio Villa Rodriguez</t>
  </si>
  <si>
    <t>Claudiovillla23@gmail.com</t>
  </si>
  <si>
    <t>Juan carlos villa</t>
  </si>
  <si>
    <t>Melendez Martinez</t>
  </si>
  <si>
    <t>Sarai</t>
  </si>
  <si>
    <t>Melendez Martinez Sarai</t>
  </si>
  <si>
    <t>sulamialdana1@gmail.com</t>
  </si>
  <si>
    <t>Ian Zaid</t>
  </si>
  <si>
    <t>Preza Portugal Vela</t>
  </si>
  <si>
    <t>Ian Zaid Preza Portugal Vela</t>
  </si>
  <si>
    <t>Iportugalv18@gmail.com</t>
  </si>
  <si>
    <t>Raúl Preza Haro</t>
  </si>
  <si>
    <t>tunguska_76@yahoo.com</t>
  </si>
  <si>
    <t>Yara Portugal Vela Osornio</t>
  </si>
  <si>
    <t>yarsi2040@gmail.com</t>
  </si>
  <si>
    <t>Mónica Aimeé</t>
  </si>
  <si>
    <t>Mónica Aimeé Hernández Reyes</t>
  </si>
  <si>
    <t>hernandezreyesmonicaaimee@gmail.com</t>
  </si>
  <si>
    <t>Elías</t>
  </si>
  <si>
    <t>Ramírez Osorio</t>
  </si>
  <si>
    <t>Elías Ramírez Osorio</t>
  </si>
  <si>
    <t>eliasramirezosorioguillot@gmail.com</t>
  </si>
  <si>
    <t>sin problema</t>
  </si>
  <si>
    <t>Martha Gisel Osorio Arias</t>
  </si>
  <si>
    <t>maestraespecialista14@gmail.com</t>
  </si>
  <si>
    <t>Keidy Dayana</t>
  </si>
  <si>
    <t>Trigo Trejo</t>
  </si>
  <si>
    <t>Keidy Dayana Trigo Trejo</t>
  </si>
  <si>
    <t>onesimotrigo0@gmail.com</t>
  </si>
  <si>
    <t>Grissel Trejo Gutierrez</t>
  </si>
  <si>
    <t>Avril Paulina</t>
  </si>
  <si>
    <t>Calvo Arizmendi</t>
  </si>
  <si>
    <t>Avril Paulina Calvo Arizmendi</t>
  </si>
  <si>
    <t>avrilpaulinacalvo@gmail.com</t>
  </si>
  <si>
    <t>Sugeit Arizmendi Morales</t>
  </si>
  <si>
    <t>Alejandro</t>
  </si>
  <si>
    <t>Granados Guadarrama</t>
  </si>
  <si>
    <t>Alejandro Granados Guadarrama</t>
  </si>
  <si>
    <t>alejandro.granados11@iems.edu.mx</t>
  </si>
  <si>
    <t>Miguel Angel Granados Martinez</t>
  </si>
  <si>
    <t>granadosmiguelangel221208@gmail.com</t>
  </si>
  <si>
    <t>Sandra de Granados Guadarrama</t>
  </si>
  <si>
    <t>mi_shany@hotmail.com</t>
  </si>
  <si>
    <t>Noemí</t>
  </si>
  <si>
    <t>Salazar de Jesús</t>
  </si>
  <si>
    <t>Noemí Salazar de Jesús</t>
  </si>
  <si>
    <t>dejesuselva@hotmail.es</t>
  </si>
  <si>
    <t>Elva Guadalupe De Jesus Tolentino</t>
  </si>
  <si>
    <t>dejesustolentinoe@gmail.com</t>
  </si>
  <si>
    <t>Tadeo Santiago</t>
  </si>
  <si>
    <t>Balcazar de la Cruz</t>
  </si>
  <si>
    <t>Tadeo Santiago Balcazar de la Cruz</t>
  </si>
  <si>
    <t>56 3468 5755</t>
  </si>
  <si>
    <t>tadrs02@gmail.com</t>
  </si>
  <si>
    <t>Maritza de la cruz balcazar</t>
  </si>
  <si>
    <t>marian09060505@gmail.com</t>
  </si>
  <si>
    <t>ALEXANDER</t>
  </si>
  <si>
    <t>MAZAS CRUZ</t>
  </si>
  <si>
    <t>jeff.gg.note13@gmail.com</t>
  </si>
  <si>
    <t>marielysoreque@gmail.com</t>
  </si>
  <si>
    <t>Erick jeremy</t>
  </si>
  <si>
    <t>Aguilar lopez</t>
  </si>
  <si>
    <t>Alergias al frio</t>
  </si>
  <si>
    <t>Yolotli lopez ortiz</t>
  </si>
  <si>
    <t>Alergia al frio</t>
  </si>
  <si>
    <t>Nahum</t>
  </si>
  <si>
    <t>Alquicira Blancas</t>
  </si>
  <si>
    <t>Nahum Alquicira Blancas</t>
  </si>
  <si>
    <t>sergioalquicira39@gmail.com</t>
  </si>
  <si>
    <t>Sergio Alquicira</t>
  </si>
  <si>
    <t>Eidyan Gabriel</t>
  </si>
  <si>
    <t>Medina Jaramillo</t>
  </si>
  <si>
    <t>Eidyan Gabriel Medina Jaramillo</t>
  </si>
  <si>
    <t>medina.ja2009@gmail.com</t>
  </si>
  <si>
    <t>Dieta omnívora.</t>
  </si>
  <si>
    <t>Gustavo Medina Arredondo</t>
  </si>
  <si>
    <t>sanatov2001@hotmail.com</t>
  </si>
  <si>
    <t>Nubia Brisia Jaramillo Benitez</t>
  </si>
  <si>
    <t>nubris2121@gmail.com</t>
  </si>
  <si>
    <t>Keyla Sigrid</t>
  </si>
  <si>
    <t>Keyla Sigrid Gutierrez Herrera</t>
  </si>
  <si>
    <t>gkeyla272@gmail.com</t>
  </si>
  <si>
    <t>Alexa</t>
  </si>
  <si>
    <t>Romero Trejo</t>
  </si>
  <si>
    <t>Alexa Romero Trejo</t>
  </si>
  <si>
    <t>trejoalexa257@gmail.com</t>
  </si>
  <si>
    <t>Trejo Gutierrez Grissel</t>
  </si>
  <si>
    <t>Ricardo Oswaldo</t>
  </si>
  <si>
    <t>rrios4898@gmail.com</t>
  </si>
  <si>
    <t>Ramírez Díaz De León</t>
  </si>
  <si>
    <t>Daniel Ramírez Díaz De León</t>
  </si>
  <si>
    <t>56 3343 5445</t>
  </si>
  <si>
    <t>Monica Mariana</t>
  </si>
  <si>
    <t>Garcia Suarez</t>
  </si>
  <si>
    <t>Monica Mariana Garcia Suarez</t>
  </si>
  <si>
    <t>moninigarcia17@gmail.com</t>
  </si>
  <si>
    <t>Cuauhtémoc Garcia</t>
  </si>
  <si>
    <t>cuauhtemocadelaido@gmail.com</t>
  </si>
  <si>
    <t>Garcia Garduño</t>
  </si>
  <si>
    <t>adanith@gmail.com</t>
  </si>
  <si>
    <t>o.garcia.cecade@gmail.com</t>
  </si>
  <si>
    <t>Noemi Perez Rodriguez</t>
  </si>
  <si>
    <t>noniperez2799@gmail.com</t>
  </si>
  <si>
    <t>Angelica Exbeydi</t>
  </si>
  <si>
    <t>Mata Mendoza</t>
  </si>
  <si>
    <t>Angelica Exbeydi Mata Mendoza</t>
  </si>
  <si>
    <t>Brunomenmar75@gmail.com</t>
  </si>
  <si>
    <t>Martha Angelica Mendoza Bruno</t>
  </si>
  <si>
    <t>Isis Zacnité</t>
  </si>
  <si>
    <t>Isis Zacnité Zamora Arellano</t>
  </si>
  <si>
    <t>isiszacnitez@gmail.com</t>
  </si>
  <si>
    <t>Daniel Helamán</t>
  </si>
  <si>
    <t>Daniel Helamán Vázquez Alva</t>
  </si>
  <si>
    <t>55 3876 3216</t>
  </si>
  <si>
    <t>helaman.dva@gmail.com</t>
  </si>
  <si>
    <t>56 1892 4302</t>
  </si>
  <si>
    <t>cynthya.alva@gmail.com</t>
  </si>
  <si>
    <t>55 5337 5309</t>
  </si>
  <si>
    <t>Oscar</t>
  </si>
  <si>
    <t>Perez Del Angel</t>
  </si>
  <si>
    <t>Oscar Perez Del Angel</t>
  </si>
  <si>
    <t>perezdelangeloscar11@gmail.com</t>
  </si>
  <si>
    <t>María del Rocío del Angel Ramos</t>
  </si>
  <si>
    <t>angyrozz@gmail.com</t>
  </si>
  <si>
    <t>Mia Camila</t>
  </si>
  <si>
    <t>Chavarria Uribe</t>
  </si>
  <si>
    <t>Mia Camila Chavarria Uribe</t>
  </si>
  <si>
    <t>claudia.ivonne.uribe@gmail.com</t>
  </si>
  <si>
    <t>Claudia Ivonne Chavarria Uribe</t>
  </si>
  <si>
    <t>Fernanda Sophia</t>
  </si>
  <si>
    <t>Torres Belmont</t>
  </si>
  <si>
    <t>Fernanda Sophia Torres Belmont</t>
  </si>
  <si>
    <t>Karina</t>
  </si>
  <si>
    <t>Karina Bernal Oleta</t>
  </si>
  <si>
    <t>bernaloletakarina@gmail.com</t>
  </si>
  <si>
    <t>Pablo Iván</t>
  </si>
  <si>
    <t>Romo Velez</t>
  </si>
  <si>
    <t>Pablo Iván Romo Velez</t>
  </si>
  <si>
    <t>pabloi.romo@outlook.com</t>
  </si>
  <si>
    <t>Ivan Romo Palacios</t>
  </si>
  <si>
    <t>ivan.romo@churchofjesuschrist.org</t>
  </si>
  <si>
    <t>Ruth Lirey de Romo Velez</t>
  </si>
  <si>
    <t>vruthlirey@gmail.com</t>
  </si>
  <si>
    <t>Said</t>
  </si>
  <si>
    <t>Vaca Quiñones</t>
  </si>
  <si>
    <t>Said Vaca Quiñones</t>
  </si>
  <si>
    <t>said.vaca121112@gmail.com</t>
  </si>
  <si>
    <t>de todo</t>
  </si>
  <si>
    <t>Sarai Vaca Quiñones</t>
  </si>
  <si>
    <t>sara_i_3@hotmail.com</t>
  </si>
  <si>
    <t>Juan de Dios</t>
  </si>
  <si>
    <t>Flores Rodriguez</t>
  </si>
  <si>
    <t>Juan de Dios Flores Rodriguez</t>
  </si>
  <si>
    <t>floresjuandedios4@gmail.com</t>
  </si>
  <si>
    <t>Viridiana Rodríguez Carrera</t>
  </si>
  <si>
    <t>viridianadeflores21@gmail.com</t>
  </si>
  <si>
    <t>Elías Becerra Millares</t>
  </si>
  <si>
    <t>becerramillareselias@gmail.com</t>
  </si>
  <si>
    <t>Yeray</t>
  </si>
  <si>
    <t>Hernandez Salgado</t>
  </si>
  <si>
    <t>Yeray Hernandez Salgado</t>
  </si>
  <si>
    <t>yeray.hn@icloud.com</t>
  </si>
  <si>
    <t>Heribaldo Hernandez Bonilla</t>
  </si>
  <si>
    <t>erickizil016@gmail.com</t>
  </si>
  <si>
    <t>Greta Natalia</t>
  </si>
  <si>
    <t>Greta Natalia Rosas Meza</t>
  </si>
  <si>
    <t>55 33 42 92 57</t>
  </si>
  <si>
    <t>gretanatrm@gmail.com</t>
  </si>
  <si>
    <t>niguno</t>
  </si>
  <si>
    <t>Stephany Abigail Meza Orozco</t>
  </si>
  <si>
    <t>abifresitafamo@gmail.com</t>
  </si>
  <si>
    <t>Melanie</t>
  </si>
  <si>
    <t>Melanie Juárez Espinosa</t>
  </si>
  <si>
    <t>melaniee_tenecesito09@hotmail.com</t>
  </si>
  <si>
    <t>Axel Issac</t>
  </si>
  <si>
    <t>Martinez Vazquez</t>
  </si>
  <si>
    <t>Axel Issac Martinez Vazquez</t>
  </si>
  <si>
    <t>axelisaacmartinezvazquez@gmail.com</t>
  </si>
  <si>
    <t>Leticia Vazquez</t>
  </si>
  <si>
    <t>lvazquezmiranda@gmail.com</t>
  </si>
  <si>
    <t>Shelem Sarahí</t>
  </si>
  <si>
    <t>Gutiérrez Avila</t>
  </si>
  <si>
    <t>Shelem Sarahí Gutiérrez Avila</t>
  </si>
  <si>
    <t>shelemga@gmail.com</t>
  </si>
  <si>
    <t>Jethro Abinadi</t>
  </si>
  <si>
    <t>Garcia Manjarrez</t>
  </si>
  <si>
    <t>Jethro Abinadi Garcia Manjarrez</t>
  </si>
  <si>
    <t>wackoska@hotmail.com</t>
  </si>
  <si>
    <t>Nicte-ha Garcia Hernandez</t>
  </si>
  <si>
    <t>barriocontreeras2000@gmail.com</t>
  </si>
  <si>
    <t>Ernesto Iker</t>
  </si>
  <si>
    <t>Mora Venegas</t>
  </si>
  <si>
    <t>Ernesto Iker Mora Venegas</t>
  </si>
  <si>
    <t>56 6354 3072</t>
  </si>
  <si>
    <t>ernestoiker13@gmail.com</t>
  </si>
  <si>
    <t>Anayeli Venegas Martinez</t>
  </si>
  <si>
    <t>anavmgo@gmail.com</t>
  </si>
  <si>
    <t>Jeremy Adriel</t>
  </si>
  <si>
    <t>Aldana Aguilar</t>
  </si>
  <si>
    <t>Jeremy Adriel Aldana Aguilar</t>
  </si>
  <si>
    <t>Jeremyadriel081223@gmail.com</t>
  </si>
  <si>
    <t>Diana Karina Aguilar Ortega</t>
  </si>
  <si>
    <t>eaglediikka@gmail.com</t>
  </si>
  <si>
    <t>Aline Ximena</t>
  </si>
  <si>
    <t>Aline Ximena Sandoval Cureño</t>
  </si>
  <si>
    <t>aximenasc@gmail.com</t>
  </si>
  <si>
    <t>Angel Ivan</t>
  </si>
  <si>
    <t>Angel Ivan Alvarez Diaz</t>
  </si>
  <si>
    <t>55 6076 2923</t>
  </si>
  <si>
    <t>vani950801@gmail.com</t>
  </si>
  <si>
    <t>María Claudia Diaz Cortes</t>
  </si>
  <si>
    <t>Martínez Cruz</t>
  </si>
  <si>
    <t>Diego Martínez Cruz</t>
  </si>
  <si>
    <t>diego.martinezcruz0412@gmail.com</t>
  </si>
  <si>
    <t>anali00dya@gmail.com</t>
  </si>
  <si>
    <t>Dasha Moani</t>
  </si>
  <si>
    <t>Cervantes Aguilar</t>
  </si>
  <si>
    <t>Dasha Moani Cervantes Aguilar</t>
  </si>
  <si>
    <t>gavi74_12@hotmail.com</t>
  </si>
  <si>
    <t>Naivit Zureima Aguilar Valencia</t>
  </si>
  <si>
    <t>Mayte</t>
  </si>
  <si>
    <t>Velasquez Carbajal</t>
  </si>
  <si>
    <t>Mayte Velasquez Carbajal</t>
  </si>
  <si>
    <t>maytevelasquezcarbajal@gmail.com</t>
  </si>
  <si>
    <t>Melissa Velasquez Carbajal</t>
  </si>
  <si>
    <t>melissavelascarba@gmail.com</t>
  </si>
  <si>
    <t>Ashley Natalia</t>
  </si>
  <si>
    <t>De la Rosa Arenas</t>
  </si>
  <si>
    <t>Ashley Natalia De la Rosa Arenas</t>
  </si>
  <si>
    <t>delarosanatalia08@gmail.com</t>
  </si>
  <si>
    <t>De todo, no hay alergia a nada</t>
  </si>
  <si>
    <t>Hilda Imelda Arenas García</t>
  </si>
  <si>
    <t>hildaa2802@gmail.com</t>
  </si>
  <si>
    <t>Nessim</t>
  </si>
  <si>
    <t>Padilla Matias</t>
  </si>
  <si>
    <t>Nessim Padilla Matias</t>
  </si>
  <si>
    <t>nessimpadilla@gmail.com</t>
  </si>
  <si>
    <t>José Luis Padilla</t>
  </si>
  <si>
    <t>cenjl@hotmail.com</t>
  </si>
  <si>
    <t>Martha Matías Salas</t>
  </si>
  <si>
    <t>Villalobos Ceron</t>
  </si>
  <si>
    <t>Paola Villalobos Ceron</t>
  </si>
  <si>
    <t>lachinapob@gmail.com</t>
  </si>
  <si>
    <t>No tiene alergias a ningún alimento</t>
  </si>
  <si>
    <t>Guadalupe Irais Ceron Osorio</t>
  </si>
  <si>
    <t>michellevillalobos0901@gmail.com</t>
  </si>
  <si>
    <t>Issa Yaretzy</t>
  </si>
  <si>
    <t>Alvarado</t>
  </si>
  <si>
    <t>Issa Yaretzy Alvarado</t>
  </si>
  <si>
    <t>papasconpan30@gmail.com</t>
  </si>
  <si>
    <t>Jose Isai Alvarado Alcantara</t>
  </si>
  <si>
    <t>isai.alvarado.alvarado@gmail.com</t>
  </si>
  <si>
    <t>Jaqueline Jimenez Napoles</t>
  </si>
  <si>
    <t>Liam Jaasiel</t>
  </si>
  <si>
    <t>González Figueroa</t>
  </si>
  <si>
    <t>Liam Jaasiel González Figueroa</t>
  </si>
  <si>
    <t>liamparker.spider@gmail.com</t>
  </si>
  <si>
    <t>Eva Figueroa</t>
  </si>
  <si>
    <t>thingglez@gmail.com</t>
  </si>
  <si>
    <t>Jeshua</t>
  </si>
  <si>
    <t>Peña Morales</t>
  </si>
  <si>
    <t>Jeshua Peña Morales</t>
  </si>
  <si>
    <t>almarosamorales47@gmail.com</t>
  </si>
  <si>
    <t>Ninguna en especifica</t>
  </si>
  <si>
    <t>Fernando Rafael Peña Calva</t>
  </si>
  <si>
    <t>emmanuelmetal188@gmail.com</t>
  </si>
  <si>
    <t>Alma Rosa Morales Delgado</t>
  </si>
  <si>
    <t>Joshua Tonatiuh</t>
  </si>
  <si>
    <t>Joshua Tonatiuh Flores Montiel</t>
  </si>
  <si>
    <t>joshtonaflore@gmail.com</t>
  </si>
  <si>
    <t>Arturo Israel</t>
  </si>
  <si>
    <t>Juarez Rodriguez</t>
  </si>
  <si>
    <t>Arturo Israel Juarez Rodriguez</t>
  </si>
  <si>
    <t>isrartjr24@hotmail.com</t>
  </si>
  <si>
    <t>Karina Rodríguez Nieto</t>
  </si>
  <si>
    <t>karinardgz@gmail.com</t>
  </si>
  <si>
    <t>Jorge Juarez Rangel</t>
  </si>
  <si>
    <t>jorgjuar@gmail.com</t>
  </si>
  <si>
    <t>Paula Aniela</t>
  </si>
  <si>
    <t>Paula Aniela Maldonado Ayala</t>
  </si>
  <si>
    <t>Al camarón y rinitis alérgica por el polvo</t>
  </si>
  <si>
    <t>Naomi Perez Rodriguez</t>
  </si>
  <si>
    <t>pereznao03@gmail.com</t>
  </si>
  <si>
    <t>Tiene una lesion congenita en su pierna, limita un poco su oviminetos, pero puede participart en todo</t>
  </si>
  <si>
    <t>Genesis Estela</t>
  </si>
  <si>
    <t>Genesis Estela Soto Hernandez</t>
  </si>
  <si>
    <t>genesis.sotohdz@gmail.com</t>
  </si>
  <si>
    <t>Guadalupe Barrita</t>
  </si>
  <si>
    <t>Liam Daniel</t>
  </si>
  <si>
    <t>Liam Daniel Soriano Mireles</t>
  </si>
  <si>
    <t>liamdsoriano@gmail.com</t>
  </si>
  <si>
    <t>Simha Emilliano</t>
  </si>
  <si>
    <t>Simha Emilliano Ruedas Alvarez</t>
  </si>
  <si>
    <t>leslie.alvarezquintana@gmail.com</t>
  </si>
  <si>
    <t>Kimberly</t>
  </si>
  <si>
    <t>Hernandez Iglesias</t>
  </si>
  <si>
    <t>Kimberly Hernandez Iglesias</t>
  </si>
  <si>
    <t>anahiiglesiasvillanueva@gmail.com</t>
  </si>
  <si>
    <t>Vanesa Abigail</t>
  </si>
  <si>
    <t>Chong Sanchez</t>
  </si>
  <si>
    <t>Vanesa Abigail Chong Sanchez</t>
  </si>
  <si>
    <t>56 1198 8528</t>
  </si>
  <si>
    <t>vanesachong617@gmail.com</t>
  </si>
  <si>
    <t>Luis Roberto Chong Franco</t>
  </si>
  <si>
    <t>chongluis36@gmail.com</t>
  </si>
  <si>
    <t>55 63442983</t>
  </si>
  <si>
    <t>Nancy Sánchez Gamboa</t>
  </si>
  <si>
    <t>sancheznancygam@gmail.com</t>
  </si>
  <si>
    <t>55 30148349</t>
  </si>
  <si>
    <t>Yelena Michelle</t>
  </si>
  <si>
    <t>Yelena Michelle Oliva Padron</t>
  </si>
  <si>
    <t>yele.oliva.padron@gmail.com</t>
  </si>
  <si>
    <t>Diana Isabel</t>
  </si>
  <si>
    <t>Romero Hernandez</t>
  </si>
  <si>
    <t>Diana Isabel Romero Hernandez</t>
  </si>
  <si>
    <t>anabel1234596@gmail.com</t>
  </si>
  <si>
    <t>Anabel Hernández Téllez</t>
  </si>
  <si>
    <t>Mila Sofia</t>
  </si>
  <si>
    <t>Mila Sofia De León Palomino</t>
  </si>
  <si>
    <t>milaleonp.milas@gmail.com</t>
  </si>
  <si>
    <t>Rafaella Maria</t>
  </si>
  <si>
    <t>Rafaella Maria Sequeira Palma</t>
  </si>
  <si>
    <t>rafaella.sequeira.p@gmail.com</t>
  </si>
  <si>
    <t>5,567,830,474.00</t>
  </si>
  <si>
    <r>
      <rPr>
        <rFont val="Calibri, sans-serif"/>
        <color rgb="FF1155CC"/>
        <sz val="11.0"/>
        <u/>
      </rPr>
      <t>jorgesamuelsotoguzman80@gmail.com</t>
    </r>
  </si>
  <si>
    <r>
      <rPr>
        <rFont val="Calibri, sans-serif"/>
        <color rgb="FF1155CC"/>
        <sz val="11.0"/>
        <u/>
      </rPr>
      <t>gucce26@hotmail.com</t>
    </r>
  </si>
  <si>
    <r>
      <rPr>
        <rFont val="Calibri, sans-serif"/>
        <color rgb="FF1155CC"/>
        <sz val="11.0"/>
        <u/>
      </rPr>
      <t>xmnsg25@gmail.com</t>
    </r>
  </si>
  <si>
    <r>
      <rPr>
        <rFont val="Calibri, sans-serif"/>
        <color rgb="FF1155CC"/>
        <sz val="11.0"/>
        <u/>
      </rPr>
      <t>mgm.agroalibracion@gmail.comp</t>
    </r>
  </si>
  <si>
    <t xml:space="preserve">Debo comer alguna ensalada al día </t>
  </si>
  <si>
    <t/>
  </si>
  <si>
    <t xml:space="preserve">No ninguna </t>
  </si>
  <si>
    <t xml:space="preserve">Epilepcia </t>
  </si>
  <si>
    <t xml:space="preserve">epilepcia </t>
  </si>
  <si>
    <t xml:space="preserve">algunos arboles y todos los de insectos </t>
  </si>
  <si>
    <t xml:space="preserve">asma </t>
  </si>
  <si>
    <t xml:space="preserve">Alos aderezos </t>
  </si>
  <si>
    <t xml:space="preserve">Piedras en los riñones </t>
  </si>
  <si>
    <t xml:space="preserve">Ninguna </t>
  </si>
  <si>
    <t xml:space="preserve">Abejas </t>
  </si>
  <si>
    <t xml:space="preserve">Asma </t>
  </si>
  <si>
    <t xml:space="preserve">Loratadina </t>
  </si>
  <si>
    <t xml:space="preserve">Rinitis alérgica </t>
  </si>
  <si>
    <t xml:space="preserve">Tierra y al sol </t>
  </si>
  <si>
    <t xml:space="preserve">Sin sal y pocas grasas </t>
  </si>
  <si>
    <t xml:space="preserve">No </t>
  </si>
  <si>
    <t xml:space="preserve">Al polvo </t>
  </si>
  <si>
    <t xml:space="preserve">Sinusitis </t>
  </si>
  <si>
    <t xml:space="preserve">Antiespasmódicos. Melatonina. Ácido Fólico. </t>
  </si>
  <si>
    <t xml:space="preserve">Ansiedad no diagnosticado. Suelo tener crisis pero tengo mucha fuerza sobre mi. </t>
  </si>
  <si>
    <t xml:space="preserve">Salbutamol </t>
  </si>
  <si>
    <t xml:space="preserve">Mariscos y pescados </t>
  </si>
  <si>
    <t xml:space="preserve">Depresión mixta </t>
  </si>
  <si>
    <t xml:space="preserve">Psicólogico y psiquiatría </t>
  </si>
  <si>
    <t xml:space="preserve">Sin zanahorias </t>
  </si>
  <si>
    <t xml:space="preserve">Zanahoria </t>
  </si>
  <si>
    <t xml:space="preserve">Leche entera </t>
  </si>
  <si>
    <t xml:space="preserve">Medicamentos </t>
  </si>
  <si>
    <t xml:space="preserve">Omeprazol </t>
  </si>
  <si>
    <t xml:space="preserve">Sertralina 50 MG en las noches, dos tabletas, Alprazolam 25 Mg solo en caso de emergencia </t>
  </si>
  <si>
    <t xml:space="preserve">Signos de Trastornos límite de la personalidad </t>
  </si>
  <si>
    <t xml:space="preserve">Insectos y cambio estacional </t>
  </si>
  <si>
    <t xml:space="preserve">Embutidos. </t>
  </si>
  <si>
    <t>2</t>
  </si>
  <si>
    <t xml:space="preserve">Zolmitriptano, Metformina </t>
  </si>
  <si>
    <t xml:space="preserve">Distimia, transtorno disociativo en proceso diagnóstico </t>
  </si>
  <si>
    <t xml:space="preserve">Niguna </t>
  </si>
  <si>
    <t xml:space="preserve">Ansiedad </t>
  </si>
  <si>
    <t xml:space="preserve">Estacional </t>
  </si>
  <si>
    <t xml:space="preserve">Alergia a los cacahuates </t>
  </si>
  <si>
    <t xml:space="preserve">Estridor en la garganta </t>
  </si>
  <si>
    <t xml:space="preserve">Apéndice </t>
  </si>
  <si>
    <t xml:space="preserve">Alimentos sin lácteos </t>
  </si>
  <si>
    <t xml:space="preserve">Polen, polvo </t>
  </si>
  <si>
    <t xml:space="preserve">Carne </t>
  </si>
  <si>
    <t xml:space="preserve">Isotretinoina </t>
  </si>
  <si>
    <t xml:space="preserve">Desodorante en spray </t>
  </si>
  <si>
    <t xml:space="preserve">Epilepsi </t>
  </si>
  <si>
    <t xml:space="preserve">Embutidos </t>
  </si>
  <si>
    <t xml:space="preserve">Solo tomo medicamento para problemas de depresión </t>
  </si>
  <si>
    <t xml:space="preserve">Ansiedad y depresión </t>
  </si>
  <si>
    <t xml:space="preserve">Resequedad en la piel </t>
  </si>
  <si>
    <t xml:space="preserve">El joven tiende a tener ansiedad </t>
  </si>
  <si>
    <t xml:space="preserve">Alergia al camaron </t>
  </si>
  <si>
    <t xml:space="preserve">Colitis nerviosa </t>
  </si>
  <si>
    <t xml:space="preserve">a las sulfas y rinitis alérgica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</si>
</sst>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yyyy-mm-dd"/>
    <numFmt numFmtId="166" formatCode="d/m/yyyy, h:mm:ss am/pm"/>
    <numFmt numFmtId="167" formatCode="dd-mmm-yy"/>
    <numFmt numFmtId="168" formatCode="d-mmm-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rgb="FFFFFFFF"/>
      <name val="Calibri"/>
    </font>
    <font>
      <color theme="1"/>
      <name val="Arial"/>
    </font>
    <font>
      <sz val="13.0"/>
      <color theme="1"/>
      <name val="Calibri"/>
    </font>
    <font>
      <sz val="13.0"/>
      <color rgb="FF000000"/>
      <name val="Calibri"/>
    </font>
    <font>
      <sz val="9.0"/>
      <color theme="1"/>
      <name val="Calibri"/>
    </font>
    <font>
      <sz val="9.0"/>
      <color rgb="FF434343"/>
      <name val="Calibri"/>
    </font>
    <font>
      <sz val="9.0"/>
      <color rgb="FFFFFFFF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sz val="16.0"/>
      <color rgb="FF434343"/>
      <name val="Calibri"/>
    </font>
    <font>
      <sz val="14.0"/>
      <color rgb="FF434343"/>
      <name val="Calibri"/>
    </font>
    <font>
      <sz val="15.0"/>
      <color rgb="FF434343"/>
      <name val="Calibri"/>
    </font>
    <font>
      <sz val="12.0"/>
      <color rgb="FF434343"/>
      <name val="Calibri"/>
    </font>
    <font>
      <sz val="13.0"/>
      <color rgb="FF434343"/>
      <name val="Calibri"/>
    </font>
    <font>
      <b/>
      <sz val="9.0"/>
      <color rgb="FF434343"/>
      <name val="Calibri"/>
    </font>
    <font>
      <sz val="14.0"/>
      <color theme="1"/>
      <name val="Calibri"/>
    </font>
    <font>
      <sz val="15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b/>
      <color theme="1"/>
      <name val="Arial"/>
    </font>
    <font>
      <sz val="11.0"/>
      <color theme="1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A8008C"/>
        <bgColor rgb="FFA8008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F1C232"/>
      </left>
      <right style="thin">
        <color rgb="FFF1C232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7E006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F6F8F9"/>
      </left>
      <right style="thin">
        <color rgb="FF7E0069"/>
      </right>
      <top style="thin">
        <color rgb="FFF6F8F9"/>
      </top>
      <bottom style="thin">
        <color rgb="FFF6F8F9"/>
      </bottom>
    </border>
    <border>
      <left style="thin">
        <color rgb="FF7E006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E0069"/>
      </right>
      <top style="thin">
        <color rgb="FFFFFFFF"/>
      </top>
      <bottom style="thin">
        <color rgb="FFFFFFFF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A4580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FFFF"/>
      </left>
      <right style="thin">
        <color rgb="FFA4580C"/>
      </right>
      <top style="thin">
        <color rgb="FFFFFFFF"/>
      </top>
      <bottom style="thin">
        <color rgb="FFFFFFFF"/>
      </bottom>
    </border>
    <border>
      <left style="thin">
        <color rgb="FFA4580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A4580C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3" fillId="3" fontId="2" numFmtId="0" xfId="0" applyAlignment="1" applyBorder="1" applyFill="1" applyFont="1">
      <alignment horizontal="left" readingOrder="0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5" numFmtId="0" xfId="0" applyAlignment="1" applyFill="1" applyFont="1">
      <alignment horizontal="left" readingOrder="0" shrinkToFit="0" vertical="bottom" wrapText="0"/>
    </xf>
    <xf borderId="0" fillId="4" fontId="4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4" fillId="2" fontId="2" numFmtId="0" xfId="0" applyAlignment="1" applyBorder="1" applyFill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5" fontId="7" numFmtId="0" xfId="0" applyAlignment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5" fontId="7" numFmtId="165" xfId="0" applyAlignment="1" applyFill="1" applyFont="1" applyNumberFormat="1">
      <alignment horizontal="right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5" fontId="7" numFmtId="0" xfId="0" applyAlignment="1" applyFill="1" applyFont="1">
      <alignment horizontal="right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6" fontId="8" numFmtId="0" xfId="0" applyAlignment="1" applyFill="1" applyFont="1">
      <alignment readingOrder="0" shrinkToFit="0" vertical="bottom" wrapText="0"/>
    </xf>
    <xf borderId="0" fillId="5" fontId="7" numFmtId="166" xfId="0" applyAlignment="1" applyFill="1" applyFont="1" applyNumberFormat="1">
      <alignment horizontal="right" shrinkToFit="0" vertical="bottom" wrapText="0"/>
    </xf>
    <xf borderId="0" fillId="5" fontId="8" numFmtId="0" xfId="0" applyAlignment="1" applyFill="1" applyFont="1">
      <alignment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7" fontId="9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shrinkToFit="0" vertical="bottom" wrapText="0"/>
    </xf>
    <xf borderId="0" fillId="7" fontId="7" numFmtId="0" xfId="0" applyAlignment="1" applyFill="1" applyFont="1">
      <alignment readingOrder="0" shrinkToFit="0" vertical="bottom" wrapText="0"/>
    </xf>
    <xf borderId="0" fillId="8" fontId="9" numFmtId="0" xfId="0" applyAlignment="1" applyFill="1" applyFont="1">
      <alignment readingOrder="0" shrinkToFit="0" vertical="center" wrapText="0"/>
    </xf>
    <xf borderId="0" fillId="8" fontId="6" numFmtId="0" xfId="0" applyAlignment="1" applyFill="1" applyFont="1">
      <alignment horizontal="center" readingOrder="0" shrinkToFit="0" vertical="center" wrapText="0"/>
    </xf>
    <xf borderId="0" fillId="9" fontId="10" numFmtId="0" xfId="0" applyAlignment="1" applyFill="1" applyFont="1">
      <alignment horizontal="left" readingOrder="0" shrinkToFit="0" vertical="center" wrapText="0"/>
    </xf>
    <xf borderId="0" fillId="9" fontId="8" numFmtId="0" xfId="0" applyAlignment="1" applyFill="1" applyFont="1">
      <alignment shrinkToFit="0" vertical="bottom" wrapText="0"/>
    </xf>
    <xf borderId="0" fillId="10" fontId="11" numFmtId="0" xfId="0" applyAlignment="1" applyFill="1" applyFont="1">
      <alignment horizontal="right" readingOrder="0" shrinkToFit="0" vertical="bottom" wrapText="0"/>
    </xf>
    <xf borderId="0" fillId="11" fontId="9" numFmtId="0" xfId="0" applyAlignment="1" applyFill="1" applyFont="1">
      <alignment readingOrder="0" shrinkToFit="0" vertical="center" wrapText="0"/>
    </xf>
    <xf borderId="0" fillId="11" fontId="6" numFmtId="0" xfId="0" applyAlignment="1" applyFill="1" applyFont="1">
      <alignment horizontal="center" readingOrder="0" shrinkToFit="0" vertical="center" wrapText="0"/>
    </xf>
    <xf borderId="0" fillId="10" fontId="11" numFmtId="0" xfId="0" applyAlignment="1" applyFill="1" applyFont="1">
      <alignment horizontal="left" readingOrder="0" shrinkToFit="0" vertical="bottom" wrapText="0"/>
    </xf>
    <xf borderId="0" fillId="12" fontId="12" numFmtId="0" xfId="0" applyAlignment="1" applyFill="1" applyFont="1">
      <alignment readingOrder="0" shrinkToFit="0" vertical="bottom" wrapText="0"/>
    </xf>
    <xf borderId="0" fillId="12" fontId="13" numFmtId="0" xfId="0" applyAlignment="1" applyFill="1" applyFont="1">
      <alignment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10" fontId="14" numFmtId="0" xfId="0" applyAlignment="1" applyFill="1" applyFont="1">
      <alignment horizontal="right" readingOrder="0" shrinkToFit="0" vertical="bottom" wrapText="0"/>
    </xf>
    <xf borderId="0" fillId="10" fontId="14" numFmtId="0" xfId="0" applyAlignment="1" applyFill="1" applyFont="1">
      <alignment horizontal="left" readingOrder="0" shrinkToFit="0" vertical="bottom" wrapText="0"/>
    </xf>
    <xf borderId="0" fillId="12" fontId="15" numFmtId="0" xfId="0" applyAlignment="1" applyFill="1" applyFont="1">
      <alignment readingOrder="0" shrinkToFit="0" vertical="bottom" wrapText="0"/>
    </xf>
    <xf borderId="0" fillId="13" fontId="7" numFmtId="0" xfId="0" applyAlignment="1" applyFill="1" applyFont="1">
      <alignment readingOrder="0" shrinkToFit="0" vertical="bottom" wrapText="0"/>
    </xf>
    <xf borderId="0" fillId="13" fontId="7" numFmtId="0" xfId="0" applyAlignment="1" applyFill="1" applyFont="1">
      <alignment shrinkToFit="0" vertical="bottom" wrapText="0"/>
    </xf>
    <xf borderId="0" fillId="13" fontId="7" numFmtId="165" xfId="0" applyAlignment="1" applyFill="1" applyFont="1" applyNumberFormat="1">
      <alignment horizontal="right" shrinkToFit="0" vertical="bottom" wrapText="0"/>
    </xf>
    <xf borderId="0" fillId="13" fontId="7" numFmtId="0" xfId="0" applyAlignment="1" applyFill="1" applyFont="1">
      <alignment horizontal="right" shrinkToFit="0" vertical="bottom" wrapText="0"/>
    </xf>
    <xf borderId="0" fillId="7" fontId="6" numFmtId="0" xfId="0" applyAlignment="1" applyFill="1" applyFont="1">
      <alignment readingOrder="0" shrinkToFit="0" vertical="bottom" wrapText="0"/>
    </xf>
    <xf borderId="0" fillId="13" fontId="7" numFmtId="166" xfId="0" applyAlignment="1" applyFill="1" applyFont="1" applyNumberFormat="1">
      <alignment horizontal="right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9" fontId="8" numFmtId="0" xfId="0" applyAlignment="1" applyFill="1" applyFont="1">
      <alignment readingOrder="0" shrinkToFit="0" vertical="bottom" wrapText="0"/>
    </xf>
    <xf borderId="0" fillId="13" fontId="8" numFmtId="0" xfId="0" applyAlignment="1" applyFill="1" applyFont="1">
      <alignment shrinkToFit="0" vertical="bottom" wrapText="0"/>
    </xf>
    <xf borderId="0" fillId="13" fontId="3" numFmtId="0" xfId="0" applyAlignment="1" applyFill="1" applyFont="1">
      <alignment shrinkToFit="0" vertical="bottom" wrapText="0"/>
    </xf>
    <xf borderId="0" fillId="14" fontId="6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10" fontId="16" numFmtId="0" xfId="0" applyAlignment="1" applyFill="1" applyFont="1">
      <alignment shrinkToFit="0" vertical="bottom" wrapText="0"/>
    </xf>
    <xf borderId="0" fillId="11" fontId="6" numFmtId="0" xfId="0" applyAlignment="1" applyFill="1" applyFont="1">
      <alignment readingOrder="0" shrinkToFit="0" vertical="bottom" wrapText="0"/>
    </xf>
    <xf borderId="0" fillId="6" fontId="7" numFmtId="0" xfId="0" applyAlignment="1" applyFill="1" applyFont="1">
      <alignment shrinkToFit="0" vertical="bottom" wrapText="0"/>
    </xf>
    <xf borderId="0" fillId="6" fontId="7" numFmtId="165" xfId="0" applyAlignment="1" applyFill="1" applyFont="1" applyNumberFormat="1">
      <alignment horizontal="right" shrinkToFit="0" vertical="bottom" wrapText="0"/>
    </xf>
    <xf borderId="0" fillId="6" fontId="7" numFmtId="0" xfId="0" applyAlignment="1" applyFill="1" applyFont="1">
      <alignment horizontal="right" shrinkToFit="0" vertical="bottom" wrapText="0"/>
    </xf>
    <xf borderId="0" fillId="6" fontId="7" numFmtId="166" xfId="0" applyAlignment="1" applyFill="1" applyFont="1" applyNumberFormat="1">
      <alignment horizontal="right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8" numFmtId="0" xfId="0" applyAlignment="1" applyFill="1" applyFont="1">
      <alignment shrinkToFit="0" vertical="bottom" wrapText="0"/>
    </xf>
    <xf borderId="0" fillId="12" fontId="7" numFmtId="0" xfId="0" applyAlignment="1" applyFill="1" applyFont="1">
      <alignment shrinkToFit="0" vertical="bottom" wrapText="0"/>
    </xf>
    <xf borderId="0" fillId="14" fontId="7" numFmtId="0" xfId="0" applyAlignment="1" applyFill="1" applyFont="1">
      <alignment readingOrder="0" shrinkToFit="0" vertical="bottom" wrapText="0"/>
    </xf>
    <xf borderId="0" fillId="11" fontId="7" numFmtId="0" xfId="0" applyAlignment="1" applyFill="1" applyFont="1">
      <alignment readingOrder="0" shrinkToFit="0" vertical="bottom" wrapText="0"/>
    </xf>
    <xf borderId="0" fillId="6" fontId="6" numFmtId="165" xfId="0" applyAlignment="1" applyFill="1" applyFont="1" applyNumberFormat="1">
      <alignment readingOrder="0" shrinkToFit="0" vertical="bottom" wrapText="0"/>
    </xf>
    <xf borderId="0" fillId="6" fontId="6" numFmtId="0" xfId="0" applyAlignment="1" applyFill="1" applyFont="1">
      <alignment shrinkToFit="0" vertical="bottom" wrapText="0"/>
    </xf>
    <xf borderId="0" fillId="6" fontId="6" numFmtId="0" xfId="0" applyAlignment="1" applyFill="1" applyFont="1">
      <alignment horizontal="right" readingOrder="0" shrinkToFit="0" vertical="bottom" wrapText="0"/>
    </xf>
    <xf borderId="0" fillId="6" fontId="6" numFmtId="166" xfId="0" applyAlignment="1" applyFill="1" applyFont="1" applyNumberFormat="1">
      <alignment readingOrder="0" shrinkToFit="0" vertical="bottom" wrapText="0"/>
    </xf>
    <xf borderId="0" fillId="15" fontId="17" numFmtId="0" xfId="0" applyAlignment="1" applyFill="1" applyFont="1">
      <alignment readingOrder="0" shrinkToFit="0" vertical="bottom" wrapText="0"/>
    </xf>
    <xf borderId="0" fillId="16" fontId="18" numFmtId="0" xfId="0" applyAlignment="1" applyFill="1" applyFont="1">
      <alignment readingOrder="0" shrinkToFit="0" vertical="bottom" wrapText="0"/>
    </xf>
    <xf borderId="0" fillId="17" fontId="17" numFmtId="0" xfId="0" applyAlignment="1" applyFill="1" applyFont="1">
      <alignment readingOrder="0" shrinkToFit="0" vertical="bottom" wrapText="0"/>
    </xf>
    <xf borderId="0" fillId="16" fontId="6" numFmtId="0" xfId="0" applyAlignment="1" applyFill="1" applyFont="1">
      <alignment readingOrder="0" shrinkToFit="0" vertical="bottom" wrapText="0"/>
    </xf>
    <xf borderId="0" fillId="17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5" fillId="5" fontId="7" numFmtId="0" xfId="0" applyAlignment="1" applyBorder="1" applyFill="1" applyFont="1">
      <alignment shrinkToFit="0" vertical="bottom" wrapText="0"/>
    </xf>
    <xf borderId="6" fillId="5" fontId="7" numFmtId="0" xfId="0" applyAlignment="1" applyBorder="1" applyFill="1" applyFont="1">
      <alignment shrinkToFit="0" vertical="bottom" wrapText="0"/>
    </xf>
    <xf borderId="6" fillId="5" fontId="7" numFmtId="165" xfId="0" applyAlignment="1" applyBorder="1" applyFill="1" applyFont="1" applyNumberFormat="1">
      <alignment horizontal="right" shrinkToFit="0" vertical="bottom" wrapText="0"/>
    </xf>
    <xf borderId="6" fillId="5" fontId="7" numFmtId="0" xfId="0" applyAlignment="1" applyBorder="1" applyFill="1" applyFont="1">
      <alignment horizontal="right" shrinkToFit="0" vertical="bottom" wrapText="0"/>
    </xf>
    <xf borderId="7" fillId="7" fontId="7" numFmtId="0" xfId="0" applyAlignment="1" applyBorder="1" applyFill="1" applyFont="1">
      <alignment shrinkToFit="0" vertical="bottom" wrapText="0"/>
    </xf>
    <xf borderId="6" fillId="5" fontId="7" numFmtId="166" xfId="0" applyAlignment="1" applyBorder="1" applyFill="1" applyFont="1" applyNumberFormat="1">
      <alignment horizontal="right" shrinkToFit="0" vertical="bottom" wrapText="0"/>
    </xf>
    <xf borderId="8" fillId="3" fontId="7" numFmtId="0" xfId="0" applyAlignment="1" applyBorder="1" applyFill="1" applyFont="1">
      <alignment shrinkToFit="0" vertical="bottom" wrapText="0"/>
    </xf>
    <xf borderId="9" fillId="11" fontId="7" numFmtId="0" xfId="0" applyAlignment="1" applyBorder="1" applyFill="1" applyFont="1">
      <alignment shrinkToFit="0" vertical="bottom" wrapText="0"/>
    </xf>
    <xf borderId="6" fillId="5" fontId="3" numFmtId="0" xfId="0" applyAlignment="1" applyBorder="1" applyFill="1" applyFont="1">
      <alignment shrinkToFit="0" vertical="bottom" wrapText="0"/>
    </xf>
    <xf borderId="10" fillId="17" fontId="7" numFmtId="0" xfId="0" applyAlignment="1" applyBorder="1" applyFill="1" applyFont="1">
      <alignment shrinkToFit="0" vertical="bottom" wrapText="0"/>
    </xf>
    <xf borderId="11" fillId="5" fontId="7" numFmtId="0" xfId="0" applyAlignment="1" applyBorder="1" applyFill="1" applyFont="1">
      <alignment shrinkToFit="0" vertical="bottom" wrapText="0"/>
    </xf>
    <xf borderId="12" fillId="6" fontId="7" numFmtId="0" xfId="0" applyAlignment="1" applyBorder="1" applyFill="1" applyFont="1">
      <alignment shrinkToFit="0" vertical="bottom" wrapText="0"/>
    </xf>
    <xf borderId="13" fillId="6" fontId="7" numFmtId="0" xfId="0" applyAlignment="1" applyBorder="1" applyFill="1" applyFont="1">
      <alignment shrinkToFit="0" vertical="bottom" wrapText="0"/>
    </xf>
    <xf borderId="13" fillId="6" fontId="7" numFmtId="165" xfId="0" applyAlignment="1" applyBorder="1" applyFill="1" applyFont="1" applyNumberFormat="1">
      <alignment horizontal="right" shrinkToFit="0" vertical="bottom" wrapText="0"/>
    </xf>
    <xf borderId="13" fillId="6" fontId="7" numFmtId="0" xfId="0" applyAlignment="1" applyBorder="1" applyFill="1" applyFont="1">
      <alignment horizontal="right" shrinkToFit="0" vertical="bottom" wrapText="0"/>
    </xf>
    <xf borderId="13" fillId="6" fontId="3" numFmtId="0" xfId="0" applyAlignment="1" applyBorder="1" applyFill="1" applyFont="1">
      <alignment shrinkToFit="0" vertical="bottom" wrapText="0"/>
    </xf>
    <xf borderId="13" fillId="6" fontId="7" numFmtId="166" xfId="0" applyAlignment="1" applyBorder="1" applyFill="1" applyFont="1" applyNumberFormat="1">
      <alignment horizontal="right" shrinkToFit="0" vertical="bottom" wrapText="0"/>
    </xf>
    <xf borderId="13" fillId="17" fontId="7" numFmtId="0" xfId="0" applyAlignment="1" applyBorder="1" applyFill="1" applyFont="1">
      <alignment shrinkToFit="0" vertical="bottom" wrapText="0"/>
    </xf>
    <xf borderId="14" fillId="6" fontId="7" numFmtId="0" xfId="0" applyAlignment="1" applyBorder="1" applyFill="1" applyFont="1">
      <alignment shrinkToFit="0" vertical="bottom" wrapText="0"/>
    </xf>
    <xf borderId="15" fillId="9" fontId="8" numFmtId="0" xfId="0" applyAlignment="1" applyBorder="1" applyFill="1" applyFont="1">
      <alignment shrinkToFit="0" vertical="bottom" wrapText="0"/>
    </xf>
    <xf borderId="13" fillId="16" fontId="7" numFmtId="0" xfId="0" applyAlignment="1" applyBorder="1" applyFill="1" applyFont="1">
      <alignment shrinkToFit="0" vertical="bottom" wrapText="0"/>
    </xf>
    <xf borderId="6" fillId="17" fontId="7" numFmtId="0" xfId="0" applyAlignment="1" applyBorder="1" applyFill="1" applyFont="1">
      <alignment shrinkToFit="0" vertical="bottom" wrapText="0"/>
    </xf>
    <xf borderId="0" fillId="5" fontId="7" numFmtId="0" xfId="0" applyAlignment="1" applyFill="1" applyFont="1">
      <alignment horizontal="center" shrinkToFit="0" vertical="bottom" wrapText="0"/>
    </xf>
    <xf borderId="6" fillId="5" fontId="7" numFmtId="0" xfId="0" applyAlignment="1" applyBorder="1" applyFill="1" applyFont="1">
      <alignment readingOrder="0" shrinkToFit="0" vertical="bottom" wrapText="0"/>
    </xf>
    <xf borderId="0" fillId="10" fontId="16" numFmtId="0" xfId="0" applyAlignment="1" applyFill="1" applyFont="1">
      <alignment readingOrder="0" shrinkToFit="0" vertical="bottom" wrapText="0"/>
    </xf>
    <xf borderId="0" fillId="5" fontId="6" numFmtId="0" xfId="0" applyAlignment="1" applyFill="1" applyFont="1">
      <alignment shrinkToFit="0" vertical="bottom" wrapText="0"/>
    </xf>
    <xf borderId="0" fillId="5" fontId="6" numFmtId="165" xfId="0" applyAlignment="1" applyFill="1" applyFont="1" applyNumberFormat="1">
      <alignment readingOrder="0" shrinkToFit="0" vertical="bottom" wrapText="0"/>
    </xf>
    <xf borderId="0" fillId="5" fontId="6" numFmtId="0" xfId="0" applyAlignment="1" applyFill="1" applyFont="1">
      <alignment horizontal="right" readingOrder="0" shrinkToFit="0" vertical="bottom" wrapText="0"/>
    </xf>
    <xf borderId="0" fillId="5" fontId="6" numFmtId="166" xfId="0" applyAlignment="1" applyFill="1" applyFont="1" applyNumberFormat="1">
      <alignment readingOrder="0"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10" fontId="19" numFmtId="0" xfId="0" applyAlignment="1" applyFill="1" applyFont="1">
      <alignment readingOrder="0" shrinkToFit="0" vertical="bottom" wrapText="0"/>
    </xf>
    <xf borderId="13" fillId="6" fontId="7" numFmtId="0" xfId="0" applyAlignment="1" applyBorder="1" applyFill="1" applyFont="1">
      <alignment readingOrder="0" shrinkToFit="0" vertical="bottom" wrapText="0"/>
    </xf>
    <xf borderId="0" fillId="5" fontId="19" numFmtId="0" xfId="0" applyAlignment="1" applyFill="1" applyFont="1">
      <alignment shrinkToFit="0" vertical="bottom" wrapText="0"/>
    </xf>
    <xf borderId="0" fillId="7" fontId="20" numFmtId="0" xfId="0" applyAlignment="1" applyFill="1" applyFont="1">
      <alignment readingOrder="0" shrinkToFit="0" vertical="bottom" wrapText="0"/>
    </xf>
    <xf borderId="0" fillId="6" fontId="21" numFmtId="0" xfId="0" applyAlignment="1" applyFill="1" applyFont="1">
      <alignment shrinkToFit="0" vertical="bottom" wrapText="0"/>
    </xf>
    <xf borderId="0" fillId="16" fontId="1" numFmtId="0" xfId="0" applyAlignment="1" applyFill="1" applyFont="1">
      <alignment readingOrder="0" shrinkToFit="0" vertical="center" wrapText="0"/>
    </xf>
    <xf borderId="0" fillId="16" fontId="1" numFmtId="0" xfId="0" applyAlignment="1" applyFill="1" applyFont="1">
      <alignment shrinkToFit="0" vertical="center" wrapText="0"/>
    </xf>
    <xf borderId="0" fillId="12" fontId="6" numFmtId="0" xfId="0" applyAlignment="1" applyFill="1" applyFont="1">
      <alignment readingOrder="0" shrinkToFit="0" vertical="bottom" wrapText="0"/>
    </xf>
    <xf borderId="16" fillId="6" fontId="7" numFmtId="0" xfId="0" applyAlignment="1" applyBorder="1" applyFill="1" applyFont="1">
      <alignment shrinkToFit="0" vertical="bottom" wrapText="0"/>
    </xf>
    <xf borderId="17" fillId="14" fontId="7" numFmtId="0" xfId="0" applyAlignment="1" applyBorder="1" applyFill="1" applyFont="1">
      <alignment shrinkToFit="0" vertical="bottom" wrapText="0"/>
    </xf>
    <xf borderId="18" fillId="6" fontId="7" numFmtId="0" xfId="0" applyAlignment="1" applyBorder="1" applyFill="1" applyFont="1">
      <alignment shrinkToFit="0" vertical="bottom" wrapText="0"/>
    </xf>
    <xf borderId="19" fillId="5" fontId="7" numFmtId="0" xfId="0" applyAlignment="1" applyBorder="1" applyFill="1" applyFont="1">
      <alignment shrinkToFit="0" vertical="bottom" wrapText="0"/>
    </xf>
    <xf borderId="20" fillId="5" fontId="7" numFmtId="0" xfId="0" applyAlignment="1" applyBorder="1" applyFill="1" applyFont="1">
      <alignment shrinkToFit="0" vertical="bottom" wrapText="0"/>
    </xf>
    <xf borderId="0" fillId="10" fontId="6" numFmtId="0" xfId="0" applyAlignment="1" applyFill="1" applyFont="1">
      <alignment readingOrder="0" shrinkToFit="0" vertical="bottom" wrapText="0"/>
    </xf>
    <xf borderId="6" fillId="5" fontId="7" numFmtId="0" xfId="0" applyAlignment="1" applyBorder="1" applyFill="1" applyFont="1">
      <alignment horizontal="center" shrinkToFit="0" vertical="bottom" wrapText="0"/>
    </xf>
    <xf borderId="6" fillId="12" fontId="7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18" fontId="6" numFmtId="0" xfId="0" applyAlignment="1" applyFill="1" applyFont="1">
      <alignment readingOrder="0" shrinkToFit="0" vertical="bottom" wrapText="0"/>
    </xf>
    <xf borderId="13" fillId="12" fontId="7" numFmtId="0" xfId="0" applyAlignment="1" applyBorder="1" applyFill="1" applyFont="1">
      <alignment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16" fillId="6" fontId="7" numFmtId="0" xfId="0" applyAlignment="1" applyBorder="1" applyFill="1" applyFont="1">
      <alignment shrinkToFit="0" vertical="bottom" wrapText="0"/>
    </xf>
    <xf borderId="13" fillId="6" fontId="7" numFmtId="0" xfId="0" applyAlignment="1" applyBorder="1" applyFill="1" applyFont="1">
      <alignment shrinkToFit="0" vertical="bottom" wrapText="0"/>
    </xf>
    <xf borderId="7" fillId="7" fontId="7" numFmtId="0" xfId="0" applyAlignment="1" applyBorder="1" applyFill="1" applyFont="1">
      <alignment shrinkToFit="0" vertical="bottom" wrapText="0"/>
    </xf>
    <xf borderId="13" fillId="6" fontId="7" numFmtId="0" xfId="0" applyAlignment="1" applyBorder="1" applyFill="1" applyFont="1">
      <alignment horizontal="right" shrinkToFit="0" vertical="bottom" wrapText="0"/>
    </xf>
    <xf borderId="17" fillId="14" fontId="7" numFmtId="0" xfId="0" applyAlignment="1" applyBorder="1" applyFill="1" applyFont="1">
      <alignment shrinkToFit="0" vertical="bottom" wrapText="0"/>
    </xf>
    <xf borderId="13" fillId="6" fontId="3" numFmtId="0" xfId="0" applyAlignment="1" applyBorder="1" applyFill="1" applyFont="1">
      <alignment shrinkToFit="0" vertical="bottom" wrapText="0"/>
    </xf>
    <xf borderId="18" fillId="6" fontId="7" numFmtId="0" xfId="0" applyAlignment="1" applyBorder="1" applyFill="1" applyFont="1">
      <alignment shrinkToFit="0" vertical="bottom" wrapText="0"/>
    </xf>
    <xf borderId="0" fillId="6" fontId="7" numFmtId="0" xfId="0" applyAlignment="1" applyFill="1" applyFont="1">
      <alignment shrinkToFit="0" vertical="bottom" wrapText="0"/>
    </xf>
    <xf borderId="19" fillId="5" fontId="7" numFmtId="0" xfId="0" applyAlignment="1" applyBorder="1" applyFill="1" applyFont="1">
      <alignment shrinkToFit="0" vertical="bottom" wrapText="0"/>
    </xf>
    <xf borderId="6" fillId="5" fontId="7" numFmtId="0" xfId="0" applyAlignment="1" applyBorder="1" applyFill="1" applyFont="1">
      <alignment shrinkToFit="0" vertical="bottom" wrapText="0"/>
    </xf>
    <xf borderId="6" fillId="5" fontId="7" numFmtId="0" xfId="0" applyAlignment="1" applyBorder="1" applyFill="1" applyFont="1">
      <alignment horizontal="right" shrinkToFit="0" vertical="bottom" wrapText="0"/>
    </xf>
    <xf borderId="6" fillId="5" fontId="3" numFmtId="0" xfId="0" applyAlignment="1" applyBorder="1" applyFill="1" applyFont="1">
      <alignment shrinkToFit="0" vertical="bottom" wrapText="0"/>
    </xf>
    <xf borderId="20" fillId="5" fontId="7" numFmtId="0" xfId="0" applyAlignment="1" applyBorder="1" applyFill="1" applyFont="1">
      <alignment shrinkToFit="0" vertical="bottom" wrapText="0"/>
    </xf>
    <xf borderId="0" fillId="5" fontId="7" numFmtId="0" xfId="0" applyAlignment="1" applyFill="1" applyFont="1">
      <alignment shrinkToFit="0" vertical="bottom" wrapText="0"/>
    </xf>
    <xf borderId="6" fillId="10" fontId="16" numFmtId="0" xfId="0" applyAlignment="1" applyBorder="1" applyFill="1" applyFont="1">
      <alignment shrinkToFit="0" vertical="bottom" wrapText="0"/>
    </xf>
    <xf borderId="13" fillId="10" fontId="16" numFmtId="0" xfId="0" applyAlignment="1" applyBorder="1" applyFill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167" xfId="0" applyAlignment="1" applyFont="1" applyNumberFormat="1">
      <alignment horizontal="right" shrinkToFit="0" vertical="bottom" wrapText="0"/>
    </xf>
    <xf borderId="0" fillId="0" fontId="22" numFmtId="11" xfId="0" applyAlignment="1" applyFont="1" applyNumberFormat="1">
      <alignment horizontal="right" shrinkToFit="0" vertical="bottom" wrapText="0"/>
    </xf>
    <xf borderId="0" fillId="0" fontId="23" numFmtId="0" xfId="0" applyAlignment="1" applyFont="1">
      <alignment shrinkToFit="0" vertical="bottom" wrapText="0"/>
    </xf>
    <xf borderId="0" fillId="0" fontId="22" numFmtId="0" xfId="0" applyAlignment="1" applyFont="1">
      <alignment horizontal="right" shrinkToFit="0" vertical="bottom" wrapText="0"/>
    </xf>
    <xf borderId="0" fillId="0" fontId="22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24" numFmtId="0" xfId="0" applyAlignment="1" applyFont="1">
      <alignment readingOrder="0" shrinkToFit="0" vertical="bottom" wrapText="0"/>
    </xf>
    <xf borderId="0" fillId="0" fontId="24" numFmtId="167" xfId="0" applyAlignment="1" applyFont="1" applyNumberFormat="1">
      <alignment horizontal="right" readingOrder="0" shrinkToFit="0" vertical="bottom" wrapText="0"/>
    </xf>
    <xf borderId="0" fillId="0" fontId="24" numFmtId="49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24" numFmtId="168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08B40"/>
          <bgColor rgb="FF008B40"/>
        </patternFill>
      </fill>
      <border/>
    </dxf>
    <dxf>
      <font/>
      <fill>
        <patternFill patternType="solid">
          <fgColor rgb="FFDB7510"/>
          <bgColor rgb="FFDB7510"/>
        </patternFill>
      </fill>
      <border/>
    </dxf>
    <dxf>
      <font/>
      <fill>
        <patternFill patternType="solid">
          <fgColor rgb="FFA8008C"/>
          <bgColor rgb="FFA8008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A8008C"/>
        </left>
        <right style="thin">
          <color rgb="FFA8008C"/>
        </right>
        <top style="thin">
          <color rgb="FFA8008C"/>
        </top>
        <bottom style="thin">
          <color rgb="FFA8008C"/>
        </bottom>
      </border>
    </dxf>
  </dxfs>
  <tableStyles count="5">
    <tableStyle count="4" pivot="0" name="ALERGIAS PARTICIPANTES -style">
      <tableStyleElement dxfId="3" type="headerRow"/>
      <tableStyleElement dxfId="4" type="firstRowStripe"/>
      <tableStyleElement dxfId="5" type="secondRowStripe"/>
      <tableStyleElement dxfId="7" size="0" type="wholeTable"/>
    </tableStyle>
    <tableStyle count="4" pivot="0" name="ALERGIAS CONSEJEROS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Cumpleaños-style">
      <tableStyleElement dxfId="6" type="headerRow"/>
      <tableStyleElement dxfId="4" type="firstRowStripe"/>
      <tableStyleElement dxfId="5" type="secondRowStripe"/>
      <tableStyleElement dxfId="7" size="0" type="wholeTable"/>
    </tableStyle>
    <tableStyle count="4" pivot="0" name="CONTROL MEDICAMENTOS Y ATENCION-style">
      <tableStyleElement dxfId="1" type="headerRow"/>
      <tableStyleElement dxfId="4" type="firstRowStripe"/>
      <tableStyleElement dxfId="5" type="secondRowStripe"/>
      <tableStyleElement dxfId="7" size="0" type="wholeTable"/>
    </tableStyle>
    <tableStyle count="4" pivot="0" name="NECESIDADES ESPECIALES -style">
      <tableStyleElement dxfId="6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P986" displayName="ALERGIAS_PARTICIPANTES" name="ALERGIAS_PARTICIPANTES" id="2">
  <tableColumns count="42">
    <tableColumn name="Nombre de pila" id="1"/>
    <tableColumn name="Apellido" id="2"/>
    <tableColumn name="Nombre que se prefiere" id="3"/>
    <tableColumn name="Cumpleaños" id="4"/>
    <tableColumn name="Sexo" id="5"/>
    <tableColumn name="Teléfono" id="6"/>
    <tableColumn name="Correo electrónico" id="7"/>
    <tableColumn name="Talla de camiseta" id="8"/>
    <tableColumn name="Información alimentaria" id="9"/>
    <tableColumn name="Nombre del contacto 1" id="10"/>
    <tableColumn name="Correo electrónico del contacto 1" id="11"/>
    <tableColumn name="Teléfono del contacto 1" id="12"/>
    <tableColumn name="Nombre del contacto 2" id="13"/>
    <tableColumn name="Correo electrónico del contacto 2" id="14"/>
    <tableColumn name="Teléfono del contacto 2" id="15"/>
    <tableColumn name="Edad" id="16"/>
    <tableColumn name="Fecha" id="17"/>
    <tableColumn name="Estado" id="18"/>
    <tableColumn name="Tipo" id="19"/>
    <tableColumn name="Nombre de la estaca o distrito" id="20"/>
    <tableColumn name="Nombre del barrio o rama" id="21"/>
    <tableColumn name="Correo electrónico del obispo" id="22"/>
    <tableColumn name="Nombre del obispo" id="23"/>
    <tableColumn name="¿Requiere una dieta especial?" id="24"/>
    <tableColumn name="Si la respuesta es Sí, especifique las restricciones alimentarias" id="25"/>
    <tableColumn name="¿Tiene el participante alergias?" id="26"/>
    <tableColumn name="Si la respuesta es sí, especifique las alergias" id="27"/>
    <tableColumn name="¿Toma algún medicamento o medicina de venta libre?" id="28"/>
    <tableColumn name="Si la respuesta es sí, ¿puede el participante autoadministrarse el medicamento?" id="29"/>
    <tableColumn name="Enumere todas las prescripciones y medicinas de venta libre que el participante toma" id="30"/>
    <tableColumn name="¿Tiene una enfermedad crónica o recurrente?" id="31"/>
    <tableColumn name="Si la respuesta es sí, especifique la enfermedad" id="32"/>
    <tableColumn name="¿Ha tenido el participante una cirugía o una enfermedad grave en el último año?" id="33"/>
    <tableColumn name="Si la respuesta es sí, especifique las cirugías y/o enfermedades" id="34"/>
    <tableColumn name="¿Hay alguna situación emocional, psicológica o física que debamos conocer, para acompañar mejor al participante durante el campamento. (ej. ansiedad, tdah, autismo, alguna discapacidad o condición médica relevante)" id="35"/>
    <tableColumn name="Si la respuesta es Sí, por favor descríbela brevemente y menciona si requiere algún tipo de apoyo especial" id="36"/>
    <tableColumn name="Mencione cualquier otra limitación, restricción o discapacidad que pudiera impedir que el participante forme parte plenamente del evento" id="37"/>
    <tableColumn name="Selecciona tu PRIMERA preferencia de clase" id="38"/>
    <tableColumn name="Selecciona tu SEGUNDA preferencia de clase" id="39"/>
    <tableColumn name="Selecciona tu TERCERA preferencia de clase" id="40"/>
    <tableColumn name="Columna 1" id="41"/>
    <tableColumn name="QR" id="42"/>
  </tableColumns>
  <tableStyleInfo name="ALERGIAS PARTICIPANTES -style" showColumnStripes="0" showFirstColumn="1" showLastColumn="1" showRowStripes="1"/>
</table>
</file>

<file path=xl/tables/table2.xml><?xml version="1.0" encoding="utf-8"?>
<table xmlns="http://schemas.openxmlformats.org/spreadsheetml/2006/main" ref="A1:D18" displayName="Tabla_1" name="Tabla_1" id="1">
  <tableColumns count="4">
    <tableColumn name="Nombre del Participante" id="1"/>
    <tableColumn name="Cumpleaños" id="2"/>
    <tableColumn name="Barrio" id="3"/>
    <tableColumn name="Estaca" id="4"/>
  </tableColumns>
  <tableStyleInfo name="Cumpleaños-style" showColumnStripes="0" showFirstColumn="1" showLastColumn="1" showRowStripes="1"/>
</table>
</file>

<file path=xl/tables/table3.xml><?xml version="1.0" encoding="utf-8"?>
<table xmlns="http://schemas.openxmlformats.org/spreadsheetml/2006/main" ref="A1:AP974" displayName="ALERGIAS_CONSEJEROS" name="ALERGIAS_CONSEJEROS" id="4">
  <tableColumns count="42">
    <tableColumn name="Nombre de pila" id="1"/>
    <tableColumn name="Apellido" id="2"/>
    <tableColumn name="Nombre que se prefiere" id="3"/>
    <tableColumn name="Cumpleaños" id="4"/>
    <tableColumn name="Sexo" id="5"/>
    <tableColumn name="Teléfono" id="6"/>
    <tableColumn name="Correo electrónico" id="7"/>
    <tableColumn name="Talla de camiseta" id="8"/>
    <tableColumn name="Información alimentaria" id="9"/>
    <tableColumn name="Nombre del contacto 1" id="10"/>
    <tableColumn name="Correo electrónico del contacto 1" id="11"/>
    <tableColumn name="Teléfono del contacto 1" id="12"/>
    <tableColumn name="Nombre del contacto 2" id="13"/>
    <tableColumn name="Correo electrónico del contacto 2" id="14"/>
    <tableColumn name="Teléfono del contacto 2" id="15"/>
    <tableColumn name="Edad" id="16"/>
    <tableColumn name="Fecha" id="17"/>
    <tableColumn name="Estado" id="18"/>
    <tableColumn name="Tipo" id="19"/>
    <tableColumn name="Nombre de la estaca o distrito" id="20"/>
    <tableColumn name="Nombre del barrio o rama" id="21"/>
    <tableColumn name="Correo electrónico del obispo" id="22"/>
    <tableColumn name="Nombre del obispo" id="23"/>
    <tableColumn name="¿Requiere una dieta especial?" id="24"/>
    <tableColumn name="Si la respuesta es Sí, especifique las restricciones alimentarias" id="25"/>
    <tableColumn name="¿Tiene el participante alergias?" id="26"/>
    <tableColumn name="Si la respuesta es sí, especifique las alergias" id="27"/>
    <tableColumn name="¿Toma algún medicamento o medicina de venta libre?" id="28"/>
    <tableColumn name="Si la respuesta es sí, ¿puede el participante autoadministrarse el medicamento?" id="29"/>
    <tableColumn name="Enumere todas las prescripciones y medicinas de venta libre que el participante toma" id="30"/>
    <tableColumn name="¿Tiene una enfermedad crónica o recurrente?" id="31"/>
    <tableColumn name="Si la respuesta es sí, especifique la enfermedad" id="32"/>
    <tableColumn name="¿Ha tenido el participante una cirugía o una enfermedad grave en el último año?" id="33"/>
    <tableColumn name="Si la respuesta es sí, especifique las cirugías y/o enfermedades" id="34"/>
    <tableColumn name="¿Hay alguna situación emocional, psicológica o física que debamos conocer, para acompañar mejor al participante durante el campamento. (ej. ansiedad, tdah, autismo, alguna discapacidad o condición médica relevante)" id="35"/>
    <tableColumn name="Si la respuesta es Sí, por favor descríbela brevemente y menciona si requiere algún tipo de apoyo especial" id="36"/>
    <tableColumn name="Mencione cualquier otra limitación, restricción o discapacidad que pudiera impedir que el participante forme parte plenamente del evento" id="37"/>
    <tableColumn name="Selecciona tu PRIMERA preferencia de clase" id="38"/>
    <tableColumn name="Selecciona tu SEGUNDA preferencia de clase" id="39"/>
    <tableColumn name="Selecciona tu TERCERA preferencia de clase" id="40"/>
    <tableColumn name="Selecciona tu CUARTA preferencia de clase" id="41"/>
    <tableColumn name="Column 42" id="42"/>
  </tableColumns>
  <tableStyleInfo name="ALERGIAS CONSEJEROS-style" showColumnStripes="0" showFirstColumn="1" showLastColumn="1" showRowStripes="1"/>
</table>
</file>

<file path=xl/tables/table4.xml><?xml version="1.0" encoding="utf-8"?>
<table xmlns="http://schemas.openxmlformats.org/spreadsheetml/2006/main" ref="A1:AP912" displayName="CONTROL_MEDICAMENTOS_Y_ATENCIONES_" name="CONTROL_MEDICAMENTOS_Y_ATENCIONES_" id="3">
  <tableColumns count="42">
    <tableColumn name="Nombre de pila" id="1"/>
    <tableColumn name="Apellido" id="2"/>
    <tableColumn name="Nombre que se prefiere" id="3"/>
    <tableColumn name="Cumpleaños" id="4"/>
    <tableColumn name="Sexo" id="5"/>
    <tableColumn name="Teléfono" id="6"/>
    <tableColumn name="Correo electrónico" id="7"/>
    <tableColumn name="Talla de camiseta" id="8"/>
    <tableColumn name="Información alimentaria" id="9"/>
    <tableColumn name="Nombre del contacto 1" id="10"/>
    <tableColumn name="Correo electrónico del contacto 1" id="11"/>
    <tableColumn name="Teléfono del contacto 1" id="12"/>
    <tableColumn name="Nombre del contacto 2" id="13"/>
    <tableColumn name="Correo electrónico del contacto 2" id="14"/>
    <tableColumn name="Teléfono del contacto 2" id="15"/>
    <tableColumn name="Edad" id="16"/>
    <tableColumn name="Fecha" id="17"/>
    <tableColumn name="Estado" id="18"/>
    <tableColumn name="Tipo" id="19"/>
    <tableColumn name="Nombre de la estaca o distrito" id="20"/>
    <tableColumn name="Nombre del barrio o rama" id="21"/>
    <tableColumn name="Correo electrónico del obispo" id="22"/>
    <tableColumn name="Nombre del obispo" id="23"/>
    <tableColumn name="¿Requiere una dieta especial?" id="24"/>
    <tableColumn name="Si la respuesta es Sí, especifique las restricciones alimentarias" id="25"/>
    <tableColumn name="¿Tiene el participante alergias?" id="26"/>
    <tableColumn name="Si la respuesta es sí, especifique las alergias" id="27"/>
    <tableColumn name="¿Toma algún medicamento o medicina de venta libre?" id="28"/>
    <tableColumn name="Si la respuesta es sí, ¿puede el participante autoadministrarse el medicamento?" id="29"/>
    <tableColumn name="Enumere todas las prescripciones y medicinas de venta libre que el participante toma" id="30"/>
    <tableColumn name="¿Tiene una enfermedad crónica o recurrente?" id="31"/>
    <tableColumn name="Si la respuesta es sí, especifique la enfermedad" id="32"/>
    <tableColumn name="¿Ha tenido el participante una cirugía o una enfermedad grave en el último año?" id="33"/>
    <tableColumn name="Si la respuesta es sí, especifique las cirugías y/o enfermedades" id="34"/>
    <tableColumn name="¿Hay alguna situación emocional, psicológica o física que debamos conocer, para acompañar mejor al participante durante el campamento. (ej. ansiedad, tdah, autismo, alguna discapacidad o condición médica relevante)" id="35"/>
    <tableColumn name="Si la respuesta es Sí, por favor descríbela brevemente y menciona si requiere algún tipo de apoyo especial" id="36"/>
    <tableColumn name="Mencione cualquier otra limitación, restricción o discapacidad que pudiera impedir que el participante forme parte plenamente del evento" id="37"/>
    <tableColumn name="Selecciona tu PRIMERA preferencia de clase" id="38"/>
    <tableColumn name="Selecciona tu SEGUNDA preferencia de clase" id="39"/>
    <tableColumn name="Selecciona tu TERCERA preferencia de clase" id="40"/>
    <tableColumn name="Selecciona tu CUARTA preferencia de clase" id="41"/>
    <tableColumn name="Column 42" id="42"/>
  </tableColumns>
  <tableStyleInfo name="CONTROL MEDICAMENTOS Y ATENCION-style" showColumnStripes="0" showFirstColumn="1" showLastColumn="1" showRowStripes="1"/>
</table>
</file>

<file path=xl/tables/table5.xml><?xml version="1.0" encoding="utf-8"?>
<table xmlns="http://schemas.openxmlformats.org/spreadsheetml/2006/main" ref="A1:AO1000" displayName="NECESIDADES_ESPECIALES" name="NECESIDADES_ESPECIALES" id="5">
  <tableColumns count="41">
    <tableColumn name="Nombre de pila" id="1"/>
    <tableColumn name="Apellido" id="2"/>
    <tableColumn name="Nombre que se prefiere" id="3"/>
    <tableColumn name="Cumpleaños" id="4"/>
    <tableColumn name="Sexo" id="5"/>
    <tableColumn name="Teléfono" id="6"/>
    <tableColumn name="Correo electrónico" id="7"/>
    <tableColumn name="Talla de camiseta" id="8"/>
    <tableColumn name="Información alimentaria" id="9"/>
    <tableColumn name="Nombre del contacto 1" id="10"/>
    <tableColumn name="Correo electrónico del contacto 1" id="11"/>
    <tableColumn name="Teléfono del contacto 1" id="12"/>
    <tableColumn name="Nombre del contacto 2" id="13"/>
    <tableColumn name="Correo electrónico del contacto 2" id="14"/>
    <tableColumn name="Teléfono del contacto 2" id="15"/>
    <tableColumn name="Edad" id="16"/>
    <tableColumn name="Fecha" id="17"/>
    <tableColumn name="Estado" id="18"/>
    <tableColumn name="Tipo" id="19"/>
    <tableColumn name="Nombre de la estaca o distrito" id="20"/>
    <tableColumn name="Nombre del barrio o rama" id="21"/>
    <tableColumn name="Correo electrónico del obispo" id="22"/>
    <tableColumn name="Nombre del obispo" id="23"/>
    <tableColumn name="¿Requiere una dieta especial?" id="24"/>
    <tableColumn name="Si la respuesta es Sí, especifique las restricciones alimentarias" id="25"/>
    <tableColumn name="¿Tiene el participante alergias?" id="26"/>
    <tableColumn name="Si la respuesta es sí, especifique las alergias" id="27"/>
    <tableColumn name="¿Toma algún medicamento o medicina de venta libre?" id="28"/>
    <tableColumn name="Si la respuesta es sí, ¿puede el participante autoadministrarse el medicamento?" id="29"/>
    <tableColumn name="Enumere todas las prescripciones y medicinas de venta libre que el participante toma" id="30"/>
    <tableColumn name="¿Tiene una enfermedad crónica o recurrente?" id="31"/>
    <tableColumn name="Si la respuesta es sí, especifique la enfermedad" id="32"/>
    <tableColumn name="¿Ha tenido el participante una cirugía o una enfermedad grave en el último año?" id="33"/>
    <tableColumn name="Si la respuesta es sí, especifique las cirugías y/o enfermedades" id="34"/>
    <tableColumn name="¿Hay alguna situación emocional, psicológica o física que debamos conocer, para acompañar mejor al participante durante el campamento. (ej. ansiedad, tdah, autismo, alguna discapacidad o condición médica relevante)" id="35"/>
    <tableColumn name="Si la respuesta es Sí, por favor descríbela brevemente y menciona si requiere algún tipo de apoyo especial" id="36"/>
    <tableColumn name="Mencione cualquier otra limitación, restricción o discapacidad que pudiera impedir que el participante forme parte plenamente del evento" id="37"/>
    <tableColumn name="Selecciona tu PRIMERA preferencia de clase" id="38"/>
    <tableColumn name="Selecciona tu SEGUNDA preferencia de clase" id="39"/>
    <tableColumn name="Selecciona tu TERCERA preferencia de clase" id="40"/>
    <tableColumn name="Selecciona tu CUARTA preferencia de clase" id="41"/>
  </tableColumns>
  <tableStyleInfo name="NECESIDADES ESPECIAL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jorgesamuelsotoguzman80@gmail.com" TargetMode="External"/><Relationship Id="rId2" Type="http://schemas.openxmlformats.org/officeDocument/2006/relationships/hyperlink" Target="mailto:gucce26@hotmail.com" TargetMode="External"/><Relationship Id="rId3" Type="http://schemas.openxmlformats.org/officeDocument/2006/relationships/hyperlink" Target="mailto:xmnsg25@gmail.com" TargetMode="External"/><Relationship Id="rId4" Type="http://schemas.openxmlformats.org/officeDocument/2006/relationships/hyperlink" Target="mailto:mgm.agroalibracion@gmail.comp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jorgesamuelsotoguzman80@gmail.com" TargetMode="External"/><Relationship Id="rId2" Type="http://schemas.openxmlformats.org/officeDocument/2006/relationships/hyperlink" Target="mailto:gucce26@hotmail.com" TargetMode="External"/><Relationship Id="rId3" Type="http://schemas.openxmlformats.org/officeDocument/2006/relationships/hyperlink" Target="mailto:xmnsg25@gmail.com" TargetMode="External"/><Relationship Id="rId4" Type="http://schemas.openxmlformats.org/officeDocument/2006/relationships/hyperlink" Target="mailto:mgm.agroalibracion@gmail.comp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13.5"/>
    <col customWidth="1" min="3" max="3" width="25.13"/>
    <col customWidth="1" hidden="1" min="4" max="4" width="22.13"/>
    <col customWidth="1" min="5" max="6" width="13.5"/>
    <col customWidth="1" hidden="1" min="7" max="7" width="13.5"/>
    <col customWidth="1" hidden="1" min="8" max="8" width="20.25"/>
    <col customWidth="1" min="9" max="9" width="32.75"/>
    <col customWidth="1" min="10" max="10" width="30.0"/>
    <col customWidth="1" min="11" max="22" width="14.38"/>
    <col customWidth="1" min="23" max="23" width="34.88"/>
    <col customWidth="1" min="24" max="37" width="14.38"/>
    <col customWidth="1" min="38" max="38" width="71.5"/>
    <col customWidth="1" min="39" max="39" width="62.0"/>
    <col customWidth="1" min="40" max="40" width="64.25"/>
    <col customWidth="1" min="41" max="41" width="65.0"/>
    <col customWidth="1" min="42" max="42" width="20.0"/>
  </cols>
  <sheetData>
    <row r="1" ht="22.5" customHeight="1">
      <c r="A1" s="4" t="s">
        <v>2</v>
      </c>
      <c r="B1" s="4" t="s">
        <v>5</v>
      </c>
      <c r="C1" s="4" t="s">
        <v>6</v>
      </c>
      <c r="D1" s="4" t="s">
        <v>1</v>
      </c>
      <c r="E1" s="4" t="s">
        <v>7</v>
      </c>
      <c r="F1" s="4" t="s">
        <v>9</v>
      </c>
      <c r="G1" s="4" t="s">
        <v>10</v>
      </c>
      <c r="H1" s="4" t="s">
        <v>11</v>
      </c>
      <c r="I1" s="9" t="s">
        <v>12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25</v>
      </c>
      <c r="T1" s="4" t="s">
        <v>26</v>
      </c>
      <c r="U1" s="4" t="s">
        <v>27</v>
      </c>
      <c r="V1" s="4" t="s">
        <v>29</v>
      </c>
      <c r="W1" s="4" t="s">
        <v>30</v>
      </c>
      <c r="X1" s="11" t="s">
        <v>32</v>
      </c>
      <c r="Y1" s="4" t="s">
        <v>33</v>
      </c>
      <c r="Z1" s="11" t="s">
        <v>34</v>
      </c>
      <c r="AA1" s="4" t="s">
        <v>35</v>
      </c>
      <c r="AB1" s="12" t="s">
        <v>36</v>
      </c>
      <c r="AC1" s="4" t="s">
        <v>38</v>
      </c>
      <c r="AD1" s="4" t="s">
        <v>40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47</v>
      </c>
      <c r="AJ1" s="4" t="s">
        <v>48</v>
      </c>
      <c r="AK1" s="4" t="s">
        <v>50</v>
      </c>
      <c r="AL1" s="4" t="s">
        <v>51</v>
      </c>
      <c r="AM1" s="4" t="s">
        <v>52</v>
      </c>
      <c r="AN1" s="4" t="s">
        <v>53</v>
      </c>
      <c r="AO1" s="13" t="s">
        <v>55</v>
      </c>
      <c r="AP1" s="4" t="s">
        <v>56</v>
      </c>
    </row>
    <row r="2" ht="22.5" customHeight="1">
      <c r="A2" s="15"/>
      <c r="B2" s="15"/>
      <c r="K2" s="15"/>
      <c r="L2" s="15"/>
      <c r="M2" s="18"/>
      <c r="N2" s="18"/>
      <c r="O2" s="18"/>
      <c r="P2" s="20"/>
      <c r="Q2" s="22"/>
      <c r="R2" s="15"/>
      <c r="S2" s="15"/>
      <c r="T2" s="15"/>
      <c r="U2" s="15"/>
      <c r="V2" s="15"/>
      <c r="W2" s="15"/>
      <c r="X2" s="23"/>
      <c r="Y2" s="23"/>
      <c r="Z2" s="15"/>
      <c r="AA2" s="24"/>
      <c r="AB2" s="15"/>
      <c r="AC2" s="15"/>
      <c r="AD2" s="18"/>
      <c r="AE2" s="15"/>
      <c r="AF2" s="18"/>
      <c r="AG2" s="15"/>
      <c r="AH2" s="18"/>
      <c r="AI2" s="15"/>
      <c r="AJ2" s="23"/>
      <c r="AK2" s="18"/>
      <c r="AL2" s="15"/>
      <c r="AM2" s="15"/>
      <c r="AN2" s="15"/>
      <c r="AO2" s="15"/>
      <c r="AP2" s="15"/>
    </row>
    <row r="3" ht="22.5" customHeight="1">
      <c r="A3" s="27"/>
      <c r="B3" s="28" t="s">
        <v>71</v>
      </c>
      <c r="C3" s="30"/>
      <c r="D3" s="31" t="s">
        <v>73</v>
      </c>
      <c r="E3" s="32"/>
      <c r="F3" s="33" t="s">
        <v>75</v>
      </c>
      <c r="G3" s="34"/>
      <c r="H3" s="15"/>
      <c r="I3" s="23"/>
      <c r="J3" s="15"/>
      <c r="K3" s="15"/>
      <c r="L3" s="15"/>
      <c r="M3" s="18"/>
      <c r="N3" s="18"/>
      <c r="O3" s="18"/>
      <c r="P3" s="20"/>
      <c r="Q3" s="22"/>
      <c r="R3" s="15"/>
      <c r="S3" s="15"/>
      <c r="T3" s="15"/>
      <c r="U3" s="15"/>
      <c r="V3" s="15"/>
      <c r="W3" s="15"/>
      <c r="X3" s="27"/>
      <c r="Y3" s="28" t="s">
        <v>71</v>
      </c>
      <c r="Z3" s="30"/>
      <c r="AA3" s="36" t="s">
        <v>73</v>
      </c>
      <c r="AB3" s="37"/>
      <c r="AC3" s="33" t="s">
        <v>75</v>
      </c>
      <c r="AD3" s="34"/>
      <c r="AE3" s="15"/>
      <c r="AF3" s="18"/>
      <c r="AG3" s="15"/>
      <c r="AH3" s="18"/>
      <c r="AI3" s="15"/>
      <c r="AJ3" s="27"/>
      <c r="AK3" s="18"/>
      <c r="AL3" s="15"/>
      <c r="AM3" s="15"/>
      <c r="AN3" s="15"/>
      <c r="AO3" s="15"/>
      <c r="AP3" s="15"/>
    </row>
    <row r="4" ht="22.5" customHeight="1">
      <c r="A4" s="15"/>
      <c r="B4" s="15"/>
      <c r="C4" s="15"/>
      <c r="D4" s="41"/>
      <c r="E4" s="15"/>
      <c r="F4" s="15"/>
      <c r="G4" s="15"/>
      <c r="H4" s="15"/>
      <c r="I4" s="27"/>
      <c r="J4" s="15"/>
      <c r="K4" s="15"/>
      <c r="L4" s="15"/>
      <c r="M4" s="18"/>
      <c r="N4" s="18"/>
      <c r="O4" s="18"/>
      <c r="P4" s="20"/>
      <c r="Q4" s="22"/>
      <c r="R4" s="15"/>
      <c r="S4" s="15"/>
      <c r="T4" s="15"/>
      <c r="U4" s="15"/>
      <c r="V4" s="15"/>
      <c r="W4" s="15"/>
      <c r="X4" s="23"/>
      <c r="Y4" s="23"/>
      <c r="Z4" s="15"/>
      <c r="AA4" s="24"/>
      <c r="AB4" s="15"/>
      <c r="AC4" s="15"/>
      <c r="AD4" s="18"/>
      <c r="AE4" s="15"/>
      <c r="AF4" s="18"/>
      <c r="AG4" s="15"/>
      <c r="AH4" s="18"/>
      <c r="AI4" s="15"/>
      <c r="AJ4" s="23"/>
      <c r="AK4" s="18"/>
      <c r="AL4" s="15"/>
      <c r="AM4" s="15"/>
      <c r="AN4" s="15"/>
      <c r="AO4" s="15"/>
      <c r="AP4" s="15"/>
    </row>
    <row r="5" ht="22.5" customHeight="1">
      <c r="A5" s="15" t="s">
        <v>95</v>
      </c>
      <c r="B5" s="15" t="s">
        <v>96</v>
      </c>
      <c r="C5" s="15" t="s">
        <v>97</v>
      </c>
      <c r="D5" s="41">
        <v>39962.0</v>
      </c>
      <c r="E5" s="15" t="s">
        <v>98</v>
      </c>
      <c r="F5" s="15">
        <v>5.610238747E9</v>
      </c>
      <c r="G5" s="15" t="s">
        <v>99</v>
      </c>
      <c r="H5" s="15" t="s">
        <v>101</v>
      </c>
      <c r="I5" s="49" t="s">
        <v>102</v>
      </c>
      <c r="J5" s="15" t="s">
        <v>104</v>
      </c>
      <c r="K5" s="15" t="s">
        <v>106</v>
      </c>
      <c r="L5" s="15">
        <v>5.566802269E9</v>
      </c>
      <c r="M5" s="18"/>
      <c r="N5" s="18"/>
      <c r="O5" s="18"/>
      <c r="P5" s="20">
        <v>16.0</v>
      </c>
      <c r="Q5" s="22">
        <v>46040.61277777778</v>
      </c>
      <c r="R5" s="15" t="s">
        <v>107</v>
      </c>
      <c r="S5" s="15" t="s">
        <v>109</v>
      </c>
      <c r="T5" s="15" t="s">
        <v>111</v>
      </c>
      <c r="U5" s="15" t="s">
        <v>112</v>
      </c>
      <c r="V5" s="15" t="s">
        <v>114</v>
      </c>
      <c r="W5" s="15" t="s">
        <v>115</v>
      </c>
      <c r="X5" s="51" t="s">
        <v>117</v>
      </c>
      <c r="Y5" s="49" t="s">
        <v>102</v>
      </c>
      <c r="Z5" s="15" t="s">
        <v>117</v>
      </c>
      <c r="AA5" s="52" t="s">
        <v>119</v>
      </c>
      <c r="AB5" s="15" t="s">
        <v>120</v>
      </c>
      <c r="AC5" s="15"/>
      <c r="AD5" s="18"/>
      <c r="AE5" s="15" t="s">
        <v>120</v>
      </c>
      <c r="AF5" s="18"/>
      <c r="AG5" s="15" t="s">
        <v>120</v>
      </c>
      <c r="AH5" s="18"/>
      <c r="AI5" s="15" t="s">
        <v>117</v>
      </c>
      <c r="AJ5" s="27" t="s">
        <v>123</v>
      </c>
      <c r="AK5" s="18"/>
      <c r="AL5" s="15" t="s">
        <v>124</v>
      </c>
      <c r="AM5" s="15" t="s">
        <v>126</v>
      </c>
      <c r="AN5" s="15" t="s">
        <v>128</v>
      </c>
      <c r="AO5" s="15" t="s">
        <v>129</v>
      </c>
      <c r="AP5" s="56" t="str">
        <f>"Romina Gabriela: " &amp; T5 &amp; CHAR(10) &amp; "Estaca: " &amp; I5 &amp; CHAR(10) &amp; "Alergias: " &amp; AA5</f>
        <v>Romina Gabriela: México City Tlalpan Stake
Estaca: sin chile o picante
Alergias: al sol y de polvo</v>
      </c>
    </row>
    <row r="6" ht="22.5" customHeight="1">
      <c r="A6" s="15" t="s">
        <v>136</v>
      </c>
      <c r="B6" s="15" t="s">
        <v>96</v>
      </c>
      <c r="C6" s="15" t="s">
        <v>137</v>
      </c>
      <c r="D6" s="41">
        <v>40805.0</v>
      </c>
      <c r="E6" s="15" t="s">
        <v>98</v>
      </c>
      <c r="F6" s="15">
        <v>5.618779038E9</v>
      </c>
      <c r="G6" s="15" t="s">
        <v>139</v>
      </c>
      <c r="H6" s="15" t="s">
        <v>140</v>
      </c>
      <c r="I6" s="49" t="s">
        <v>142</v>
      </c>
      <c r="J6" s="15" t="s">
        <v>143</v>
      </c>
      <c r="K6" s="15" t="s">
        <v>106</v>
      </c>
      <c r="L6" s="15">
        <v>5.566802269E9</v>
      </c>
      <c r="M6" s="15" t="s">
        <v>144</v>
      </c>
      <c r="N6" s="15" t="s">
        <v>145</v>
      </c>
      <c r="O6" s="15">
        <v>0.0</v>
      </c>
      <c r="P6" s="20">
        <v>14.0</v>
      </c>
      <c r="Q6" s="22">
        <v>46040.59625</v>
      </c>
      <c r="R6" s="15" t="s">
        <v>107</v>
      </c>
      <c r="S6" s="15" t="s">
        <v>109</v>
      </c>
      <c r="T6" s="15" t="s">
        <v>111</v>
      </c>
      <c r="U6" s="15" t="s">
        <v>112</v>
      </c>
      <c r="V6" s="15" t="s">
        <v>114</v>
      </c>
      <c r="W6" s="15" t="s">
        <v>115</v>
      </c>
      <c r="X6" s="51" t="s">
        <v>117</v>
      </c>
      <c r="Y6" s="49" t="s">
        <v>142</v>
      </c>
      <c r="Z6" s="15" t="s">
        <v>117</v>
      </c>
      <c r="AA6" s="52" t="s">
        <v>151</v>
      </c>
      <c r="AB6" s="15" t="s">
        <v>117</v>
      </c>
      <c r="AC6" s="15" t="s">
        <v>117</v>
      </c>
      <c r="AD6" s="23" t="s">
        <v>153</v>
      </c>
      <c r="AE6" s="15" t="s">
        <v>120</v>
      </c>
      <c r="AF6" s="18"/>
      <c r="AG6" s="15" t="s">
        <v>120</v>
      </c>
      <c r="AH6" s="18"/>
      <c r="AI6" s="15" t="s">
        <v>120</v>
      </c>
      <c r="AJ6" s="18"/>
      <c r="AK6" s="18"/>
      <c r="AL6" s="15" t="s">
        <v>128</v>
      </c>
      <c r="AM6" s="15" t="s">
        <v>126</v>
      </c>
      <c r="AN6" s="15" t="s">
        <v>156</v>
      </c>
      <c r="AO6" s="15" t="s">
        <v>124</v>
      </c>
      <c r="AP6" s="15"/>
    </row>
    <row r="7" ht="23.25" customHeight="1">
      <c r="A7" s="15" t="s">
        <v>157</v>
      </c>
      <c r="B7" s="15" t="s">
        <v>158</v>
      </c>
      <c r="C7" s="15" t="s">
        <v>159</v>
      </c>
      <c r="D7" s="41">
        <v>40857.0</v>
      </c>
      <c r="E7" s="15" t="s">
        <v>98</v>
      </c>
      <c r="F7" s="15">
        <v>5.578876242E9</v>
      </c>
      <c r="G7" s="15" t="s">
        <v>162</v>
      </c>
      <c r="H7" s="15" t="s">
        <v>101</v>
      </c>
      <c r="I7" s="49" t="s">
        <v>164</v>
      </c>
      <c r="J7" s="15" t="s">
        <v>166</v>
      </c>
      <c r="K7" s="15" t="s">
        <v>167</v>
      </c>
      <c r="L7" s="15">
        <v>5.591110991E9</v>
      </c>
      <c r="M7" s="18"/>
      <c r="N7" s="18"/>
      <c r="O7" s="18"/>
      <c r="P7" s="20">
        <v>14.0</v>
      </c>
      <c r="Q7" s="22">
        <v>46033.58049768519</v>
      </c>
      <c r="R7" s="15" t="s">
        <v>107</v>
      </c>
      <c r="S7" s="15" t="s">
        <v>109</v>
      </c>
      <c r="T7" s="15" t="s">
        <v>171</v>
      </c>
      <c r="U7" s="15" t="s">
        <v>173</v>
      </c>
      <c r="V7" s="15" t="s">
        <v>167</v>
      </c>
      <c r="W7" s="15" t="s">
        <v>175</v>
      </c>
      <c r="X7" s="51" t="s">
        <v>117</v>
      </c>
      <c r="Y7" s="49" t="s">
        <v>176</v>
      </c>
      <c r="Z7" s="15" t="s">
        <v>120</v>
      </c>
      <c r="AA7" s="18"/>
      <c r="AB7" s="15" t="s">
        <v>120</v>
      </c>
      <c r="AC7" s="15" t="s">
        <v>120</v>
      </c>
      <c r="AD7" s="18"/>
      <c r="AE7" s="15" t="s">
        <v>120</v>
      </c>
      <c r="AF7" s="18"/>
      <c r="AG7" s="15" t="s">
        <v>120</v>
      </c>
      <c r="AH7" s="18"/>
      <c r="AI7" s="15" t="s">
        <v>117</v>
      </c>
      <c r="AJ7" s="27" t="s">
        <v>182</v>
      </c>
      <c r="AK7" s="18"/>
      <c r="AL7" s="15" t="s">
        <v>156</v>
      </c>
      <c r="AM7" s="15" t="s">
        <v>138</v>
      </c>
      <c r="AN7" s="15" t="s">
        <v>129</v>
      </c>
      <c r="AO7" s="15" t="s">
        <v>185</v>
      </c>
      <c r="AP7" s="15"/>
    </row>
    <row r="8" ht="23.25" customHeight="1">
      <c r="A8" s="15" t="s">
        <v>189</v>
      </c>
      <c r="B8" s="15" t="s">
        <v>190</v>
      </c>
      <c r="C8" s="18"/>
      <c r="D8" s="41">
        <v>39867.0</v>
      </c>
      <c r="E8" s="15" t="s">
        <v>98</v>
      </c>
      <c r="F8" s="15">
        <v>5.534329297E9</v>
      </c>
      <c r="G8" s="15" t="s">
        <v>193</v>
      </c>
      <c r="H8" s="15" t="s">
        <v>101</v>
      </c>
      <c r="I8" s="49" t="s">
        <v>196</v>
      </c>
      <c r="J8" s="15" t="s">
        <v>197</v>
      </c>
      <c r="K8" s="15" t="s">
        <v>193</v>
      </c>
      <c r="L8" s="15" t="s">
        <v>201</v>
      </c>
      <c r="M8" s="18"/>
      <c r="N8" s="18"/>
      <c r="O8" s="18"/>
      <c r="P8" s="20">
        <v>17.0</v>
      </c>
      <c r="Q8" s="22">
        <v>46040.83146990741</v>
      </c>
      <c r="R8" s="15" t="s">
        <v>107</v>
      </c>
      <c r="S8" s="15" t="s">
        <v>109</v>
      </c>
      <c r="T8" s="15" t="s">
        <v>204</v>
      </c>
      <c r="U8" s="15" t="s">
        <v>205</v>
      </c>
      <c r="V8" s="15" t="s">
        <v>206</v>
      </c>
      <c r="W8" s="15" t="s">
        <v>207</v>
      </c>
      <c r="X8" s="51" t="s">
        <v>117</v>
      </c>
      <c r="Y8" s="49" t="s">
        <v>196</v>
      </c>
      <c r="Z8" s="15" t="s">
        <v>120</v>
      </c>
      <c r="AA8" s="18"/>
      <c r="AB8" s="15" t="s">
        <v>120</v>
      </c>
      <c r="AC8" s="18"/>
      <c r="AD8" s="18"/>
      <c r="AE8" s="15" t="s">
        <v>120</v>
      </c>
      <c r="AF8" s="18"/>
      <c r="AG8" s="15" t="s">
        <v>120</v>
      </c>
      <c r="AH8" s="18"/>
      <c r="AI8" s="15" t="s">
        <v>120</v>
      </c>
      <c r="AJ8" s="18"/>
      <c r="AK8" s="18"/>
      <c r="AL8" s="15" t="s">
        <v>129</v>
      </c>
      <c r="AM8" s="15" t="s">
        <v>138</v>
      </c>
      <c r="AN8" s="15" t="s">
        <v>126</v>
      </c>
      <c r="AO8" s="15" t="s">
        <v>128</v>
      </c>
      <c r="AP8" s="15"/>
    </row>
    <row r="9" ht="21.75" customHeight="1">
      <c r="A9" s="15" t="s">
        <v>170</v>
      </c>
      <c r="B9" s="15" t="s">
        <v>172</v>
      </c>
      <c r="C9" s="15" t="s">
        <v>174</v>
      </c>
      <c r="D9" s="41">
        <v>40448.0</v>
      </c>
      <c r="E9" s="15" t="s">
        <v>177</v>
      </c>
      <c r="F9" s="15">
        <v>5.614233278E9</v>
      </c>
      <c r="G9" s="15" t="s">
        <v>179</v>
      </c>
      <c r="H9" s="15" t="s">
        <v>101</v>
      </c>
      <c r="I9" s="49" t="s">
        <v>180</v>
      </c>
      <c r="J9" s="15" t="s">
        <v>181</v>
      </c>
      <c r="K9" s="15" t="s">
        <v>183</v>
      </c>
      <c r="L9" s="15">
        <v>3.41104297E9</v>
      </c>
      <c r="M9" s="15" t="s">
        <v>184</v>
      </c>
      <c r="N9" s="15" t="s">
        <v>186</v>
      </c>
      <c r="O9" s="15">
        <v>5.562186745E9</v>
      </c>
      <c r="P9" s="20">
        <v>15.0</v>
      </c>
      <c r="Q9" s="22">
        <v>46034.53828703704</v>
      </c>
      <c r="R9" s="15" t="s">
        <v>107</v>
      </c>
      <c r="S9" s="15" t="s">
        <v>109</v>
      </c>
      <c r="T9" s="15" t="s">
        <v>192</v>
      </c>
      <c r="U9" s="15" t="s">
        <v>195</v>
      </c>
      <c r="V9" s="15" t="s">
        <v>198</v>
      </c>
      <c r="W9" s="15" t="s">
        <v>200</v>
      </c>
      <c r="X9" s="51" t="s">
        <v>117</v>
      </c>
      <c r="Y9" s="18"/>
      <c r="Z9" s="15" t="s">
        <v>117</v>
      </c>
      <c r="AA9" s="18"/>
      <c r="AB9" s="15" t="s">
        <v>117</v>
      </c>
      <c r="AC9" s="15" t="s">
        <v>117</v>
      </c>
      <c r="AD9" s="18"/>
      <c r="AE9" s="15" t="s">
        <v>117</v>
      </c>
      <c r="AF9" s="18"/>
      <c r="AG9" s="15" t="s">
        <v>117</v>
      </c>
      <c r="AH9" s="18"/>
      <c r="AI9" s="15" t="s">
        <v>117</v>
      </c>
      <c r="AJ9" s="18"/>
      <c r="AK9" s="18"/>
      <c r="AL9" s="15" t="s">
        <v>138</v>
      </c>
      <c r="AM9" s="15" t="s">
        <v>126</v>
      </c>
      <c r="AN9" s="15" t="s">
        <v>156</v>
      </c>
      <c r="AO9" s="15" t="s">
        <v>185</v>
      </c>
      <c r="AP9" s="15"/>
    </row>
    <row r="10" ht="22.5" customHeight="1">
      <c r="A10" s="15" t="s">
        <v>213</v>
      </c>
      <c r="B10" s="15" t="s">
        <v>214</v>
      </c>
      <c r="C10" s="15" t="s">
        <v>215</v>
      </c>
      <c r="D10" s="41">
        <v>40974.0</v>
      </c>
      <c r="E10" s="15" t="s">
        <v>98</v>
      </c>
      <c r="F10" s="15">
        <v>5.576952565E9</v>
      </c>
      <c r="G10" s="15" t="s">
        <v>218</v>
      </c>
      <c r="H10" s="15" t="s">
        <v>101</v>
      </c>
      <c r="I10" s="49" t="s">
        <v>221</v>
      </c>
      <c r="J10" s="15" t="s">
        <v>222</v>
      </c>
      <c r="K10" s="15" t="s">
        <v>223</v>
      </c>
      <c r="L10" s="15">
        <v>5.576952565E9</v>
      </c>
      <c r="M10" s="18"/>
      <c r="N10" s="18"/>
      <c r="O10" s="18"/>
      <c r="P10" s="20">
        <v>13.0</v>
      </c>
      <c r="Q10" s="22">
        <v>46027.56413194445</v>
      </c>
      <c r="R10" s="15" t="s">
        <v>107</v>
      </c>
      <c r="S10" s="15" t="s">
        <v>109</v>
      </c>
      <c r="T10" s="15" t="s">
        <v>208</v>
      </c>
      <c r="U10" s="15" t="s">
        <v>228</v>
      </c>
      <c r="V10" s="15" t="s">
        <v>229</v>
      </c>
      <c r="W10" s="15" t="s">
        <v>230</v>
      </c>
      <c r="X10" s="51" t="s">
        <v>117</v>
      </c>
      <c r="Y10" s="49" t="s">
        <v>232</v>
      </c>
      <c r="Z10" s="15" t="s">
        <v>117</v>
      </c>
      <c r="AA10" s="52" t="s">
        <v>233</v>
      </c>
      <c r="AB10" s="15" t="s">
        <v>117</v>
      </c>
      <c r="AC10" s="15" t="s">
        <v>117</v>
      </c>
      <c r="AD10" s="23" t="s">
        <v>235</v>
      </c>
      <c r="AE10" s="15" t="s">
        <v>120</v>
      </c>
      <c r="AF10" s="18"/>
      <c r="AG10" s="15" t="s">
        <v>120</v>
      </c>
      <c r="AH10" s="18"/>
      <c r="AI10" s="15" t="s">
        <v>117</v>
      </c>
      <c r="AJ10" s="23" t="s">
        <v>239</v>
      </c>
      <c r="AK10" s="18"/>
      <c r="AL10" s="15" t="s">
        <v>138</v>
      </c>
      <c r="AM10" s="15" t="s">
        <v>240</v>
      </c>
      <c r="AN10" s="15" t="s">
        <v>242</v>
      </c>
      <c r="AO10" s="15" t="s">
        <v>128</v>
      </c>
      <c r="AP10" s="15"/>
    </row>
    <row r="11" ht="22.5" customHeight="1">
      <c r="A11" s="15" t="s">
        <v>243</v>
      </c>
      <c r="B11" s="15" t="s">
        <v>244</v>
      </c>
      <c r="C11" s="15" t="s">
        <v>245</v>
      </c>
      <c r="D11" s="41">
        <v>40754.0</v>
      </c>
      <c r="E11" s="15" t="s">
        <v>98</v>
      </c>
      <c r="F11" s="15">
        <v>5.520419854E9</v>
      </c>
      <c r="G11" s="15" t="s">
        <v>247</v>
      </c>
      <c r="H11" s="15" t="s">
        <v>140</v>
      </c>
      <c r="I11" s="49" t="s">
        <v>250</v>
      </c>
      <c r="J11" s="15" t="s">
        <v>251</v>
      </c>
      <c r="K11" s="15" t="s">
        <v>252</v>
      </c>
      <c r="L11" s="15">
        <v>5.511201062E9</v>
      </c>
      <c r="M11" s="15" t="s">
        <v>253</v>
      </c>
      <c r="N11" s="15" t="s">
        <v>254</v>
      </c>
      <c r="O11" s="15">
        <v>5.546900783E9</v>
      </c>
      <c r="P11" s="20">
        <v>14.0</v>
      </c>
      <c r="Q11" s="22">
        <v>46020.53304398148</v>
      </c>
      <c r="R11" s="15" t="s">
        <v>107</v>
      </c>
      <c r="S11" s="15" t="s">
        <v>109</v>
      </c>
      <c r="T11" s="15" t="s">
        <v>208</v>
      </c>
      <c r="U11" s="15" t="s">
        <v>209</v>
      </c>
      <c r="V11" s="15" t="s">
        <v>210</v>
      </c>
      <c r="W11" s="15" t="s">
        <v>211</v>
      </c>
      <c r="X11" s="51" t="s">
        <v>117</v>
      </c>
      <c r="Y11" s="49" t="s">
        <v>259</v>
      </c>
      <c r="Z11" s="15" t="s">
        <v>120</v>
      </c>
      <c r="AA11" s="18"/>
      <c r="AB11" s="15" t="s">
        <v>117</v>
      </c>
      <c r="AC11" s="15" t="s">
        <v>117</v>
      </c>
      <c r="AD11" s="27" t="s">
        <v>261</v>
      </c>
      <c r="AE11" s="15" t="s">
        <v>120</v>
      </c>
      <c r="AF11" s="18"/>
      <c r="AG11" s="15" t="s">
        <v>120</v>
      </c>
      <c r="AH11" s="18"/>
      <c r="AI11" s="15" t="s">
        <v>117</v>
      </c>
      <c r="AJ11" s="27" t="s">
        <v>178</v>
      </c>
      <c r="AK11" s="18"/>
      <c r="AL11" s="15" t="s">
        <v>156</v>
      </c>
      <c r="AM11" s="15" t="s">
        <v>138</v>
      </c>
      <c r="AN11" s="15" t="s">
        <v>156</v>
      </c>
      <c r="AO11" s="15" t="s">
        <v>128</v>
      </c>
      <c r="AP11" s="15"/>
    </row>
    <row r="12" ht="22.5" customHeight="1">
      <c r="A12" s="15" t="s">
        <v>266</v>
      </c>
      <c r="B12" s="15" t="s">
        <v>267</v>
      </c>
      <c r="C12" s="15" t="s">
        <v>269</v>
      </c>
      <c r="D12" s="41">
        <v>39995.0</v>
      </c>
      <c r="E12" s="15" t="s">
        <v>98</v>
      </c>
      <c r="F12" s="15">
        <v>5.565758157E9</v>
      </c>
      <c r="G12" s="15" t="s">
        <v>270</v>
      </c>
      <c r="H12" s="15" t="s">
        <v>140</v>
      </c>
      <c r="I12" s="49" t="s">
        <v>271</v>
      </c>
      <c r="J12" s="15" t="s">
        <v>272</v>
      </c>
      <c r="K12" s="15" t="s">
        <v>273</v>
      </c>
      <c r="L12" s="15">
        <v>5.627423872E9</v>
      </c>
      <c r="M12" s="15" t="s">
        <v>274</v>
      </c>
      <c r="N12" s="15" t="s">
        <v>276</v>
      </c>
      <c r="O12" s="15">
        <v>5.579149704E9</v>
      </c>
      <c r="P12" s="20">
        <v>16.0</v>
      </c>
      <c r="Q12" s="22">
        <v>46029.704097222224</v>
      </c>
      <c r="R12" s="15" t="s">
        <v>107</v>
      </c>
      <c r="S12" s="15" t="s">
        <v>109</v>
      </c>
      <c r="T12" s="15" t="s">
        <v>160</v>
      </c>
      <c r="U12" s="15" t="s">
        <v>279</v>
      </c>
      <c r="V12" s="15" t="s">
        <v>280</v>
      </c>
      <c r="W12" s="15" t="s">
        <v>282</v>
      </c>
      <c r="X12" s="51" t="s">
        <v>117</v>
      </c>
      <c r="Y12" s="49" t="s">
        <v>283</v>
      </c>
      <c r="Z12" s="15" t="s">
        <v>117</v>
      </c>
      <c r="AA12" s="58" t="s">
        <v>285</v>
      </c>
      <c r="AB12" s="15" t="s">
        <v>120</v>
      </c>
      <c r="AC12" s="15" t="s">
        <v>120</v>
      </c>
      <c r="AD12" s="18"/>
      <c r="AE12" s="15" t="s">
        <v>120</v>
      </c>
      <c r="AF12" s="18"/>
      <c r="AG12" s="15" t="s">
        <v>120</v>
      </c>
      <c r="AH12" s="18"/>
      <c r="AI12" s="15" t="s">
        <v>120</v>
      </c>
      <c r="AJ12" s="18"/>
      <c r="AK12" s="18"/>
      <c r="AL12" s="15" t="s">
        <v>185</v>
      </c>
      <c r="AM12" s="15" t="s">
        <v>156</v>
      </c>
      <c r="AN12" s="15" t="s">
        <v>126</v>
      </c>
      <c r="AO12" s="15" t="s">
        <v>138</v>
      </c>
      <c r="AP12" s="15"/>
    </row>
    <row r="13" ht="21.75" customHeight="1">
      <c r="A13" s="15" t="s">
        <v>294</v>
      </c>
      <c r="B13" s="15" t="s">
        <v>296</v>
      </c>
      <c r="C13" s="15" t="s">
        <v>297</v>
      </c>
      <c r="D13" s="41">
        <v>39466.0</v>
      </c>
      <c r="E13" s="15" t="s">
        <v>98</v>
      </c>
      <c r="F13" s="15">
        <v>5.522975638E9</v>
      </c>
      <c r="G13" s="15" t="s">
        <v>300</v>
      </c>
      <c r="H13" s="15" t="s">
        <v>140</v>
      </c>
      <c r="I13" s="49" t="s">
        <v>302</v>
      </c>
      <c r="J13" s="15" t="s">
        <v>303</v>
      </c>
      <c r="K13" s="15" t="s">
        <v>304</v>
      </c>
      <c r="L13" s="15">
        <v>5.517879467E9</v>
      </c>
      <c r="M13" s="15" t="s">
        <v>305</v>
      </c>
      <c r="N13" s="15" t="s">
        <v>306</v>
      </c>
      <c r="O13" s="15">
        <v>5.511264517E9</v>
      </c>
      <c r="P13" s="20">
        <v>18.0</v>
      </c>
      <c r="Q13" s="22">
        <v>46020.4871875</v>
      </c>
      <c r="R13" s="15" t="s">
        <v>107</v>
      </c>
      <c r="S13" s="15" t="s">
        <v>109</v>
      </c>
      <c r="T13" s="15" t="s">
        <v>204</v>
      </c>
      <c r="U13" s="15" t="s">
        <v>311</v>
      </c>
      <c r="V13" s="15" t="s">
        <v>312</v>
      </c>
      <c r="W13" s="15" t="s">
        <v>313</v>
      </c>
      <c r="X13" s="51" t="s">
        <v>117</v>
      </c>
      <c r="Y13" s="49" t="s">
        <v>315</v>
      </c>
      <c r="Z13" s="15" t="s">
        <v>117</v>
      </c>
      <c r="AA13" s="23" t="s">
        <v>316</v>
      </c>
      <c r="AB13" s="15" t="s">
        <v>120</v>
      </c>
      <c r="AC13" s="18"/>
      <c r="AD13" s="18"/>
      <c r="AE13" s="15" t="s">
        <v>120</v>
      </c>
      <c r="AF13" s="18"/>
      <c r="AG13" s="15" t="s">
        <v>120</v>
      </c>
      <c r="AH13" s="18"/>
      <c r="AI13" s="15" t="s">
        <v>120</v>
      </c>
      <c r="AJ13" s="18"/>
      <c r="AK13" s="18"/>
      <c r="AL13" s="15" t="s">
        <v>185</v>
      </c>
      <c r="AM13" s="15" t="s">
        <v>138</v>
      </c>
      <c r="AN13" s="15" t="s">
        <v>124</v>
      </c>
      <c r="AO13" s="15" t="s">
        <v>216</v>
      </c>
      <c r="AP13" s="15"/>
    </row>
    <row r="14" ht="22.5" customHeight="1">
      <c r="A14" s="15" t="s">
        <v>275</v>
      </c>
      <c r="B14" s="15" t="s">
        <v>277</v>
      </c>
      <c r="C14" s="15" t="s">
        <v>278</v>
      </c>
      <c r="D14" s="41">
        <v>41204.0</v>
      </c>
      <c r="E14" s="15" t="s">
        <v>177</v>
      </c>
      <c r="F14" s="15">
        <v>5.582261421E9</v>
      </c>
      <c r="G14" s="15" t="s">
        <v>281</v>
      </c>
      <c r="H14" s="15" t="s">
        <v>140</v>
      </c>
      <c r="I14" s="49" t="s">
        <v>284</v>
      </c>
      <c r="J14" s="15" t="s">
        <v>287</v>
      </c>
      <c r="K14" s="15" t="s">
        <v>289</v>
      </c>
      <c r="L14" s="15">
        <v>5.582261421E9</v>
      </c>
      <c r="M14" s="18"/>
      <c r="N14" s="18"/>
      <c r="O14" s="18"/>
      <c r="P14" s="20">
        <v>13.0</v>
      </c>
      <c r="Q14" s="22">
        <v>46018.59769675926</v>
      </c>
      <c r="R14" s="15" t="s">
        <v>107</v>
      </c>
      <c r="S14" s="15" t="s">
        <v>109</v>
      </c>
      <c r="T14" s="15" t="s">
        <v>204</v>
      </c>
      <c r="U14" s="15" t="s">
        <v>295</v>
      </c>
      <c r="V14" s="15" t="s">
        <v>298</v>
      </c>
      <c r="W14" s="15" t="s">
        <v>299</v>
      </c>
      <c r="X14" s="51" t="s">
        <v>117</v>
      </c>
      <c r="Y14" s="49" t="s">
        <v>301</v>
      </c>
      <c r="Z14" s="15" t="s">
        <v>117</v>
      </c>
      <c r="AA14" s="58" t="s">
        <v>285</v>
      </c>
      <c r="AB14" s="15" t="s">
        <v>117</v>
      </c>
      <c r="AC14" s="15" t="s">
        <v>117</v>
      </c>
      <c r="AD14" s="23" t="s">
        <v>307</v>
      </c>
      <c r="AE14" s="15" t="s">
        <v>120</v>
      </c>
      <c r="AF14" s="18"/>
      <c r="AG14" s="15" t="s">
        <v>120</v>
      </c>
      <c r="AH14" s="18"/>
      <c r="AI14" s="15" t="s">
        <v>120</v>
      </c>
      <c r="AJ14" s="18"/>
      <c r="AK14" s="18"/>
      <c r="AL14" s="15" t="s">
        <v>129</v>
      </c>
      <c r="AM14" s="15" t="s">
        <v>242</v>
      </c>
      <c r="AN14" s="15" t="s">
        <v>124</v>
      </c>
      <c r="AO14" s="15" t="s">
        <v>138</v>
      </c>
      <c r="AP14" s="15"/>
    </row>
    <row r="15" ht="22.5" customHeight="1">
      <c r="A15" s="15" t="s">
        <v>317</v>
      </c>
      <c r="B15" s="15" t="s">
        <v>318</v>
      </c>
      <c r="C15" s="18"/>
      <c r="D15" s="41">
        <v>40518.0</v>
      </c>
      <c r="E15" s="15" t="s">
        <v>177</v>
      </c>
      <c r="F15" s="15">
        <v>5.643224477E9</v>
      </c>
      <c r="G15" s="15" t="s">
        <v>319</v>
      </c>
      <c r="H15" s="15" t="s">
        <v>150</v>
      </c>
      <c r="I15" s="49" t="s">
        <v>320</v>
      </c>
      <c r="J15" s="15" t="s">
        <v>321</v>
      </c>
      <c r="K15" s="15" t="s">
        <v>323</v>
      </c>
      <c r="L15" s="15">
        <v>5.634693681E9</v>
      </c>
      <c r="M15" s="18"/>
      <c r="N15" s="18"/>
      <c r="O15" s="18"/>
      <c r="P15" s="20">
        <v>15.0</v>
      </c>
      <c r="Q15" s="22">
        <v>46033.474803240744</v>
      </c>
      <c r="R15" s="15" t="s">
        <v>107</v>
      </c>
      <c r="S15" s="15" t="s">
        <v>109</v>
      </c>
      <c r="T15" s="15" t="s">
        <v>160</v>
      </c>
      <c r="U15" s="15" t="s">
        <v>329</v>
      </c>
      <c r="V15" s="15" t="s">
        <v>331</v>
      </c>
      <c r="W15" s="15" t="s">
        <v>332</v>
      </c>
      <c r="X15" s="51" t="s">
        <v>117</v>
      </c>
      <c r="Y15" s="49" t="s">
        <v>320</v>
      </c>
      <c r="Z15" s="15" t="s">
        <v>117</v>
      </c>
      <c r="AA15" s="52" t="s">
        <v>333</v>
      </c>
      <c r="AB15" s="15" t="s">
        <v>117</v>
      </c>
      <c r="AC15" s="15" t="s">
        <v>117</v>
      </c>
      <c r="AD15" s="27" t="s">
        <v>334</v>
      </c>
      <c r="AE15" s="15" t="s">
        <v>117</v>
      </c>
      <c r="AF15" s="27" t="s">
        <v>335</v>
      </c>
      <c r="AG15" s="15" t="s">
        <v>120</v>
      </c>
      <c r="AH15" s="18"/>
      <c r="AI15" s="15" t="s">
        <v>120</v>
      </c>
      <c r="AJ15" s="18"/>
      <c r="AK15" s="27" t="s">
        <v>336</v>
      </c>
      <c r="AL15" s="15" t="s">
        <v>185</v>
      </c>
      <c r="AM15" s="15" t="s">
        <v>240</v>
      </c>
      <c r="AN15" s="15" t="s">
        <v>126</v>
      </c>
      <c r="AO15" s="15" t="s">
        <v>124</v>
      </c>
      <c r="AP15" s="15"/>
    </row>
    <row r="16" ht="22.5" customHeight="1">
      <c r="A16" s="15" t="s">
        <v>349</v>
      </c>
      <c r="B16" s="15" t="s">
        <v>350</v>
      </c>
      <c r="C16" s="15" t="s">
        <v>352</v>
      </c>
      <c r="D16" s="41">
        <v>39963.0</v>
      </c>
      <c r="E16" s="15" t="s">
        <v>98</v>
      </c>
      <c r="F16" s="15">
        <v>5.531356656E9</v>
      </c>
      <c r="G16" s="15" t="s">
        <v>354</v>
      </c>
      <c r="H16" s="15" t="s">
        <v>101</v>
      </c>
      <c r="I16" s="49" t="s">
        <v>356</v>
      </c>
      <c r="J16" s="15" t="s">
        <v>358</v>
      </c>
      <c r="K16" s="15" t="s">
        <v>361</v>
      </c>
      <c r="L16" s="15">
        <v>5.512907122E9</v>
      </c>
      <c r="M16" s="18"/>
      <c r="N16" s="18"/>
      <c r="O16" s="18"/>
      <c r="P16" s="20">
        <v>16.0</v>
      </c>
      <c r="Q16" s="22">
        <v>46033.470613425925</v>
      </c>
      <c r="R16" s="15" t="s">
        <v>107</v>
      </c>
      <c r="S16" s="15" t="s">
        <v>109</v>
      </c>
      <c r="T16" s="15" t="s">
        <v>160</v>
      </c>
      <c r="U16" s="15" t="s">
        <v>329</v>
      </c>
      <c r="V16" s="15" t="s">
        <v>331</v>
      </c>
      <c r="W16" s="15" t="s">
        <v>332</v>
      </c>
      <c r="X16" s="51" t="s">
        <v>117</v>
      </c>
      <c r="Y16" s="49" t="s">
        <v>356</v>
      </c>
      <c r="Z16" s="15" t="s">
        <v>120</v>
      </c>
      <c r="AA16" s="18"/>
      <c r="AB16" s="15" t="s">
        <v>120</v>
      </c>
      <c r="AC16" s="18"/>
      <c r="AD16" s="18"/>
      <c r="AE16" s="15" t="s">
        <v>120</v>
      </c>
      <c r="AF16" s="18"/>
      <c r="AG16" s="15" t="s">
        <v>120</v>
      </c>
      <c r="AH16" s="18"/>
      <c r="AI16" s="15" t="s">
        <v>120</v>
      </c>
      <c r="AJ16" s="18"/>
      <c r="AK16" s="18"/>
      <c r="AL16" s="15" t="s">
        <v>185</v>
      </c>
      <c r="AM16" s="15" t="s">
        <v>240</v>
      </c>
      <c r="AN16" s="15" t="s">
        <v>128</v>
      </c>
      <c r="AO16" s="15" t="s">
        <v>124</v>
      </c>
      <c r="AP16" s="15"/>
    </row>
    <row r="17" ht="22.5" customHeight="1">
      <c r="A17" s="15" t="s">
        <v>371</v>
      </c>
      <c r="B17" s="15" t="s">
        <v>373</v>
      </c>
      <c r="C17" s="15" t="s">
        <v>375</v>
      </c>
      <c r="D17" s="41">
        <v>39987.0</v>
      </c>
      <c r="E17" s="15" t="s">
        <v>177</v>
      </c>
      <c r="F17" s="15" t="s">
        <v>376</v>
      </c>
      <c r="G17" s="15" t="s">
        <v>377</v>
      </c>
      <c r="H17" s="15" t="s">
        <v>101</v>
      </c>
      <c r="I17" s="49" t="s">
        <v>380</v>
      </c>
      <c r="J17" s="15" t="s">
        <v>381</v>
      </c>
      <c r="K17" s="15" t="s">
        <v>383</v>
      </c>
      <c r="L17" s="15">
        <v>5.522972753E9</v>
      </c>
      <c r="M17" s="18"/>
      <c r="N17" s="18"/>
      <c r="O17" s="18"/>
      <c r="P17" s="20">
        <v>16.0</v>
      </c>
      <c r="Q17" s="22">
        <v>46039.989756944444</v>
      </c>
      <c r="R17" s="15" t="s">
        <v>107</v>
      </c>
      <c r="S17" s="15" t="s">
        <v>109</v>
      </c>
      <c r="T17" s="15" t="s">
        <v>171</v>
      </c>
      <c r="U17" s="15" t="s">
        <v>388</v>
      </c>
      <c r="V17" s="15" t="s">
        <v>389</v>
      </c>
      <c r="W17" s="15" t="s">
        <v>392</v>
      </c>
      <c r="X17" s="51" t="s">
        <v>117</v>
      </c>
      <c r="Y17" s="49" t="s">
        <v>395</v>
      </c>
      <c r="Z17" s="15" t="s">
        <v>117</v>
      </c>
      <c r="AA17" s="27" t="s">
        <v>396</v>
      </c>
      <c r="AB17" s="15" t="s">
        <v>120</v>
      </c>
      <c r="AC17" s="15" t="s">
        <v>120</v>
      </c>
      <c r="AD17" s="18"/>
      <c r="AE17" s="15" t="s">
        <v>120</v>
      </c>
      <c r="AF17" s="18"/>
      <c r="AG17" s="15" t="s">
        <v>120</v>
      </c>
      <c r="AH17" s="18"/>
      <c r="AI17" s="15" t="s">
        <v>120</v>
      </c>
      <c r="AJ17" s="18"/>
      <c r="AK17" s="18"/>
      <c r="AL17" s="15" t="s">
        <v>126</v>
      </c>
      <c r="AM17" s="15" t="s">
        <v>240</v>
      </c>
      <c r="AN17" s="15" t="s">
        <v>216</v>
      </c>
      <c r="AO17" s="15" t="s">
        <v>138</v>
      </c>
      <c r="AP17" s="15"/>
    </row>
    <row r="18" ht="23.25" customHeight="1">
      <c r="A18" s="15" t="s">
        <v>337</v>
      </c>
      <c r="B18" s="15" t="s">
        <v>338</v>
      </c>
      <c r="C18" s="15" t="s">
        <v>339</v>
      </c>
      <c r="D18" s="41">
        <v>39963.0</v>
      </c>
      <c r="E18" s="15" t="s">
        <v>98</v>
      </c>
      <c r="F18" s="15">
        <v>5.584396993E9</v>
      </c>
      <c r="G18" s="15" t="s">
        <v>340</v>
      </c>
      <c r="H18" s="15" t="s">
        <v>150</v>
      </c>
      <c r="I18" s="49" t="s">
        <v>341</v>
      </c>
      <c r="J18" s="15" t="s">
        <v>342</v>
      </c>
      <c r="K18" s="15" t="s">
        <v>343</v>
      </c>
      <c r="L18" s="15">
        <v>5.513841801E9</v>
      </c>
      <c r="M18" s="15" t="s">
        <v>346</v>
      </c>
      <c r="N18" s="15" t="s">
        <v>348</v>
      </c>
      <c r="O18" s="15">
        <v>5.520670619E9</v>
      </c>
      <c r="P18" s="20">
        <v>16.0</v>
      </c>
      <c r="Q18" s="22">
        <v>46022.50869212963</v>
      </c>
      <c r="R18" s="15" t="s">
        <v>107</v>
      </c>
      <c r="S18" s="15" t="s">
        <v>109</v>
      </c>
      <c r="T18" s="15" t="s">
        <v>204</v>
      </c>
      <c r="U18" s="15" t="s">
        <v>357</v>
      </c>
      <c r="V18" s="15" t="s">
        <v>359</v>
      </c>
      <c r="W18" s="15" t="s">
        <v>362</v>
      </c>
      <c r="X18" s="51" t="s">
        <v>117</v>
      </c>
      <c r="Y18" s="49" t="s">
        <v>363</v>
      </c>
      <c r="Z18" s="15" t="s">
        <v>117</v>
      </c>
      <c r="AA18" s="23" t="s">
        <v>364</v>
      </c>
      <c r="AB18" s="15" t="s">
        <v>117</v>
      </c>
      <c r="AC18" s="15" t="s">
        <v>117</v>
      </c>
      <c r="AD18" s="23" t="s">
        <v>365</v>
      </c>
      <c r="AE18" s="15" t="s">
        <v>117</v>
      </c>
      <c r="AF18" s="23" t="s">
        <v>366</v>
      </c>
      <c r="AG18" s="15" t="s">
        <v>120</v>
      </c>
      <c r="AH18" s="15" t="s">
        <v>120</v>
      </c>
      <c r="AI18" s="15" t="s">
        <v>120</v>
      </c>
      <c r="AJ18" s="15" t="s">
        <v>120</v>
      </c>
      <c r="AK18" s="15" t="s">
        <v>120</v>
      </c>
      <c r="AL18" s="15" t="s">
        <v>141</v>
      </c>
      <c r="AM18" s="15" t="s">
        <v>129</v>
      </c>
      <c r="AN18" s="15" t="s">
        <v>240</v>
      </c>
      <c r="AO18" s="15" t="s">
        <v>138</v>
      </c>
      <c r="AP18" s="15"/>
    </row>
    <row r="19" ht="22.5" customHeight="1">
      <c r="A19" s="15" t="s">
        <v>370</v>
      </c>
      <c r="B19" s="15" t="s">
        <v>372</v>
      </c>
      <c r="C19" s="15" t="s">
        <v>374</v>
      </c>
      <c r="D19" s="41">
        <v>39834.0</v>
      </c>
      <c r="E19" s="15" t="s">
        <v>98</v>
      </c>
      <c r="F19" s="15" t="s">
        <v>378</v>
      </c>
      <c r="G19" s="15" t="s">
        <v>379</v>
      </c>
      <c r="H19" s="15" t="s">
        <v>382</v>
      </c>
      <c r="I19" s="49" t="s">
        <v>384</v>
      </c>
      <c r="J19" s="15" t="s">
        <v>385</v>
      </c>
      <c r="K19" s="15" t="s">
        <v>386</v>
      </c>
      <c r="L19" s="15">
        <v>5.580044851E9</v>
      </c>
      <c r="M19" s="15" t="s">
        <v>390</v>
      </c>
      <c r="N19" s="15" t="s">
        <v>393</v>
      </c>
      <c r="O19" s="15">
        <v>5.519776431E9</v>
      </c>
      <c r="P19" s="20">
        <v>17.0</v>
      </c>
      <c r="Q19" s="22">
        <v>46038.59107638889</v>
      </c>
      <c r="R19" s="15" t="s">
        <v>107</v>
      </c>
      <c r="S19" s="15" t="s">
        <v>109</v>
      </c>
      <c r="T19" s="15" t="s">
        <v>111</v>
      </c>
      <c r="U19" s="15" t="s">
        <v>398</v>
      </c>
      <c r="V19" s="15" t="s">
        <v>399</v>
      </c>
      <c r="W19" s="15" t="s">
        <v>400</v>
      </c>
      <c r="X19" s="51" t="s">
        <v>117</v>
      </c>
      <c r="Y19" s="49" t="s">
        <v>403</v>
      </c>
      <c r="Z19" s="15" t="s">
        <v>117</v>
      </c>
      <c r="AA19" s="58" t="s">
        <v>404</v>
      </c>
      <c r="AB19" s="15" t="s">
        <v>117</v>
      </c>
      <c r="AC19" s="15" t="s">
        <v>117</v>
      </c>
      <c r="AD19" s="27" t="s">
        <v>405</v>
      </c>
      <c r="AE19" s="15" t="s">
        <v>117</v>
      </c>
      <c r="AF19" s="27" t="s">
        <v>406</v>
      </c>
      <c r="AG19" s="15" t="s">
        <v>120</v>
      </c>
      <c r="AH19" s="18"/>
      <c r="AI19" s="15" t="s">
        <v>117</v>
      </c>
      <c r="AJ19" s="27" t="s">
        <v>410</v>
      </c>
      <c r="AK19" s="27" t="s">
        <v>411</v>
      </c>
      <c r="AL19" s="15" t="s">
        <v>138</v>
      </c>
      <c r="AM19" s="15" t="s">
        <v>126</v>
      </c>
      <c r="AN19" s="15" t="s">
        <v>185</v>
      </c>
      <c r="AO19" s="15" t="s">
        <v>156</v>
      </c>
      <c r="AP19" s="15"/>
    </row>
    <row r="20" ht="22.5" customHeight="1">
      <c r="A20" s="15" t="s">
        <v>431</v>
      </c>
      <c r="B20" s="15" t="s">
        <v>432</v>
      </c>
      <c r="C20" s="15" t="s">
        <v>434</v>
      </c>
      <c r="D20" s="41">
        <v>40565.0</v>
      </c>
      <c r="E20" s="15" t="s">
        <v>98</v>
      </c>
      <c r="F20" s="15">
        <v>5.571936655E9</v>
      </c>
      <c r="G20" s="15" t="s">
        <v>436</v>
      </c>
      <c r="H20" s="15" t="s">
        <v>110</v>
      </c>
      <c r="I20" s="49" t="s">
        <v>437</v>
      </c>
      <c r="J20" s="15" t="s">
        <v>439</v>
      </c>
      <c r="K20" s="15" t="s">
        <v>440</v>
      </c>
      <c r="L20" s="15">
        <v>5.64576689E9</v>
      </c>
      <c r="M20" s="18"/>
      <c r="N20" s="18"/>
      <c r="O20" s="18"/>
      <c r="P20" s="20">
        <v>15.0</v>
      </c>
      <c r="Q20" s="22">
        <v>46045.92314814815</v>
      </c>
      <c r="R20" s="15" t="s">
        <v>107</v>
      </c>
      <c r="S20" s="15" t="s">
        <v>109</v>
      </c>
      <c r="T20" s="15" t="s">
        <v>171</v>
      </c>
      <c r="U20" s="15" t="s">
        <v>444</v>
      </c>
      <c r="V20" s="15" t="s">
        <v>445</v>
      </c>
      <c r="W20" s="15" t="s">
        <v>446</v>
      </c>
      <c r="X20" s="51" t="s">
        <v>117</v>
      </c>
      <c r="Y20" s="49" t="s">
        <v>437</v>
      </c>
      <c r="Z20" s="15" t="s">
        <v>117</v>
      </c>
      <c r="AA20" s="23" t="s">
        <v>450</v>
      </c>
      <c r="AB20" s="15" t="s">
        <v>120</v>
      </c>
      <c r="AC20" s="18"/>
      <c r="AD20" s="18"/>
      <c r="AE20" s="15" t="s">
        <v>120</v>
      </c>
      <c r="AF20" s="18"/>
      <c r="AG20" s="15" t="s">
        <v>120</v>
      </c>
      <c r="AH20" s="18"/>
      <c r="AI20" s="15" t="s">
        <v>117</v>
      </c>
      <c r="AJ20" s="23" t="s">
        <v>454</v>
      </c>
      <c r="AK20" s="18"/>
      <c r="AL20" s="15" t="s">
        <v>138</v>
      </c>
      <c r="AM20" s="15" t="s">
        <v>156</v>
      </c>
      <c r="AN20" s="15" t="s">
        <v>124</v>
      </c>
      <c r="AO20" s="15" t="s">
        <v>240</v>
      </c>
      <c r="AP20" s="15"/>
    </row>
    <row r="21" ht="22.5" customHeight="1">
      <c r="A21" s="15" t="s">
        <v>412</v>
      </c>
      <c r="B21" s="15" t="s">
        <v>413</v>
      </c>
      <c r="C21" s="15" t="s">
        <v>414</v>
      </c>
      <c r="D21" s="41">
        <v>40337.0</v>
      </c>
      <c r="E21" s="15" t="s">
        <v>98</v>
      </c>
      <c r="F21" s="15">
        <v>5.616042907E9</v>
      </c>
      <c r="G21" s="15" t="s">
        <v>415</v>
      </c>
      <c r="H21" s="15" t="s">
        <v>140</v>
      </c>
      <c r="I21" s="49" t="s">
        <v>416</v>
      </c>
      <c r="J21" s="15" t="s">
        <v>417</v>
      </c>
      <c r="K21" s="15" t="s">
        <v>418</v>
      </c>
      <c r="L21" s="15">
        <v>5.530664884E9</v>
      </c>
      <c r="M21" s="18"/>
      <c r="N21" s="18"/>
      <c r="O21" s="18"/>
      <c r="P21" s="20">
        <v>15.0</v>
      </c>
      <c r="Q21" s="22">
        <v>46026.471030092594</v>
      </c>
      <c r="R21" s="15" t="s">
        <v>107</v>
      </c>
      <c r="S21" s="15" t="s">
        <v>109</v>
      </c>
      <c r="T21" s="15" t="s">
        <v>208</v>
      </c>
      <c r="U21" s="15" t="s">
        <v>228</v>
      </c>
      <c r="V21" s="15" t="s">
        <v>229</v>
      </c>
      <c r="W21" s="15" t="s">
        <v>230</v>
      </c>
      <c r="X21" s="51" t="s">
        <v>117</v>
      </c>
      <c r="Y21" s="49" t="s">
        <v>425</v>
      </c>
      <c r="Z21" s="15" t="s">
        <v>117</v>
      </c>
      <c r="AA21" s="58" t="s">
        <v>426</v>
      </c>
      <c r="AB21" s="15" t="s">
        <v>117</v>
      </c>
      <c r="AC21" s="15" t="s">
        <v>117</v>
      </c>
      <c r="AD21" s="27" t="s">
        <v>427</v>
      </c>
      <c r="AE21" s="15" t="s">
        <v>120</v>
      </c>
      <c r="AF21" s="18"/>
      <c r="AG21" s="15" t="s">
        <v>120</v>
      </c>
      <c r="AH21" s="18"/>
      <c r="AI21" s="15" t="s">
        <v>120</v>
      </c>
      <c r="AJ21" s="18"/>
      <c r="AK21" s="18"/>
      <c r="AL21" s="15" t="s">
        <v>126</v>
      </c>
      <c r="AM21" s="15" t="s">
        <v>242</v>
      </c>
      <c r="AN21" s="15" t="s">
        <v>156</v>
      </c>
      <c r="AO21" s="15" t="s">
        <v>124</v>
      </c>
      <c r="AP21" s="15"/>
    </row>
    <row r="22" ht="22.5" customHeight="1">
      <c r="A22" s="15" t="s">
        <v>463</v>
      </c>
      <c r="B22" s="15" t="s">
        <v>464</v>
      </c>
      <c r="C22" s="15" t="s">
        <v>466</v>
      </c>
      <c r="D22" s="41">
        <v>40695.0</v>
      </c>
      <c r="E22" s="15" t="s">
        <v>98</v>
      </c>
      <c r="F22" s="15">
        <v>5.539002006E9</v>
      </c>
      <c r="G22" s="15" t="s">
        <v>467</v>
      </c>
      <c r="H22" s="15" t="s">
        <v>140</v>
      </c>
      <c r="I22" s="49" t="s">
        <v>469</v>
      </c>
      <c r="J22" s="15" t="s">
        <v>471</v>
      </c>
      <c r="K22" s="15" t="s">
        <v>472</v>
      </c>
      <c r="L22" s="15">
        <v>5.539002006E9</v>
      </c>
      <c r="M22" s="15" t="s">
        <v>475</v>
      </c>
      <c r="N22" s="15" t="s">
        <v>476</v>
      </c>
      <c r="O22" s="15">
        <v>5.516548321E9</v>
      </c>
      <c r="P22" s="20">
        <v>14.0</v>
      </c>
      <c r="Q22" s="22">
        <v>46024.349270833336</v>
      </c>
      <c r="R22" s="15" t="s">
        <v>107</v>
      </c>
      <c r="S22" s="15" t="s">
        <v>109</v>
      </c>
      <c r="T22" s="15" t="s">
        <v>208</v>
      </c>
      <c r="U22" s="15" t="s">
        <v>478</v>
      </c>
      <c r="V22" s="15" t="s">
        <v>480</v>
      </c>
      <c r="W22" s="15" t="s">
        <v>481</v>
      </c>
      <c r="X22" s="51" t="s">
        <v>117</v>
      </c>
      <c r="Y22" s="49" t="s">
        <v>447</v>
      </c>
      <c r="Z22" s="15" t="s">
        <v>120</v>
      </c>
      <c r="AA22" s="18"/>
      <c r="AB22" s="15" t="s">
        <v>120</v>
      </c>
      <c r="AC22" s="18"/>
      <c r="AD22" s="18"/>
      <c r="AE22" s="15" t="s">
        <v>120</v>
      </c>
      <c r="AF22" s="18"/>
      <c r="AG22" s="15" t="s">
        <v>120</v>
      </c>
      <c r="AH22" s="18"/>
      <c r="AI22" s="15" t="s">
        <v>120</v>
      </c>
      <c r="AJ22" s="18"/>
      <c r="AK22" s="18"/>
      <c r="AL22" s="15" t="s">
        <v>126</v>
      </c>
      <c r="AM22" s="15" t="s">
        <v>141</v>
      </c>
      <c r="AN22" s="15" t="s">
        <v>242</v>
      </c>
      <c r="AO22" s="15" t="s">
        <v>185</v>
      </c>
      <c r="AP22" s="15"/>
    </row>
    <row r="23" ht="23.25" customHeight="1">
      <c r="A23" s="15" t="s">
        <v>438</v>
      </c>
      <c r="B23" s="15" t="s">
        <v>441</v>
      </c>
      <c r="C23" s="15" t="s">
        <v>442</v>
      </c>
      <c r="D23" s="41">
        <v>39799.0</v>
      </c>
      <c r="E23" s="15" t="s">
        <v>177</v>
      </c>
      <c r="F23" s="15">
        <v>5.636625277E9</v>
      </c>
      <c r="G23" s="15" t="s">
        <v>443</v>
      </c>
      <c r="H23" s="15" t="s">
        <v>382</v>
      </c>
      <c r="I23" s="49" t="s">
        <v>447</v>
      </c>
      <c r="J23" s="15" t="s">
        <v>448</v>
      </c>
      <c r="K23" s="15" t="s">
        <v>449</v>
      </c>
      <c r="L23" s="15">
        <v>5.571338792E9</v>
      </c>
      <c r="M23" s="18"/>
      <c r="N23" s="18"/>
      <c r="O23" s="18"/>
      <c r="P23" s="20">
        <v>17.0</v>
      </c>
      <c r="Q23" s="22">
        <v>46023.49899305555</v>
      </c>
      <c r="R23" s="15" t="s">
        <v>107</v>
      </c>
      <c r="S23" s="15" t="s">
        <v>109</v>
      </c>
      <c r="T23" s="15" t="s">
        <v>111</v>
      </c>
      <c r="U23" s="15" t="s">
        <v>398</v>
      </c>
      <c r="V23" s="15" t="s">
        <v>399</v>
      </c>
      <c r="W23" s="15" t="s">
        <v>400</v>
      </c>
      <c r="X23" s="51" t="s">
        <v>117</v>
      </c>
      <c r="Y23" s="49" t="s">
        <v>458</v>
      </c>
      <c r="Z23" s="15" t="s">
        <v>117</v>
      </c>
      <c r="AA23" s="58" t="s">
        <v>459</v>
      </c>
      <c r="AB23" s="15" t="s">
        <v>120</v>
      </c>
      <c r="AC23" s="15" t="s">
        <v>117</v>
      </c>
      <c r="AD23" s="15" t="s">
        <v>135</v>
      </c>
      <c r="AE23" s="15" t="s">
        <v>120</v>
      </c>
      <c r="AF23" s="15" t="s">
        <v>135</v>
      </c>
      <c r="AG23" s="15" t="s">
        <v>120</v>
      </c>
      <c r="AH23" s="15" t="s">
        <v>135</v>
      </c>
      <c r="AI23" s="15" t="s">
        <v>120</v>
      </c>
      <c r="AJ23" s="15" t="s">
        <v>135</v>
      </c>
      <c r="AK23" s="15" t="s">
        <v>135</v>
      </c>
      <c r="AL23" s="15" t="s">
        <v>185</v>
      </c>
      <c r="AM23" s="15" t="s">
        <v>242</v>
      </c>
      <c r="AN23" s="15" t="s">
        <v>156</v>
      </c>
      <c r="AO23" s="15" t="s">
        <v>126</v>
      </c>
      <c r="AP23" s="15"/>
    </row>
    <row r="24" ht="22.5" customHeight="1">
      <c r="A24" s="15" t="s">
        <v>460</v>
      </c>
      <c r="B24" s="15" t="s">
        <v>172</v>
      </c>
      <c r="C24" s="15" t="s">
        <v>461</v>
      </c>
      <c r="D24" s="41">
        <v>39802.0</v>
      </c>
      <c r="E24" s="15" t="s">
        <v>177</v>
      </c>
      <c r="F24" s="15">
        <v>5.588010356E9</v>
      </c>
      <c r="G24" s="15" t="s">
        <v>462</v>
      </c>
      <c r="H24" s="15" t="s">
        <v>382</v>
      </c>
      <c r="I24" s="49" t="s">
        <v>458</v>
      </c>
      <c r="J24" s="15" t="s">
        <v>465</v>
      </c>
      <c r="K24" s="15" t="s">
        <v>186</v>
      </c>
      <c r="L24" s="15">
        <v>5.562186745E9</v>
      </c>
      <c r="M24" s="15" t="s">
        <v>468</v>
      </c>
      <c r="N24" s="15" t="s">
        <v>470</v>
      </c>
      <c r="O24" s="15">
        <v>3.41104297E9</v>
      </c>
      <c r="P24" s="20">
        <v>17.0</v>
      </c>
      <c r="Q24" s="22">
        <v>46034.53467592593</v>
      </c>
      <c r="R24" s="15" t="s">
        <v>107</v>
      </c>
      <c r="S24" s="15" t="s">
        <v>109</v>
      </c>
      <c r="T24" s="15" t="s">
        <v>192</v>
      </c>
      <c r="U24" s="15" t="s">
        <v>195</v>
      </c>
      <c r="V24" s="15" t="s">
        <v>198</v>
      </c>
      <c r="W24" s="15" t="s">
        <v>200</v>
      </c>
      <c r="X24" s="51" t="s">
        <v>117</v>
      </c>
      <c r="Y24" s="18"/>
      <c r="Z24" s="15" t="s">
        <v>117</v>
      </c>
      <c r="AA24" s="18"/>
      <c r="AB24" s="15" t="s">
        <v>117</v>
      </c>
      <c r="AC24" s="15" t="s">
        <v>117</v>
      </c>
      <c r="AD24" s="18"/>
      <c r="AE24" s="15" t="s">
        <v>117</v>
      </c>
      <c r="AF24" s="18"/>
      <c r="AG24" s="15" t="s">
        <v>117</v>
      </c>
      <c r="AH24" s="18"/>
      <c r="AI24" s="15" t="s">
        <v>117</v>
      </c>
      <c r="AJ24" s="18"/>
      <c r="AK24" s="18"/>
      <c r="AL24" s="15" t="s">
        <v>138</v>
      </c>
      <c r="AM24" s="15" t="s">
        <v>126</v>
      </c>
      <c r="AN24" s="15" t="s">
        <v>156</v>
      </c>
      <c r="AO24" s="15" t="s">
        <v>185</v>
      </c>
      <c r="AP24" s="15"/>
    </row>
    <row r="25" ht="22.5" customHeight="1">
      <c r="A25" s="15" t="s">
        <v>510</v>
      </c>
      <c r="B25" s="15" t="s">
        <v>512</v>
      </c>
      <c r="C25" s="15" t="s">
        <v>513</v>
      </c>
      <c r="D25" s="41">
        <v>40627.0</v>
      </c>
      <c r="E25" s="15" t="s">
        <v>98</v>
      </c>
      <c r="F25" s="15">
        <v>5.573406241E9</v>
      </c>
      <c r="G25" s="15" t="s">
        <v>514</v>
      </c>
      <c r="H25" s="15" t="s">
        <v>150</v>
      </c>
      <c r="I25" s="49" t="s">
        <v>516</v>
      </c>
      <c r="J25" s="15" t="s">
        <v>517</v>
      </c>
      <c r="K25" s="15" t="s">
        <v>519</v>
      </c>
      <c r="L25" s="15">
        <v>5.533352183E9</v>
      </c>
      <c r="M25" s="15" t="s">
        <v>521</v>
      </c>
      <c r="N25" s="15" t="s">
        <v>514</v>
      </c>
      <c r="O25" s="15">
        <v>5.573406241E9</v>
      </c>
      <c r="P25" s="20">
        <v>14.0</v>
      </c>
      <c r="Q25" s="22">
        <v>46037.452685185184</v>
      </c>
      <c r="R25" s="15" t="s">
        <v>107</v>
      </c>
      <c r="S25" s="15" t="s">
        <v>109</v>
      </c>
      <c r="T25" s="15" t="s">
        <v>171</v>
      </c>
      <c r="U25" s="15" t="s">
        <v>526</v>
      </c>
      <c r="V25" s="15" t="s">
        <v>527</v>
      </c>
      <c r="W25" s="15" t="s">
        <v>528</v>
      </c>
      <c r="X25" s="51" t="s">
        <v>117</v>
      </c>
      <c r="Y25" s="49" t="s">
        <v>529</v>
      </c>
      <c r="Z25" s="15" t="s">
        <v>117</v>
      </c>
      <c r="AA25" s="58" t="s">
        <v>530</v>
      </c>
      <c r="AB25" s="15" t="s">
        <v>120</v>
      </c>
      <c r="AC25" s="18"/>
      <c r="AD25" s="18"/>
      <c r="AE25" s="15" t="s">
        <v>120</v>
      </c>
      <c r="AF25" s="18"/>
      <c r="AG25" s="15" t="s">
        <v>120</v>
      </c>
      <c r="AH25" s="18"/>
      <c r="AI25" s="15" t="s">
        <v>117</v>
      </c>
      <c r="AJ25" s="27" t="s">
        <v>536</v>
      </c>
      <c r="AK25" s="18"/>
      <c r="AL25" s="15" t="s">
        <v>156</v>
      </c>
      <c r="AM25" s="15" t="s">
        <v>126</v>
      </c>
      <c r="AN25" s="15" t="s">
        <v>129</v>
      </c>
      <c r="AO25" s="15" t="s">
        <v>124</v>
      </c>
      <c r="AP25" s="15"/>
    </row>
    <row r="26" ht="23.25" customHeight="1">
      <c r="A26" s="15" t="s">
        <v>488</v>
      </c>
      <c r="B26" s="15" t="s">
        <v>489</v>
      </c>
      <c r="C26" s="15" t="s">
        <v>490</v>
      </c>
      <c r="D26" s="41">
        <v>39622.0</v>
      </c>
      <c r="E26" s="15" t="s">
        <v>98</v>
      </c>
      <c r="F26" s="15">
        <v>5.620728299E9</v>
      </c>
      <c r="G26" s="15" t="s">
        <v>491</v>
      </c>
      <c r="H26" s="15" t="s">
        <v>140</v>
      </c>
      <c r="I26" s="49" t="s">
        <v>492</v>
      </c>
      <c r="J26" s="15" t="s">
        <v>493</v>
      </c>
      <c r="K26" s="15" t="s">
        <v>494</v>
      </c>
      <c r="L26" s="15">
        <v>5.578921929E9</v>
      </c>
      <c r="M26" s="15" t="s">
        <v>495</v>
      </c>
      <c r="N26" s="15" t="s">
        <v>496</v>
      </c>
      <c r="O26" s="15">
        <v>5.520848283E9</v>
      </c>
      <c r="P26" s="20">
        <v>17.0</v>
      </c>
      <c r="Q26" s="22">
        <v>46026.802939814814</v>
      </c>
      <c r="R26" s="15" t="s">
        <v>107</v>
      </c>
      <c r="S26" s="15" t="s">
        <v>109</v>
      </c>
      <c r="T26" s="15" t="s">
        <v>160</v>
      </c>
      <c r="U26" s="15" t="s">
        <v>161</v>
      </c>
      <c r="V26" s="15" t="s">
        <v>163</v>
      </c>
      <c r="W26" s="15" t="s">
        <v>165</v>
      </c>
      <c r="X26" s="51" t="s">
        <v>117</v>
      </c>
      <c r="Y26" s="49" t="s">
        <v>500</v>
      </c>
      <c r="Z26" s="15" t="s">
        <v>120</v>
      </c>
      <c r="AA26" s="18"/>
      <c r="AB26" s="15" t="s">
        <v>117</v>
      </c>
      <c r="AC26" s="15" t="s">
        <v>117</v>
      </c>
      <c r="AD26" s="18"/>
      <c r="AE26" s="15" t="s">
        <v>120</v>
      </c>
      <c r="AF26" s="18"/>
      <c r="AG26" s="15" t="s">
        <v>120</v>
      </c>
      <c r="AH26" s="18"/>
      <c r="AI26" s="15" t="s">
        <v>120</v>
      </c>
      <c r="AJ26" s="18"/>
      <c r="AK26" s="18"/>
      <c r="AL26" s="15" t="s">
        <v>126</v>
      </c>
      <c r="AM26" s="15" t="s">
        <v>128</v>
      </c>
      <c r="AN26" s="15" t="s">
        <v>185</v>
      </c>
      <c r="AO26" s="15" t="s">
        <v>124</v>
      </c>
      <c r="AP26" s="15"/>
    </row>
    <row r="27" ht="22.5" customHeight="1">
      <c r="A27" s="15" t="s">
        <v>451</v>
      </c>
      <c r="B27" s="15" t="s">
        <v>188</v>
      </c>
      <c r="C27" s="15" t="s">
        <v>556</v>
      </c>
      <c r="D27" s="41">
        <v>39984.0</v>
      </c>
      <c r="E27" s="15" t="s">
        <v>98</v>
      </c>
      <c r="F27" s="15">
        <v>5.62127044E9</v>
      </c>
      <c r="G27" s="15" t="s">
        <v>558</v>
      </c>
      <c r="H27" s="15" t="s">
        <v>140</v>
      </c>
      <c r="I27" s="49" t="s">
        <v>559</v>
      </c>
      <c r="J27" s="15" t="s">
        <v>560</v>
      </c>
      <c r="K27" s="15" t="s">
        <v>203</v>
      </c>
      <c r="L27" s="15">
        <v>5.584775869E9</v>
      </c>
      <c r="M27" s="18"/>
      <c r="N27" s="18"/>
      <c r="O27" s="18"/>
      <c r="P27" s="20">
        <v>16.0</v>
      </c>
      <c r="Q27" s="22">
        <v>46026.005428240744</v>
      </c>
      <c r="R27" s="15" t="s">
        <v>107</v>
      </c>
      <c r="S27" s="15" t="s">
        <v>109</v>
      </c>
      <c r="T27" s="15" t="s">
        <v>208</v>
      </c>
      <c r="U27" s="15" t="s">
        <v>209</v>
      </c>
      <c r="V27" s="15" t="s">
        <v>210</v>
      </c>
      <c r="W27" s="15" t="s">
        <v>211</v>
      </c>
      <c r="X27" s="51" t="s">
        <v>117</v>
      </c>
      <c r="Y27" s="49" t="s">
        <v>559</v>
      </c>
      <c r="Z27" s="15" t="s">
        <v>117</v>
      </c>
      <c r="AA27" s="27" t="s">
        <v>570</v>
      </c>
      <c r="AB27" s="15" t="s">
        <v>120</v>
      </c>
      <c r="AC27" s="15" t="s">
        <v>120</v>
      </c>
      <c r="AD27" s="18"/>
      <c r="AE27" s="15" t="s">
        <v>120</v>
      </c>
      <c r="AF27" s="18"/>
      <c r="AG27" s="15" t="s">
        <v>120</v>
      </c>
      <c r="AH27" s="18"/>
      <c r="AI27" s="15" t="s">
        <v>117</v>
      </c>
      <c r="AJ27" s="27" t="s">
        <v>575</v>
      </c>
      <c r="AK27" s="15" t="s">
        <v>120</v>
      </c>
      <c r="AL27" s="15" t="s">
        <v>126</v>
      </c>
      <c r="AM27" s="15" t="s">
        <v>216</v>
      </c>
      <c r="AN27" s="15" t="s">
        <v>242</v>
      </c>
      <c r="AO27" s="15" t="s">
        <v>156</v>
      </c>
      <c r="AP27" s="15"/>
    </row>
    <row r="28" ht="23.25" customHeight="1">
      <c r="A28" s="15" t="s">
        <v>508</v>
      </c>
      <c r="B28" s="15" t="s">
        <v>509</v>
      </c>
      <c r="C28" s="15" t="s">
        <v>511</v>
      </c>
      <c r="D28" s="41">
        <v>39940.0</v>
      </c>
      <c r="E28" s="15" t="s">
        <v>177</v>
      </c>
      <c r="F28" s="15">
        <v>5.533345076E9</v>
      </c>
      <c r="G28" s="15" t="s">
        <v>515</v>
      </c>
      <c r="H28" s="15" t="s">
        <v>382</v>
      </c>
      <c r="I28" s="49" t="s">
        <v>518</v>
      </c>
      <c r="J28" s="15" t="s">
        <v>520</v>
      </c>
      <c r="K28" s="15" t="s">
        <v>522</v>
      </c>
      <c r="L28" s="15">
        <v>5.662527794E9</v>
      </c>
      <c r="M28" s="15" t="s">
        <v>523</v>
      </c>
      <c r="N28" s="15" t="s">
        <v>524</v>
      </c>
      <c r="O28" s="15">
        <v>5.61861044E9</v>
      </c>
      <c r="P28" s="20">
        <v>16.0</v>
      </c>
      <c r="Q28" s="22">
        <v>46025.05503472222</v>
      </c>
      <c r="R28" s="15" t="s">
        <v>107</v>
      </c>
      <c r="S28" s="15" t="s">
        <v>109</v>
      </c>
      <c r="T28" s="15" t="s">
        <v>127</v>
      </c>
      <c r="U28" s="15" t="s">
        <v>531</v>
      </c>
      <c r="V28" s="15" t="s">
        <v>532</v>
      </c>
      <c r="W28" s="15" t="s">
        <v>534</v>
      </c>
      <c r="X28" s="51" t="s">
        <v>117</v>
      </c>
      <c r="Y28" s="49" t="s">
        <v>538</v>
      </c>
      <c r="Z28" s="15" t="s">
        <v>117</v>
      </c>
      <c r="AA28" s="52" t="s">
        <v>539</v>
      </c>
      <c r="AB28" s="15" t="s">
        <v>117</v>
      </c>
      <c r="AC28" s="15" t="s">
        <v>117</v>
      </c>
      <c r="AD28" s="23" t="s">
        <v>540</v>
      </c>
      <c r="AE28" s="15" t="s">
        <v>120</v>
      </c>
      <c r="AF28" s="18"/>
      <c r="AG28" s="15" t="s">
        <v>120</v>
      </c>
      <c r="AH28" s="18"/>
      <c r="AI28" s="15" t="s">
        <v>120</v>
      </c>
      <c r="AJ28" s="18"/>
      <c r="AK28" s="15" t="s">
        <v>135</v>
      </c>
      <c r="AL28" s="15" t="s">
        <v>141</v>
      </c>
      <c r="AM28" s="15" t="s">
        <v>185</v>
      </c>
      <c r="AN28" s="15" t="s">
        <v>124</v>
      </c>
      <c r="AO28" s="15" t="s">
        <v>138</v>
      </c>
      <c r="AP28" s="15"/>
    </row>
    <row r="29" ht="22.5" customHeight="1">
      <c r="A29" s="15" t="s">
        <v>587</v>
      </c>
      <c r="B29" s="15" t="s">
        <v>588</v>
      </c>
      <c r="C29" s="15" t="s">
        <v>589</v>
      </c>
      <c r="D29" s="41">
        <v>39998.0</v>
      </c>
      <c r="E29" s="15" t="s">
        <v>177</v>
      </c>
      <c r="F29" s="15">
        <v>5.63021305E9</v>
      </c>
      <c r="G29" s="15" t="s">
        <v>593</v>
      </c>
      <c r="H29" s="15" t="s">
        <v>101</v>
      </c>
      <c r="I29" s="49" t="s">
        <v>594</v>
      </c>
      <c r="J29" s="15" t="s">
        <v>595</v>
      </c>
      <c r="K29" s="15" t="s">
        <v>596</v>
      </c>
      <c r="L29" s="15">
        <v>5.585627079E9</v>
      </c>
      <c r="M29" s="15" t="s">
        <v>597</v>
      </c>
      <c r="N29" s="15" t="s">
        <v>598</v>
      </c>
      <c r="O29" s="15">
        <v>5.549439265E9</v>
      </c>
      <c r="P29" s="20">
        <v>16.0</v>
      </c>
      <c r="Q29" s="22">
        <v>46026.55636574074</v>
      </c>
      <c r="R29" s="15" t="s">
        <v>107</v>
      </c>
      <c r="S29" s="15" t="s">
        <v>109</v>
      </c>
      <c r="T29" s="15" t="s">
        <v>208</v>
      </c>
      <c r="U29" s="15" t="s">
        <v>601</v>
      </c>
      <c r="V29" s="15" t="s">
        <v>602</v>
      </c>
      <c r="W29" s="15" t="s">
        <v>603</v>
      </c>
      <c r="X29" s="51" t="s">
        <v>117</v>
      </c>
      <c r="Y29" s="23" t="s">
        <v>604</v>
      </c>
      <c r="Z29" s="15" t="s">
        <v>120</v>
      </c>
      <c r="AA29" s="67" t="s">
        <v>604</v>
      </c>
      <c r="AB29" s="15" t="s">
        <v>120</v>
      </c>
      <c r="AC29" s="15" t="s">
        <v>120</v>
      </c>
      <c r="AD29" s="18"/>
      <c r="AE29" s="15" t="s">
        <v>120</v>
      </c>
      <c r="AF29" s="18"/>
      <c r="AG29" s="15" t="s">
        <v>120</v>
      </c>
      <c r="AH29" s="18"/>
      <c r="AI29" s="15" t="s">
        <v>120</v>
      </c>
      <c r="AJ29" s="18"/>
      <c r="AK29" s="18"/>
      <c r="AL29" s="15" t="s">
        <v>185</v>
      </c>
      <c r="AM29" s="15" t="s">
        <v>240</v>
      </c>
      <c r="AN29" s="15" t="s">
        <v>242</v>
      </c>
      <c r="AO29" s="15" t="s">
        <v>156</v>
      </c>
      <c r="AP29" s="15"/>
    </row>
    <row r="30" ht="22.5" customHeight="1">
      <c r="A30" s="15" t="s">
        <v>543</v>
      </c>
      <c r="B30" s="15" t="s">
        <v>544</v>
      </c>
      <c r="C30" s="15" t="s">
        <v>545</v>
      </c>
      <c r="D30" s="41">
        <v>40046.0</v>
      </c>
      <c r="E30" s="15" t="s">
        <v>177</v>
      </c>
      <c r="F30" s="15">
        <v>5.619870319E9</v>
      </c>
      <c r="G30" s="15" t="s">
        <v>547</v>
      </c>
      <c r="H30" s="15" t="s">
        <v>382</v>
      </c>
      <c r="I30" s="49" t="s">
        <v>549</v>
      </c>
      <c r="J30" s="15" t="s">
        <v>200</v>
      </c>
      <c r="K30" s="15" t="s">
        <v>198</v>
      </c>
      <c r="L30" s="15">
        <v>5.554088968E9</v>
      </c>
      <c r="M30" s="18"/>
      <c r="N30" s="18"/>
      <c r="O30" s="18"/>
      <c r="P30" s="20">
        <v>16.0</v>
      </c>
      <c r="Q30" s="22">
        <v>46033.87835648148</v>
      </c>
      <c r="R30" s="15" t="s">
        <v>107</v>
      </c>
      <c r="S30" s="15" t="s">
        <v>109</v>
      </c>
      <c r="T30" s="15" t="s">
        <v>192</v>
      </c>
      <c r="U30" s="15" t="s">
        <v>195</v>
      </c>
      <c r="V30" s="15" t="s">
        <v>198</v>
      </c>
      <c r="W30" s="15" t="s">
        <v>200</v>
      </c>
      <c r="X30" s="51" t="s">
        <v>117</v>
      </c>
      <c r="Y30" s="49" t="s">
        <v>553</v>
      </c>
      <c r="Z30" s="15" t="s">
        <v>117</v>
      </c>
      <c r="AA30" s="52" t="s">
        <v>554</v>
      </c>
      <c r="AB30" s="15" t="s">
        <v>117</v>
      </c>
      <c r="AC30" s="15" t="s">
        <v>117</v>
      </c>
      <c r="AD30" s="23" t="s">
        <v>555</v>
      </c>
      <c r="AE30" s="15" t="s">
        <v>117</v>
      </c>
      <c r="AF30" s="23" t="s">
        <v>557</v>
      </c>
      <c r="AG30" s="15" t="s">
        <v>120</v>
      </c>
      <c r="AH30" s="18"/>
      <c r="AI30" s="15" t="s">
        <v>120</v>
      </c>
      <c r="AJ30" s="18"/>
      <c r="AK30" s="18"/>
      <c r="AL30" s="15" t="s">
        <v>185</v>
      </c>
      <c r="AM30" s="15" t="s">
        <v>126</v>
      </c>
      <c r="AN30" s="15" t="s">
        <v>124</v>
      </c>
      <c r="AO30" s="15" t="s">
        <v>242</v>
      </c>
      <c r="AP30" s="15"/>
    </row>
    <row r="31" ht="22.5" customHeight="1">
      <c r="A31" s="15" t="s">
        <v>620</v>
      </c>
      <c r="B31" s="15" t="s">
        <v>622</v>
      </c>
      <c r="C31" s="15" t="s">
        <v>624</v>
      </c>
      <c r="D31" s="41">
        <v>40036.0</v>
      </c>
      <c r="E31" s="15" t="s">
        <v>177</v>
      </c>
      <c r="F31" s="15">
        <v>5.534644229E9</v>
      </c>
      <c r="G31" s="15" t="s">
        <v>629</v>
      </c>
      <c r="H31" s="15" t="s">
        <v>150</v>
      </c>
      <c r="I31" s="49" t="s">
        <v>630</v>
      </c>
      <c r="J31" s="15" t="s">
        <v>631</v>
      </c>
      <c r="K31" s="15" t="s">
        <v>632</v>
      </c>
      <c r="L31" s="15">
        <v>5.561827544E9</v>
      </c>
      <c r="M31" s="18"/>
      <c r="N31" s="18"/>
      <c r="O31" s="18"/>
      <c r="P31" s="20">
        <v>16.0</v>
      </c>
      <c r="Q31" s="22">
        <v>46034.52142361111</v>
      </c>
      <c r="R31" s="15" t="s">
        <v>107</v>
      </c>
      <c r="S31" s="15" t="s">
        <v>109</v>
      </c>
      <c r="T31" s="15" t="s">
        <v>171</v>
      </c>
      <c r="U31" s="15" t="s">
        <v>638</v>
      </c>
      <c r="V31" s="15" t="s">
        <v>639</v>
      </c>
      <c r="W31" s="15" t="s">
        <v>641</v>
      </c>
      <c r="X31" s="51" t="s">
        <v>117</v>
      </c>
      <c r="Y31" s="49" t="s">
        <v>630</v>
      </c>
      <c r="Z31" s="15" t="s">
        <v>120</v>
      </c>
      <c r="AA31" s="18"/>
      <c r="AB31" s="15" t="s">
        <v>120</v>
      </c>
      <c r="AC31" s="15" t="s">
        <v>120</v>
      </c>
      <c r="AD31" s="18"/>
      <c r="AE31" s="15" t="s">
        <v>117</v>
      </c>
      <c r="AF31" s="27" t="s">
        <v>642</v>
      </c>
      <c r="AG31" s="15" t="s">
        <v>120</v>
      </c>
      <c r="AH31" s="18"/>
      <c r="AI31" s="15" t="s">
        <v>120</v>
      </c>
      <c r="AJ31" s="18"/>
      <c r="AK31" s="18"/>
      <c r="AL31" s="15" t="s">
        <v>185</v>
      </c>
      <c r="AM31" s="15" t="s">
        <v>240</v>
      </c>
      <c r="AN31" s="15" t="s">
        <v>242</v>
      </c>
      <c r="AO31" s="15" t="s">
        <v>138</v>
      </c>
      <c r="AP31" s="15"/>
    </row>
    <row r="32" ht="23.25" customHeight="1">
      <c r="A32" s="15" t="s">
        <v>645</v>
      </c>
      <c r="B32" s="15" t="s">
        <v>646</v>
      </c>
      <c r="C32" s="15" t="s">
        <v>647</v>
      </c>
      <c r="D32" s="41">
        <v>39466.0</v>
      </c>
      <c r="E32" s="15" t="s">
        <v>98</v>
      </c>
      <c r="F32" s="15">
        <v>5.554733882E9</v>
      </c>
      <c r="G32" s="15" t="s">
        <v>648</v>
      </c>
      <c r="H32" s="15" t="s">
        <v>101</v>
      </c>
      <c r="I32" s="49" t="s">
        <v>649</v>
      </c>
      <c r="J32" s="15" t="s">
        <v>650</v>
      </c>
      <c r="K32" s="15" t="s">
        <v>652</v>
      </c>
      <c r="L32" s="15">
        <v>5.540155903E9</v>
      </c>
      <c r="M32" s="18"/>
      <c r="N32" s="18"/>
      <c r="O32" s="18"/>
      <c r="P32" s="20">
        <v>18.0</v>
      </c>
      <c r="Q32" s="22">
        <v>46037.78428240741</v>
      </c>
      <c r="R32" s="15" t="s">
        <v>107</v>
      </c>
      <c r="S32" s="15" t="s">
        <v>109</v>
      </c>
      <c r="T32" s="15" t="s">
        <v>111</v>
      </c>
      <c r="U32" s="15" t="s">
        <v>657</v>
      </c>
      <c r="V32" s="15" t="s">
        <v>659</v>
      </c>
      <c r="W32" s="15" t="s">
        <v>662</v>
      </c>
      <c r="X32" s="51" t="s">
        <v>117</v>
      </c>
      <c r="Y32" s="49" t="s">
        <v>664</v>
      </c>
      <c r="Z32" s="15" t="s">
        <v>117</v>
      </c>
      <c r="AA32" s="23" t="s">
        <v>666</v>
      </c>
      <c r="AB32" s="15" t="s">
        <v>120</v>
      </c>
      <c r="AC32" s="18"/>
      <c r="AD32" s="15" t="s">
        <v>667</v>
      </c>
      <c r="AE32" s="15" t="s">
        <v>120</v>
      </c>
      <c r="AF32" s="15" t="s">
        <v>667</v>
      </c>
      <c r="AG32" s="15" t="s">
        <v>120</v>
      </c>
      <c r="AH32" s="27" t="s">
        <v>667</v>
      </c>
      <c r="AI32" s="15" t="s">
        <v>120</v>
      </c>
      <c r="AJ32" s="15" t="s">
        <v>667</v>
      </c>
      <c r="AK32" s="15" t="s">
        <v>667</v>
      </c>
      <c r="AL32" s="15" t="s">
        <v>185</v>
      </c>
      <c r="AM32" s="15" t="s">
        <v>156</v>
      </c>
      <c r="AN32" s="15" t="s">
        <v>141</v>
      </c>
      <c r="AO32" s="15" t="s">
        <v>124</v>
      </c>
      <c r="AP32" s="15"/>
    </row>
    <row r="33" ht="22.5" customHeight="1">
      <c r="A33" s="15" t="s">
        <v>561</v>
      </c>
      <c r="B33" s="15" t="s">
        <v>562</v>
      </c>
      <c r="C33" s="15" t="s">
        <v>564</v>
      </c>
      <c r="D33" s="41">
        <v>40627.0</v>
      </c>
      <c r="E33" s="15" t="s">
        <v>98</v>
      </c>
      <c r="F33" s="15">
        <v>8.911147794E9</v>
      </c>
      <c r="G33" s="15" t="s">
        <v>566</v>
      </c>
      <c r="H33" s="15" t="s">
        <v>101</v>
      </c>
      <c r="I33" s="49" t="s">
        <v>567</v>
      </c>
      <c r="J33" s="15" t="s">
        <v>568</v>
      </c>
      <c r="K33" s="15" t="s">
        <v>566</v>
      </c>
      <c r="L33" s="15">
        <v>8.911147794E9</v>
      </c>
      <c r="M33" s="15" t="s">
        <v>571</v>
      </c>
      <c r="N33" s="15" t="s">
        <v>572</v>
      </c>
      <c r="O33" s="15">
        <v>5.543573982E9</v>
      </c>
      <c r="P33" s="20">
        <v>14.0</v>
      </c>
      <c r="Q33" s="22">
        <v>46026.4975</v>
      </c>
      <c r="R33" s="15" t="s">
        <v>107</v>
      </c>
      <c r="S33" s="15" t="s">
        <v>109</v>
      </c>
      <c r="T33" s="15" t="s">
        <v>208</v>
      </c>
      <c r="U33" s="15" t="s">
        <v>228</v>
      </c>
      <c r="V33" s="15" t="s">
        <v>229</v>
      </c>
      <c r="W33" s="15" t="s">
        <v>230</v>
      </c>
      <c r="X33" s="51" t="s">
        <v>117</v>
      </c>
      <c r="Y33" s="49" t="s">
        <v>576</v>
      </c>
      <c r="Z33" s="15" t="s">
        <v>120</v>
      </c>
      <c r="AA33" s="18"/>
      <c r="AB33" s="15" t="s">
        <v>117</v>
      </c>
      <c r="AC33" s="15" t="s">
        <v>117</v>
      </c>
      <c r="AD33" s="27" t="s">
        <v>577</v>
      </c>
      <c r="AE33" s="15" t="s">
        <v>117</v>
      </c>
      <c r="AF33" s="27" t="s">
        <v>578</v>
      </c>
      <c r="AG33" s="15" t="s">
        <v>120</v>
      </c>
      <c r="AH33" s="18"/>
      <c r="AI33" s="15" t="s">
        <v>120</v>
      </c>
      <c r="AJ33" s="18"/>
      <c r="AK33" s="18"/>
      <c r="AL33" s="15" t="s">
        <v>126</v>
      </c>
      <c r="AM33" s="15" t="s">
        <v>185</v>
      </c>
      <c r="AN33" s="15" t="s">
        <v>138</v>
      </c>
      <c r="AO33" s="15" t="s">
        <v>242</v>
      </c>
      <c r="AP33" s="15"/>
    </row>
    <row r="34" ht="22.5" customHeight="1">
      <c r="A34" s="15" t="s">
        <v>683</v>
      </c>
      <c r="B34" s="15" t="s">
        <v>684</v>
      </c>
      <c r="C34" s="15" t="s">
        <v>686</v>
      </c>
      <c r="D34" s="41">
        <v>39556.0</v>
      </c>
      <c r="E34" s="15" t="s">
        <v>98</v>
      </c>
      <c r="F34" s="15">
        <v>5.610310969E9</v>
      </c>
      <c r="G34" s="15" t="s">
        <v>689</v>
      </c>
      <c r="H34" s="15" t="s">
        <v>101</v>
      </c>
      <c r="I34" s="49" t="s">
        <v>690</v>
      </c>
      <c r="J34" s="15" t="s">
        <v>691</v>
      </c>
      <c r="K34" s="15" t="s">
        <v>693</v>
      </c>
      <c r="L34" s="15">
        <v>5.574250371E9</v>
      </c>
      <c r="M34" s="18"/>
      <c r="N34" s="18"/>
      <c r="O34" s="18"/>
      <c r="P34" s="20">
        <v>17.0</v>
      </c>
      <c r="Q34" s="22">
        <v>46037.7896875</v>
      </c>
      <c r="R34" s="15" t="s">
        <v>107</v>
      </c>
      <c r="S34" s="15" t="s">
        <v>109</v>
      </c>
      <c r="T34" s="15" t="s">
        <v>111</v>
      </c>
      <c r="U34" s="15" t="s">
        <v>657</v>
      </c>
      <c r="V34" s="15" t="s">
        <v>659</v>
      </c>
      <c r="W34" s="15" t="s">
        <v>662</v>
      </c>
      <c r="X34" s="51" t="s">
        <v>117</v>
      </c>
      <c r="Y34" s="49" t="s">
        <v>697</v>
      </c>
      <c r="Z34" s="15" t="s">
        <v>117</v>
      </c>
      <c r="AA34" s="23" t="s">
        <v>698</v>
      </c>
      <c r="AB34" s="15" t="s">
        <v>120</v>
      </c>
      <c r="AC34" s="18"/>
      <c r="AD34" s="15" t="s">
        <v>667</v>
      </c>
      <c r="AE34" s="15" t="s">
        <v>120</v>
      </c>
      <c r="AF34" s="15" t="s">
        <v>667</v>
      </c>
      <c r="AG34" s="15" t="s">
        <v>120</v>
      </c>
      <c r="AH34" s="15" t="s">
        <v>667</v>
      </c>
      <c r="AI34" s="15" t="s">
        <v>117</v>
      </c>
      <c r="AJ34" s="23" t="s">
        <v>701</v>
      </c>
      <c r="AK34" s="15" t="s">
        <v>667</v>
      </c>
      <c r="AL34" s="15" t="s">
        <v>129</v>
      </c>
      <c r="AM34" s="15" t="s">
        <v>128</v>
      </c>
      <c r="AN34" s="15" t="s">
        <v>185</v>
      </c>
      <c r="AO34" s="15" t="s">
        <v>124</v>
      </c>
      <c r="AP34" s="15"/>
    </row>
    <row r="35" ht="22.5" customHeight="1">
      <c r="A35" s="15" t="s">
        <v>580</v>
      </c>
      <c r="B35" s="15" t="s">
        <v>581</v>
      </c>
      <c r="C35" s="15" t="s">
        <v>582</v>
      </c>
      <c r="D35" s="41">
        <v>39669.0</v>
      </c>
      <c r="E35" s="15" t="s">
        <v>177</v>
      </c>
      <c r="F35" s="15">
        <v>5.527578972E9</v>
      </c>
      <c r="G35" s="15" t="s">
        <v>583</v>
      </c>
      <c r="H35" s="15" t="s">
        <v>382</v>
      </c>
      <c r="I35" s="23" t="s">
        <v>584</v>
      </c>
      <c r="J35" s="15" t="s">
        <v>585</v>
      </c>
      <c r="K35" s="15" t="s">
        <v>583</v>
      </c>
      <c r="L35" s="15">
        <v>5.515055669E9</v>
      </c>
      <c r="M35" s="18"/>
      <c r="N35" s="18"/>
      <c r="O35" s="18"/>
      <c r="P35" s="20">
        <v>17.0</v>
      </c>
      <c r="Q35" s="22">
        <v>46025.85971064815</v>
      </c>
      <c r="R35" s="15" t="s">
        <v>107</v>
      </c>
      <c r="S35" s="15" t="s">
        <v>109</v>
      </c>
      <c r="T35" s="15" t="s">
        <v>204</v>
      </c>
      <c r="U35" s="15" t="s">
        <v>367</v>
      </c>
      <c r="V35" s="15" t="s">
        <v>368</v>
      </c>
      <c r="W35" s="15" t="s">
        <v>369</v>
      </c>
      <c r="X35" s="51" t="s">
        <v>117</v>
      </c>
      <c r="Y35" s="15" t="s">
        <v>586</v>
      </c>
      <c r="Z35" s="15" t="s">
        <v>117</v>
      </c>
      <c r="AA35" s="18"/>
      <c r="AB35" s="15" t="s">
        <v>117</v>
      </c>
      <c r="AC35" s="15" t="s">
        <v>117</v>
      </c>
      <c r="AD35" s="18"/>
      <c r="AE35" s="15" t="s">
        <v>117</v>
      </c>
      <c r="AF35" s="18"/>
      <c r="AG35" s="15" t="s">
        <v>117</v>
      </c>
      <c r="AH35" s="18"/>
      <c r="AI35" s="15" t="s">
        <v>117</v>
      </c>
      <c r="AJ35" s="18"/>
      <c r="AK35" s="18"/>
      <c r="AL35" s="15" t="s">
        <v>141</v>
      </c>
      <c r="AM35" s="15" t="s">
        <v>240</v>
      </c>
      <c r="AN35" s="15" t="s">
        <v>242</v>
      </c>
      <c r="AO35" s="15" t="s">
        <v>138</v>
      </c>
      <c r="AP35" s="15"/>
    </row>
    <row r="36" ht="22.5" customHeight="1">
      <c r="A36" s="15" t="s">
        <v>605</v>
      </c>
      <c r="B36" s="15" t="s">
        <v>606</v>
      </c>
      <c r="C36" s="15" t="s">
        <v>607</v>
      </c>
      <c r="D36" s="41">
        <v>39870.0</v>
      </c>
      <c r="E36" s="15" t="s">
        <v>177</v>
      </c>
      <c r="F36" s="15">
        <v>5.636728152E9</v>
      </c>
      <c r="G36" s="15" t="s">
        <v>608</v>
      </c>
      <c r="H36" s="15" t="s">
        <v>140</v>
      </c>
      <c r="I36" s="23"/>
      <c r="J36" s="15" t="s">
        <v>610</v>
      </c>
      <c r="K36" s="15" t="s">
        <v>613</v>
      </c>
      <c r="L36" s="15">
        <v>5.531394312E9</v>
      </c>
      <c r="M36" s="18"/>
      <c r="N36" s="18"/>
      <c r="O36" s="18"/>
      <c r="P36" s="20">
        <v>17.0</v>
      </c>
      <c r="Q36" s="22">
        <v>46027.06466435185</v>
      </c>
      <c r="R36" s="15" t="s">
        <v>107</v>
      </c>
      <c r="S36" s="15" t="s">
        <v>109</v>
      </c>
      <c r="T36" s="15" t="s">
        <v>208</v>
      </c>
      <c r="U36" s="15" t="s">
        <v>228</v>
      </c>
      <c r="V36" s="15" t="s">
        <v>229</v>
      </c>
      <c r="W36" s="15" t="s">
        <v>230</v>
      </c>
      <c r="X36" s="51" t="s">
        <v>117</v>
      </c>
      <c r="Y36" s="18"/>
      <c r="Z36" s="15" t="s">
        <v>117</v>
      </c>
      <c r="AA36" s="18"/>
      <c r="AB36" s="15" t="s">
        <v>117</v>
      </c>
      <c r="AC36" s="18"/>
      <c r="AD36" s="18"/>
      <c r="AE36" s="15" t="s">
        <v>117</v>
      </c>
      <c r="AF36" s="18"/>
      <c r="AG36" s="15" t="s">
        <v>117</v>
      </c>
      <c r="AH36" s="18"/>
      <c r="AI36" s="15" t="s">
        <v>117</v>
      </c>
      <c r="AJ36" s="18"/>
      <c r="AK36" s="18"/>
      <c r="AL36" s="15" t="s">
        <v>141</v>
      </c>
      <c r="AM36" s="15" t="s">
        <v>138</v>
      </c>
      <c r="AN36" s="15" t="s">
        <v>185</v>
      </c>
      <c r="AO36" s="15" t="s">
        <v>156</v>
      </c>
      <c r="AP36" s="15"/>
    </row>
    <row r="37" ht="22.5" customHeight="1">
      <c r="A37" s="15" t="s">
        <v>623</v>
      </c>
      <c r="B37" s="15" t="s">
        <v>625</v>
      </c>
      <c r="C37" s="15" t="s">
        <v>627</v>
      </c>
      <c r="D37" s="41">
        <v>40642.0</v>
      </c>
      <c r="E37" s="15" t="s">
        <v>177</v>
      </c>
      <c r="F37" s="15">
        <v>5.564909632E9</v>
      </c>
      <c r="G37" s="15" t="s">
        <v>633</v>
      </c>
      <c r="H37" s="15" t="s">
        <v>140</v>
      </c>
      <c r="I37" s="23"/>
      <c r="J37" s="15" t="s">
        <v>636</v>
      </c>
      <c r="K37" s="15" t="s">
        <v>633</v>
      </c>
      <c r="L37" s="15">
        <v>5.560970646E9</v>
      </c>
      <c r="M37" s="18"/>
      <c r="N37" s="18"/>
      <c r="O37" s="18"/>
      <c r="P37" s="20">
        <v>14.0</v>
      </c>
      <c r="Q37" s="22">
        <v>46040.84354166667</v>
      </c>
      <c r="R37" s="15" t="s">
        <v>260</v>
      </c>
      <c r="S37" s="15" t="s">
        <v>109</v>
      </c>
      <c r="T37" s="15" t="s">
        <v>111</v>
      </c>
      <c r="U37" s="15" t="s">
        <v>407</v>
      </c>
      <c r="V37" s="15" t="s">
        <v>408</v>
      </c>
      <c r="W37" s="15" t="s">
        <v>409</v>
      </c>
      <c r="X37" s="51" t="s">
        <v>117</v>
      </c>
      <c r="Y37" s="18"/>
      <c r="Z37" s="15" t="s">
        <v>117</v>
      </c>
      <c r="AA37" s="18"/>
      <c r="AB37" s="15" t="s">
        <v>117</v>
      </c>
      <c r="AC37" s="15" t="s">
        <v>117</v>
      </c>
      <c r="AD37" s="18"/>
      <c r="AE37" s="15" t="s">
        <v>117</v>
      </c>
      <c r="AF37" s="18"/>
      <c r="AG37" s="15" t="s">
        <v>117</v>
      </c>
      <c r="AH37" s="18"/>
      <c r="AI37" s="15" t="s">
        <v>117</v>
      </c>
      <c r="AJ37" s="18"/>
      <c r="AK37" s="18"/>
      <c r="AL37" s="15" t="s">
        <v>128</v>
      </c>
      <c r="AM37" s="15" t="s">
        <v>138</v>
      </c>
      <c r="AN37" s="15" t="s">
        <v>242</v>
      </c>
      <c r="AO37" s="15" t="s">
        <v>156</v>
      </c>
      <c r="AP37" s="15"/>
    </row>
    <row r="38" ht="22.5" customHeight="1">
      <c r="A38" s="15" t="s">
        <v>730</v>
      </c>
      <c r="B38" s="15" t="s">
        <v>731</v>
      </c>
      <c r="C38" s="15" t="s">
        <v>732</v>
      </c>
      <c r="D38" s="41">
        <v>40176.0</v>
      </c>
      <c r="E38" s="15" t="s">
        <v>98</v>
      </c>
      <c r="F38" s="15">
        <v>5.517239803E9</v>
      </c>
      <c r="G38" s="15" t="s">
        <v>733</v>
      </c>
      <c r="H38" s="15" t="s">
        <v>382</v>
      </c>
      <c r="I38" s="18"/>
      <c r="J38" s="15" t="s">
        <v>734</v>
      </c>
      <c r="K38" s="15" t="s">
        <v>735</v>
      </c>
      <c r="L38" s="15">
        <v>5.626411034E9</v>
      </c>
      <c r="M38" s="18"/>
      <c r="N38" s="18"/>
      <c r="O38" s="18"/>
      <c r="P38" s="20">
        <v>16.0</v>
      </c>
      <c r="Q38" s="22">
        <v>46039.44241898148</v>
      </c>
      <c r="R38" s="15" t="s">
        <v>107</v>
      </c>
      <c r="S38" s="15" t="s">
        <v>109</v>
      </c>
      <c r="T38" s="15" t="s">
        <v>204</v>
      </c>
      <c r="U38" s="15" t="s">
        <v>295</v>
      </c>
      <c r="V38" s="15" t="s">
        <v>298</v>
      </c>
      <c r="W38" s="15" t="s">
        <v>299</v>
      </c>
      <c r="X38" s="51" t="s">
        <v>117</v>
      </c>
      <c r="Y38" s="18"/>
      <c r="Z38" s="15" t="s">
        <v>120</v>
      </c>
      <c r="AA38" s="18"/>
      <c r="AB38" s="15" t="s">
        <v>120</v>
      </c>
      <c r="AC38" s="18"/>
      <c r="AD38" s="18"/>
      <c r="AE38" s="15" t="s">
        <v>120</v>
      </c>
      <c r="AF38" s="18"/>
      <c r="AG38" s="15" t="s">
        <v>120</v>
      </c>
      <c r="AH38" s="18"/>
      <c r="AI38" s="15" t="s">
        <v>120</v>
      </c>
      <c r="AJ38" s="18"/>
      <c r="AK38" s="18"/>
      <c r="AL38" s="15" t="s">
        <v>129</v>
      </c>
      <c r="AM38" s="15" t="s">
        <v>156</v>
      </c>
      <c r="AN38" s="15" t="s">
        <v>216</v>
      </c>
      <c r="AO38" s="15" t="s">
        <v>124</v>
      </c>
      <c r="AP38" s="15"/>
    </row>
    <row r="39" ht="22.5" customHeight="1">
      <c r="A39" s="15" t="s">
        <v>660</v>
      </c>
      <c r="B39" s="15" t="s">
        <v>663</v>
      </c>
      <c r="C39" s="15" t="s">
        <v>665</v>
      </c>
      <c r="D39" s="41">
        <v>39569.0</v>
      </c>
      <c r="E39" s="15" t="s">
        <v>177</v>
      </c>
      <c r="F39" s="15">
        <v>5.512167565E9</v>
      </c>
      <c r="G39" s="15" t="s">
        <v>668</v>
      </c>
      <c r="H39" s="15" t="s">
        <v>150</v>
      </c>
      <c r="I39" s="23" t="s">
        <v>135</v>
      </c>
      <c r="J39" s="15" t="s">
        <v>669</v>
      </c>
      <c r="K39" s="15" t="s">
        <v>670</v>
      </c>
      <c r="L39" s="15">
        <v>5.523287678E9</v>
      </c>
      <c r="M39" s="18"/>
      <c r="N39" s="18"/>
      <c r="O39" s="18"/>
      <c r="P39" s="20">
        <v>17.0</v>
      </c>
      <c r="Q39" s="22">
        <v>46024.72972222222</v>
      </c>
      <c r="R39" s="15" t="s">
        <v>107</v>
      </c>
      <c r="S39" s="15" t="s">
        <v>109</v>
      </c>
      <c r="T39" s="15" t="s">
        <v>127</v>
      </c>
      <c r="U39" s="15" t="s">
        <v>672</v>
      </c>
      <c r="V39" s="15" t="s">
        <v>673</v>
      </c>
      <c r="W39" s="15" t="s">
        <v>674</v>
      </c>
      <c r="X39" s="51" t="s">
        <v>117</v>
      </c>
      <c r="Y39" s="18"/>
      <c r="Z39" s="15" t="s">
        <v>117</v>
      </c>
      <c r="AA39" s="18"/>
      <c r="AB39" s="15" t="s">
        <v>117</v>
      </c>
      <c r="AC39" s="15" t="s">
        <v>117</v>
      </c>
      <c r="AD39" s="18"/>
      <c r="AE39" s="15" t="s">
        <v>117</v>
      </c>
      <c r="AF39" s="18"/>
      <c r="AG39" s="15" t="s">
        <v>117</v>
      </c>
      <c r="AH39" s="18"/>
      <c r="AI39" s="15" t="s">
        <v>117</v>
      </c>
      <c r="AJ39" s="18"/>
      <c r="AK39" s="18"/>
      <c r="AL39" s="15" t="s">
        <v>129</v>
      </c>
      <c r="AM39" s="15" t="s">
        <v>129</v>
      </c>
      <c r="AN39" s="15" t="s">
        <v>138</v>
      </c>
      <c r="AO39" s="15" t="s">
        <v>156</v>
      </c>
      <c r="AP39" s="15"/>
    </row>
    <row r="40" ht="22.5" customHeight="1">
      <c r="A40" s="15" t="s">
        <v>685</v>
      </c>
      <c r="B40" s="15" t="s">
        <v>687</v>
      </c>
      <c r="C40" s="15" t="s">
        <v>688</v>
      </c>
      <c r="D40" s="41">
        <v>41035.0</v>
      </c>
      <c r="E40" s="15" t="s">
        <v>98</v>
      </c>
      <c r="F40" s="15" t="s">
        <v>692</v>
      </c>
      <c r="G40" s="15" t="s">
        <v>694</v>
      </c>
      <c r="H40" s="15" t="s">
        <v>140</v>
      </c>
      <c r="I40" s="18"/>
      <c r="J40" s="15" t="s">
        <v>695</v>
      </c>
      <c r="K40" s="15" t="s">
        <v>694</v>
      </c>
      <c r="L40" s="15">
        <v>5.572462114E9</v>
      </c>
      <c r="M40" s="18"/>
      <c r="N40" s="18"/>
      <c r="O40" s="18"/>
      <c r="P40" s="20">
        <v>13.0</v>
      </c>
      <c r="Q40" s="22">
        <v>46021.86675925926</v>
      </c>
      <c r="R40" s="15" t="s">
        <v>107</v>
      </c>
      <c r="S40" s="15" t="s">
        <v>109</v>
      </c>
      <c r="T40" s="15" t="s">
        <v>204</v>
      </c>
      <c r="U40" s="15" t="s">
        <v>699</v>
      </c>
      <c r="V40" s="15" t="s">
        <v>700</v>
      </c>
      <c r="W40" s="15" t="s">
        <v>702</v>
      </c>
      <c r="X40" s="51" t="s">
        <v>117</v>
      </c>
      <c r="Y40" s="18"/>
      <c r="Z40" s="15" t="s">
        <v>117</v>
      </c>
      <c r="AA40" s="18"/>
      <c r="AB40" s="15" t="s">
        <v>117</v>
      </c>
      <c r="AC40" s="18"/>
      <c r="AD40" s="18"/>
      <c r="AE40" s="15" t="s">
        <v>117</v>
      </c>
      <c r="AF40" s="18"/>
      <c r="AG40" s="15" t="s">
        <v>117</v>
      </c>
      <c r="AH40" s="18"/>
      <c r="AI40" s="15" t="s">
        <v>117</v>
      </c>
      <c r="AJ40" s="18"/>
      <c r="AK40" s="18"/>
      <c r="AL40" s="15" t="s">
        <v>141</v>
      </c>
      <c r="AM40" s="15" t="s">
        <v>141</v>
      </c>
      <c r="AN40" s="15" t="s">
        <v>141</v>
      </c>
      <c r="AO40" s="15" t="s">
        <v>141</v>
      </c>
      <c r="AP40" s="15"/>
    </row>
    <row r="41" ht="22.5" customHeight="1">
      <c r="A41" s="15" t="s">
        <v>710</v>
      </c>
      <c r="B41" s="15" t="s">
        <v>712</v>
      </c>
      <c r="C41" s="15" t="s">
        <v>714</v>
      </c>
      <c r="D41" s="41">
        <v>39980.0</v>
      </c>
      <c r="E41" s="15" t="s">
        <v>98</v>
      </c>
      <c r="F41" s="15" t="s">
        <v>715</v>
      </c>
      <c r="G41" s="15" t="s">
        <v>716</v>
      </c>
      <c r="H41" s="15" t="s">
        <v>140</v>
      </c>
      <c r="I41" s="18"/>
      <c r="J41" s="15" t="s">
        <v>717</v>
      </c>
      <c r="K41" s="15" t="s">
        <v>716</v>
      </c>
      <c r="L41" s="15">
        <v>5.513813704E9</v>
      </c>
      <c r="M41" s="18"/>
      <c r="N41" s="18"/>
      <c r="O41" s="18"/>
      <c r="P41" s="20">
        <v>16.0</v>
      </c>
      <c r="Q41" s="22">
        <v>46040.44840277778</v>
      </c>
      <c r="R41" s="15" t="s">
        <v>107</v>
      </c>
      <c r="S41" s="15" t="s">
        <v>109</v>
      </c>
      <c r="T41" s="15" t="s">
        <v>192</v>
      </c>
      <c r="U41" s="15" t="s">
        <v>485</v>
      </c>
      <c r="V41" s="15" t="s">
        <v>486</v>
      </c>
      <c r="W41" s="15" t="s">
        <v>487</v>
      </c>
      <c r="X41" s="51" t="s">
        <v>117</v>
      </c>
      <c r="Y41" s="18"/>
      <c r="Z41" s="15" t="s">
        <v>117</v>
      </c>
      <c r="AA41" s="18"/>
      <c r="AB41" s="15" t="s">
        <v>117</v>
      </c>
      <c r="AC41" s="18"/>
      <c r="AD41" s="18"/>
      <c r="AE41" s="15" t="s">
        <v>117</v>
      </c>
      <c r="AF41" s="18"/>
      <c r="AG41" s="15" t="s">
        <v>117</v>
      </c>
      <c r="AH41" s="18"/>
      <c r="AI41" s="15" t="s">
        <v>117</v>
      </c>
      <c r="AJ41" s="18"/>
      <c r="AK41" s="18"/>
      <c r="AL41" s="15" t="s">
        <v>129</v>
      </c>
      <c r="AM41" s="15" t="s">
        <v>141</v>
      </c>
      <c r="AN41" s="15" t="s">
        <v>240</v>
      </c>
      <c r="AO41" s="15" t="s">
        <v>128</v>
      </c>
      <c r="AP41" s="15"/>
    </row>
    <row r="42" ht="22.5" customHeight="1">
      <c r="A42" s="15" t="s">
        <v>779</v>
      </c>
      <c r="B42" s="15" t="s">
        <v>780</v>
      </c>
      <c r="C42" s="15" t="s">
        <v>781</v>
      </c>
      <c r="D42" s="41">
        <v>39568.0</v>
      </c>
      <c r="E42" s="15" t="s">
        <v>98</v>
      </c>
      <c r="F42" s="15">
        <v>5.631704808E9</v>
      </c>
      <c r="G42" s="15" t="s">
        <v>782</v>
      </c>
      <c r="H42" s="15" t="s">
        <v>101</v>
      </c>
      <c r="I42" s="23" t="s">
        <v>783</v>
      </c>
      <c r="J42" s="15" t="s">
        <v>784</v>
      </c>
      <c r="K42" s="15" t="s">
        <v>785</v>
      </c>
      <c r="L42" s="15">
        <v>5.64149485E9</v>
      </c>
      <c r="M42" s="15" t="s">
        <v>786</v>
      </c>
      <c r="N42" s="15" t="s">
        <v>787</v>
      </c>
      <c r="O42" s="15">
        <v>5.645773992E9</v>
      </c>
      <c r="P42" s="20">
        <v>17.0</v>
      </c>
      <c r="Q42" s="22">
        <v>46026.463587962964</v>
      </c>
      <c r="R42" s="15" t="s">
        <v>107</v>
      </c>
      <c r="S42" s="15" t="s">
        <v>109</v>
      </c>
      <c r="T42" s="15" t="s">
        <v>208</v>
      </c>
      <c r="U42" s="15" t="s">
        <v>788</v>
      </c>
      <c r="V42" s="15" t="s">
        <v>789</v>
      </c>
      <c r="W42" s="15" t="s">
        <v>790</v>
      </c>
      <c r="X42" s="51" t="s">
        <v>117</v>
      </c>
      <c r="Y42" s="52" t="s">
        <v>791</v>
      </c>
      <c r="Z42" s="15" t="s">
        <v>117</v>
      </c>
      <c r="AA42" s="23" t="s">
        <v>792</v>
      </c>
      <c r="AB42" s="15" t="s">
        <v>120</v>
      </c>
      <c r="AC42" s="15" t="s">
        <v>120</v>
      </c>
      <c r="AD42" s="18"/>
      <c r="AE42" s="15" t="s">
        <v>120</v>
      </c>
      <c r="AF42" s="18"/>
      <c r="AG42" s="15" t="s">
        <v>120</v>
      </c>
      <c r="AH42" s="18"/>
      <c r="AI42" s="15" t="s">
        <v>120</v>
      </c>
      <c r="AJ42" s="18"/>
      <c r="AK42" s="18"/>
      <c r="AL42" s="15" t="s">
        <v>242</v>
      </c>
      <c r="AM42" s="15" t="s">
        <v>156</v>
      </c>
      <c r="AN42" s="15" t="s">
        <v>126</v>
      </c>
      <c r="AO42" s="15" t="s">
        <v>185</v>
      </c>
      <c r="AP42" s="15"/>
    </row>
    <row r="43" ht="22.5" customHeight="1">
      <c r="A43" s="15" t="s">
        <v>724</v>
      </c>
      <c r="B43" s="15" t="s">
        <v>725</v>
      </c>
      <c r="C43" s="15" t="s">
        <v>726</v>
      </c>
      <c r="D43" s="41">
        <v>39961.0</v>
      </c>
      <c r="E43" s="15" t="s">
        <v>98</v>
      </c>
      <c r="F43" s="15">
        <v>5.514909252E9</v>
      </c>
      <c r="G43" s="15" t="s">
        <v>727</v>
      </c>
      <c r="H43" s="15" t="s">
        <v>140</v>
      </c>
      <c r="I43" s="18"/>
      <c r="J43" s="15" t="s">
        <v>728</v>
      </c>
      <c r="K43" s="15" t="s">
        <v>729</v>
      </c>
      <c r="L43" s="15">
        <v>5.514909252E9</v>
      </c>
      <c r="M43" s="18"/>
      <c r="N43" s="18"/>
      <c r="O43" s="18"/>
      <c r="P43" s="20">
        <v>16.0</v>
      </c>
      <c r="Q43" s="22">
        <v>46038.79127314815</v>
      </c>
      <c r="R43" s="15" t="s">
        <v>107</v>
      </c>
      <c r="S43" s="15" t="s">
        <v>109</v>
      </c>
      <c r="T43" s="15" t="s">
        <v>111</v>
      </c>
      <c r="U43" s="15" t="s">
        <v>407</v>
      </c>
      <c r="V43" s="15" t="s">
        <v>408</v>
      </c>
      <c r="W43" s="15" t="s">
        <v>409</v>
      </c>
      <c r="X43" s="51" t="s">
        <v>117</v>
      </c>
      <c r="Y43" s="18"/>
      <c r="Z43" s="15" t="s">
        <v>117</v>
      </c>
      <c r="AA43" s="18"/>
      <c r="AB43" s="15" t="s">
        <v>117</v>
      </c>
      <c r="AC43" s="15" t="s">
        <v>117</v>
      </c>
      <c r="AD43" s="18"/>
      <c r="AE43" s="15" t="s">
        <v>117</v>
      </c>
      <c r="AF43" s="18"/>
      <c r="AG43" s="15" t="s">
        <v>117</v>
      </c>
      <c r="AH43" s="18"/>
      <c r="AI43" s="15" t="s">
        <v>117</v>
      </c>
      <c r="AJ43" s="18"/>
      <c r="AK43" s="18"/>
      <c r="AL43" s="15" t="s">
        <v>141</v>
      </c>
      <c r="AM43" s="15" t="s">
        <v>242</v>
      </c>
      <c r="AN43" s="15" t="s">
        <v>128</v>
      </c>
      <c r="AO43" s="15" t="s">
        <v>138</v>
      </c>
      <c r="AP43" s="15"/>
    </row>
    <row r="44" ht="22.5" customHeight="1">
      <c r="A44" s="15" t="s">
        <v>744</v>
      </c>
      <c r="B44" s="15" t="s">
        <v>746</v>
      </c>
      <c r="C44" s="15" t="s">
        <v>747</v>
      </c>
      <c r="D44" s="41">
        <v>40295.0</v>
      </c>
      <c r="E44" s="15" t="s">
        <v>177</v>
      </c>
      <c r="F44" s="15">
        <v>5.575353004E9</v>
      </c>
      <c r="G44" s="15" t="s">
        <v>748</v>
      </c>
      <c r="H44" s="15" t="s">
        <v>101</v>
      </c>
      <c r="I44" s="18"/>
      <c r="J44" s="15" t="s">
        <v>752</v>
      </c>
      <c r="K44" s="15" t="s">
        <v>748</v>
      </c>
      <c r="L44" s="15">
        <v>5.510969087E9</v>
      </c>
      <c r="M44" s="18"/>
      <c r="N44" s="18"/>
      <c r="O44" s="18"/>
      <c r="P44" s="20">
        <v>15.0</v>
      </c>
      <c r="Q44" s="22">
        <v>46040.768958333334</v>
      </c>
      <c r="R44" s="15" t="s">
        <v>107</v>
      </c>
      <c r="S44" s="15" t="s">
        <v>109</v>
      </c>
      <c r="T44" s="15" t="s">
        <v>111</v>
      </c>
      <c r="U44" s="15" t="s">
        <v>407</v>
      </c>
      <c r="V44" s="15" t="s">
        <v>408</v>
      </c>
      <c r="W44" s="15" t="s">
        <v>409</v>
      </c>
      <c r="X44" s="51" t="s">
        <v>117</v>
      </c>
      <c r="Y44" s="18"/>
      <c r="Z44" s="15" t="s">
        <v>117</v>
      </c>
      <c r="AA44" s="18"/>
      <c r="AB44" s="15" t="s">
        <v>117</v>
      </c>
      <c r="AC44" s="15" t="s">
        <v>117</v>
      </c>
      <c r="AD44" s="18"/>
      <c r="AE44" s="15" t="s">
        <v>117</v>
      </c>
      <c r="AF44" s="18"/>
      <c r="AG44" s="15" t="s">
        <v>117</v>
      </c>
      <c r="AH44" s="18"/>
      <c r="AI44" s="15" t="s">
        <v>117</v>
      </c>
      <c r="AJ44" s="18"/>
      <c r="AK44" s="18"/>
      <c r="AL44" s="15" t="s">
        <v>242</v>
      </c>
      <c r="AM44" s="15" t="s">
        <v>128</v>
      </c>
      <c r="AN44" s="15" t="s">
        <v>138</v>
      </c>
      <c r="AO44" s="15" t="s">
        <v>128</v>
      </c>
      <c r="AP44" s="15"/>
    </row>
    <row r="45" ht="22.5" customHeight="1">
      <c r="A45" s="15" t="s">
        <v>760</v>
      </c>
      <c r="B45" s="15" t="s">
        <v>762</v>
      </c>
      <c r="C45" s="15" t="s">
        <v>763</v>
      </c>
      <c r="D45" s="41">
        <v>40719.0</v>
      </c>
      <c r="E45" s="15" t="s">
        <v>98</v>
      </c>
      <c r="F45" s="15">
        <v>5.534749703E9</v>
      </c>
      <c r="G45" s="15" t="s">
        <v>764</v>
      </c>
      <c r="H45" s="15" t="s">
        <v>140</v>
      </c>
      <c r="I45" s="18"/>
      <c r="J45" s="15" t="s">
        <v>765</v>
      </c>
      <c r="K45" s="15" t="s">
        <v>764</v>
      </c>
      <c r="L45" s="15">
        <v>5.581061672E9</v>
      </c>
      <c r="M45" s="18"/>
      <c r="N45" s="18"/>
      <c r="O45" s="18"/>
      <c r="P45" s="20">
        <v>14.0</v>
      </c>
      <c r="Q45" s="22">
        <v>46040.77322916667</v>
      </c>
      <c r="R45" s="15" t="s">
        <v>107</v>
      </c>
      <c r="S45" s="15" t="s">
        <v>109</v>
      </c>
      <c r="T45" s="15" t="s">
        <v>111</v>
      </c>
      <c r="U45" s="15" t="s">
        <v>407</v>
      </c>
      <c r="V45" s="15" t="s">
        <v>408</v>
      </c>
      <c r="W45" s="15" t="s">
        <v>409</v>
      </c>
      <c r="X45" s="51" t="s">
        <v>117</v>
      </c>
      <c r="Y45" s="18"/>
      <c r="Z45" s="15" t="s">
        <v>117</v>
      </c>
      <c r="AA45" s="18"/>
      <c r="AB45" s="15" t="s">
        <v>117</v>
      </c>
      <c r="AC45" s="15" t="s">
        <v>117</v>
      </c>
      <c r="AD45" s="18"/>
      <c r="AE45" s="15" t="s">
        <v>117</v>
      </c>
      <c r="AF45" s="18"/>
      <c r="AG45" s="15" t="s">
        <v>117</v>
      </c>
      <c r="AH45" s="18"/>
      <c r="AI45" s="15" t="s">
        <v>117</v>
      </c>
      <c r="AJ45" s="18"/>
      <c r="AK45" s="18"/>
      <c r="AL45" s="15" t="s">
        <v>128</v>
      </c>
      <c r="AM45" s="15" t="s">
        <v>156</v>
      </c>
      <c r="AN45" s="15" t="s">
        <v>138</v>
      </c>
      <c r="AO45" s="15" t="s">
        <v>242</v>
      </c>
      <c r="AP45" s="15"/>
    </row>
    <row r="46" ht="22.5" customHeight="1">
      <c r="A46" s="15" t="s">
        <v>772</v>
      </c>
      <c r="B46" s="15" t="s">
        <v>774</v>
      </c>
      <c r="C46" s="15" t="s">
        <v>775</v>
      </c>
      <c r="D46" s="41">
        <v>39823.0</v>
      </c>
      <c r="E46" s="15" t="s">
        <v>98</v>
      </c>
      <c r="F46" s="15">
        <v>5.543873856E9</v>
      </c>
      <c r="G46" s="15" t="s">
        <v>777</v>
      </c>
      <c r="H46" s="15" t="s">
        <v>140</v>
      </c>
      <c r="I46" s="18"/>
      <c r="J46" s="15" t="s">
        <v>778</v>
      </c>
      <c r="K46" s="15" t="s">
        <v>408</v>
      </c>
      <c r="L46" s="15">
        <v>5.584756348E9</v>
      </c>
      <c r="M46" s="18"/>
      <c r="N46" s="18"/>
      <c r="O46" s="18"/>
      <c r="P46" s="20">
        <v>17.0</v>
      </c>
      <c r="Q46" s="22">
        <v>46038.765625</v>
      </c>
      <c r="R46" s="15" t="s">
        <v>107</v>
      </c>
      <c r="S46" s="15" t="s">
        <v>109</v>
      </c>
      <c r="T46" s="15" t="s">
        <v>111</v>
      </c>
      <c r="U46" s="15" t="s">
        <v>407</v>
      </c>
      <c r="V46" s="15" t="s">
        <v>408</v>
      </c>
      <c r="W46" s="15" t="s">
        <v>409</v>
      </c>
      <c r="X46" s="51" t="s">
        <v>117</v>
      </c>
      <c r="Y46" s="18"/>
      <c r="Z46" s="15" t="s">
        <v>117</v>
      </c>
      <c r="AA46" s="18"/>
      <c r="AB46" s="15" t="s">
        <v>117</v>
      </c>
      <c r="AC46" s="15" t="s">
        <v>117</v>
      </c>
      <c r="AD46" s="18"/>
      <c r="AE46" s="15" t="s">
        <v>117</v>
      </c>
      <c r="AF46" s="18"/>
      <c r="AG46" s="15" t="s">
        <v>117</v>
      </c>
      <c r="AH46" s="18"/>
      <c r="AI46" s="15" t="s">
        <v>117</v>
      </c>
      <c r="AJ46" s="18"/>
      <c r="AK46" s="18"/>
      <c r="AL46" s="15" t="s">
        <v>138</v>
      </c>
      <c r="AM46" s="15" t="s">
        <v>124</v>
      </c>
      <c r="AN46" s="15" t="s">
        <v>128</v>
      </c>
      <c r="AO46" s="15" t="s">
        <v>242</v>
      </c>
      <c r="AP46" s="15"/>
    </row>
    <row r="47" ht="22.5" customHeight="1">
      <c r="A47" s="15" t="s">
        <v>796</v>
      </c>
      <c r="B47" s="15" t="s">
        <v>798</v>
      </c>
      <c r="C47" s="15" t="s">
        <v>799</v>
      </c>
      <c r="D47" s="41">
        <v>40287.0</v>
      </c>
      <c r="E47" s="15" t="s">
        <v>98</v>
      </c>
      <c r="F47" s="18">
        <f>+525572335626</f>
        <v>525572335626</v>
      </c>
      <c r="G47" s="15" t="s">
        <v>802</v>
      </c>
      <c r="H47" s="15" t="s">
        <v>101</v>
      </c>
      <c r="I47" s="18"/>
      <c r="J47" s="15" t="s">
        <v>803</v>
      </c>
      <c r="K47" s="15" t="s">
        <v>804</v>
      </c>
      <c r="L47" s="15">
        <v>5.568062583E9</v>
      </c>
      <c r="M47" s="18"/>
      <c r="N47" s="18"/>
      <c r="O47" s="18"/>
      <c r="P47" s="20">
        <v>15.0</v>
      </c>
      <c r="Q47" s="22">
        <v>46034.365648148145</v>
      </c>
      <c r="R47" s="15" t="s">
        <v>107</v>
      </c>
      <c r="S47" s="15" t="s">
        <v>109</v>
      </c>
      <c r="T47" s="15" t="s">
        <v>111</v>
      </c>
      <c r="U47" s="15" t="s">
        <v>112</v>
      </c>
      <c r="V47" s="15" t="s">
        <v>114</v>
      </c>
      <c r="W47" s="15" t="s">
        <v>115</v>
      </c>
      <c r="X47" s="51" t="s">
        <v>117</v>
      </c>
      <c r="Y47" s="15" t="s">
        <v>808</v>
      </c>
      <c r="Z47" s="15" t="s">
        <v>117</v>
      </c>
      <c r="AA47" s="15" t="s">
        <v>808</v>
      </c>
      <c r="AB47" s="15" t="s">
        <v>117</v>
      </c>
      <c r="AC47" s="15" t="s">
        <v>117</v>
      </c>
      <c r="AD47" s="15" t="s">
        <v>808</v>
      </c>
      <c r="AE47" s="15" t="s">
        <v>117</v>
      </c>
      <c r="AF47" s="15" t="s">
        <v>808</v>
      </c>
      <c r="AG47" s="15" t="s">
        <v>117</v>
      </c>
      <c r="AH47" s="15" t="s">
        <v>808</v>
      </c>
      <c r="AI47" s="15" t="s">
        <v>117</v>
      </c>
      <c r="AJ47" s="15" t="s">
        <v>808</v>
      </c>
      <c r="AK47" s="15" t="s">
        <v>808</v>
      </c>
      <c r="AL47" s="15" t="s">
        <v>138</v>
      </c>
      <c r="AM47" s="15" t="s">
        <v>141</v>
      </c>
      <c r="AN47" s="15" t="s">
        <v>156</v>
      </c>
      <c r="AO47" s="15" t="s">
        <v>124</v>
      </c>
      <c r="AP47" s="15"/>
    </row>
    <row r="48" ht="22.5" customHeight="1">
      <c r="A48" s="15" t="s">
        <v>815</v>
      </c>
      <c r="B48" s="15" t="s">
        <v>816</v>
      </c>
      <c r="C48" s="15" t="s">
        <v>817</v>
      </c>
      <c r="D48" s="41">
        <v>39582.0</v>
      </c>
      <c r="E48" s="15" t="s">
        <v>177</v>
      </c>
      <c r="F48" s="15">
        <v>5.516520403E9</v>
      </c>
      <c r="G48" s="15" t="s">
        <v>818</v>
      </c>
      <c r="H48" s="15" t="s">
        <v>110</v>
      </c>
      <c r="I48" s="23" t="s">
        <v>820</v>
      </c>
      <c r="J48" s="15" t="s">
        <v>822</v>
      </c>
      <c r="K48" s="15" t="s">
        <v>824</v>
      </c>
      <c r="L48" s="15">
        <v>5.621400748E9</v>
      </c>
      <c r="M48" s="18"/>
      <c r="N48" s="18"/>
      <c r="O48" s="18"/>
      <c r="P48" s="20">
        <v>17.0</v>
      </c>
      <c r="Q48" s="22">
        <v>46020.814722222225</v>
      </c>
      <c r="R48" s="15" t="s">
        <v>107</v>
      </c>
      <c r="S48" s="15" t="s">
        <v>109</v>
      </c>
      <c r="T48" s="15" t="s">
        <v>204</v>
      </c>
      <c r="U48" s="15" t="s">
        <v>311</v>
      </c>
      <c r="V48" s="15" t="s">
        <v>312</v>
      </c>
      <c r="W48" s="15" t="s">
        <v>313</v>
      </c>
      <c r="X48" s="51" t="s">
        <v>117</v>
      </c>
      <c r="Y48" s="15" t="s">
        <v>808</v>
      </c>
      <c r="Z48" s="15" t="s">
        <v>117</v>
      </c>
      <c r="AA48" s="15" t="s">
        <v>808</v>
      </c>
      <c r="AB48" s="15" t="s">
        <v>117</v>
      </c>
      <c r="AC48" s="15" t="s">
        <v>117</v>
      </c>
      <c r="AD48" s="15" t="s">
        <v>808</v>
      </c>
      <c r="AE48" s="15" t="s">
        <v>117</v>
      </c>
      <c r="AF48" s="15" t="s">
        <v>808</v>
      </c>
      <c r="AG48" s="15" t="s">
        <v>117</v>
      </c>
      <c r="AH48" s="15" t="s">
        <v>808</v>
      </c>
      <c r="AI48" s="15" t="s">
        <v>117</v>
      </c>
      <c r="AJ48" s="15" t="s">
        <v>808</v>
      </c>
      <c r="AK48" s="15" t="s">
        <v>808</v>
      </c>
      <c r="AL48" s="15" t="s">
        <v>138</v>
      </c>
      <c r="AM48" s="15" t="s">
        <v>141</v>
      </c>
      <c r="AN48" s="15" t="s">
        <v>242</v>
      </c>
      <c r="AO48" s="15" t="s">
        <v>216</v>
      </c>
      <c r="AP48" s="15"/>
    </row>
    <row r="49" ht="22.5" customHeight="1">
      <c r="A49" s="15" t="s">
        <v>835</v>
      </c>
      <c r="B49" s="15" t="s">
        <v>836</v>
      </c>
      <c r="C49" s="15" t="s">
        <v>837</v>
      </c>
      <c r="D49" s="41">
        <v>40675.0</v>
      </c>
      <c r="E49" s="15" t="s">
        <v>98</v>
      </c>
      <c r="F49" s="15">
        <v>5.65128028E9</v>
      </c>
      <c r="G49" s="15" t="s">
        <v>838</v>
      </c>
      <c r="H49" s="15" t="s">
        <v>101</v>
      </c>
      <c r="I49" s="18"/>
      <c r="J49" s="15" t="s">
        <v>839</v>
      </c>
      <c r="K49" s="15" t="s">
        <v>840</v>
      </c>
      <c r="L49" s="15">
        <v>5.613774776E9</v>
      </c>
      <c r="M49" s="15" t="s">
        <v>841</v>
      </c>
      <c r="N49" s="15" t="s">
        <v>842</v>
      </c>
      <c r="O49" s="15">
        <v>5.533488246E9</v>
      </c>
      <c r="P49" s="20">
        <v>14.0</v>
      </c>
      <c r="Q49" s="22">
        <v>46033.867418981485</v>
      </c>
      <c r="R49" s="15" t="s">
        <v>107</v>
      </c>
      <c r="S49" s="15" t="s">
        <v>109</v>
      </c>
      <c r="T49" s="15" t="s">
        <v>192</v>
      </c>
      <c r="U49" s="15" t="s">
        <v>195</v>
      </c>
      <c r="V49" s="15" t="s">
        <v>198</v>
      </c>
      <c r="W49" s="15" t="s">
        <v>200</v>
      </c>
      <c r="X49" s="51" t="s">
        <v>117</v>
      </c>
      <c r="Y49" s="18"/>
      <c r="Z49" s="15" t="s">
        <v>117</v>
      </c>
      <c r="AA49" s="18"/>
      <c r="AB49" s="15" t="s">
        <v>117</v>
      </c>
      <c r="AC49" s="18"/>
      <c r="AD49" s="18"/>
      <c r="AE49" s="15" t="s">
        <v>117</v>
      </c>
      <c r="AF49" s="18"/>
      <c r="AG49" s="15" t="s">
        <v>117</v>
      </c>
      <c r="AH49" s="18"/>
      <c r="AI49" s="15" t="s">
        <v>120</v>
      </c>
      <c r="AJ49" s="18"/>
      <c r="AK49" s="18"/>
      <c r="AL49" s="15" t="s">
        <v>129</v>
      </c>
      <c r="AM49" s="15" t="s">
        <v>138</v>
      </c>
      <c r="AN49" s="15" t="s">
        <v>156</v>
      </c>
      <c r="AO49" s="15" t="s">
        <v>185</v>
      </c>
      <c r="AP49" s="15"/>
    </row>
    <row r="50" ht="22.5" customHeight="1">
      <c r="A50" s="15" t="s">
        <v>881</v>
      </c>
      <c r="B50" s="15" t="s">
        <v>883</v>
      </c>
      <c r="C50" s="15" t="s">
        <v>884</v>
      </c>
      <c r="D50" s="41">
        <v>40330.0</v>
      </c>
      <c r="E50" s="15" t="s">
        <v>177</v>
      </c>
      <c r="F50" s="15">
        <v>5.511398234E9</v>
      </c>
      <c r="G50" s="15" t="s">
        <v>885</v>
      </c>
      <c r="H50" s="15" t="s">
        <v>140</v>
      </c>
      <c r="I50" s="23" t="s">
        <v>887</v>
      </c>
      <c r="J50" s="15" t="s">
        <v>888</v>
      </c>
      <c r="K50" s="15" t="s">
        <v>889</v>
      </c>
      <c r="L50" s="15">
        <v>5.535144096E9</v>
      </c>
      <c r="M50" s="18"/>
      <c r="N50" s="18"/>
      <c r="O50" s="18"/>
      <c r="P50" s="20">
        <v>15.0</v>
      </c>
      <c r="Q50" s="22">
        <v>46019.84142361111</v>
      </c>
      <c r="R50" s="15" t="s">
        <v>107</v>
      </c>
      <c r="S50" s="15" t="s">
        <v>109</v>
      </c>
      <c r="T50" s="15" t="s">
        <v>208</v>
      </c>
      <c r="U50" s="15" t="s">
        <v>228</v>
      </c>
      <c r="V50" s="15" t="s">
        <v>229</v>
      </c>
      <c r="W50" s="15" t="s">
        <v>230</v>
      </c>
      <c r="X50" s="51" t="s">
        <v>117</v>
      </c>
      <c r="Y50" s="15">
        <v>6.0</v>
      </c>
      <c r="Z50" s="15" t="s">
        <v>120</v>
      </c>
      <c r="AA50" s="18"/>
      <c r="AB50" s="15" t="s">
        <v>120</v>
      </c>
      <c r="AC50" s="15" t="s">
        <v>117</v>
      </c>
      <c r="AD50" s="18"/>
      <c r="AE50" s="15" t="s">
        <v>120</v>
      </c>
      <c r="AF50" s="18"/>
      <c r="AG50" s="15" t="s">
        <v>120</v>
      </c>
      <c r="AH50" s="18"/>
      <c r="AI50" s="15" t="s">
        <v>120</v>
      </c>
      <c r="AJ50" s="18"/>
      <c r="AK50" s="18"/>
      <c r="AL50" s="15" t="s">
        <v>126</v>
      </c>
      <c r="AM50" s="15" t="s">
        <v>124</v>
      </c>
      <c r="AN50" s="15" t="s">
        <v>128</v>
      </c>
      <c r="AO50" s="15" t="s">
        <v>138</v>
      </c>
      <c r="AP50" s="15"/>
    </row>
    <row r="51" ht="22.5" customHeight="1">
      <c r="A51" s="15" t="s">
        <v>851</v>
      </c>
      <c r="B51" s="15" t="s">
        <v>852</v>
      </c>
      <c r="C51" s="15" t="s">
        <v>853</v>
      </c>
      <c r="D51" s="41">
        <v>40776.0</v>
      </c>
      <c r="E51" s="15" t="s">
        <v>98</v>
      </c>
      <c r="F51" s="15" t="s">
        <v>854</v>
      </c>
      <c r="G51" s="15" t="s">
        <v>855</v>
      </c>
      <c r="H51" s="15" t="s">
        <v>101</v>
      </c>
      <c r="I51" s="23" t="s">
        <v>856</v>
      </c>
      <c r="J51" s="15" t="s">
        <v>857</v>
      </c>
      <c r="K51" s="15" t="s">
        <v>858</v>
      </c>
      <c r="L51" s="15">
        <v>5.514041685E9</v>
      </c>
      <c r="M51" s="15" t="s">
        <v>859</v>
      </c>
      <c r="N51" s="15" t="s">
        <v>860</v>
      </c>
      <c r="O51" s="15">
        <v>5.564816934E9</v>
      </c>
      <c r="P51" s="20">
        <v>14.0</v>
      </c>
      <c r="Q51" s="22">
        <v>46032.94395833334</v>
      </c>
      <c r="R51" s="15" t="s">
        <v>107</v>
      </c>
      <c r="S51" s="15" t="s">
        <v>109</v>
      </c>
      <c r="T51" s="15" t="s">
        <v>127</v>
      </c>
      <c r="U51" s="15" t="s">
        <v>234</v>
      </c>
      <c r="V51" s="15" t="s">
        <v>227</v>
      </c>
      <c r="W51" s="15" t="s">
        <v>236</v>
      </c>
      <c r="X51" s="51" t="s">
        <v>117</v>
      </c>
      <c r="Y51" s="18"/>
      <c r="Z51" s="15" t="s">
        <v>117</v>
      </c>
      <c r="AA51" s="18"/>
      <c r="AB51" s="15" t="s">
        <v>117</v>
      </c>
      <c r="AC51" s="15" t="s">
        <v>117</v>
      </c>
      <c r="AD51" s="18"/>
      <c r="AE51" s="15" t="s">
        <v>117</v>
      </c>
      <c r="AF51" s="18"/>
      <c r="AG51" s="15" t="s">
        <v>117</v>
      </c>
      <c r="AH51" s="18"/>
      <c r="AI51" s="15" t="s">
        <v>117</v>
      </c>
      <c r="AJ51" s="18"/>
      <c r="AK51" s="18"/>
      <c r="AL51" s="15" t="s">
        <v>141</v>
      </c>
      <c r="AM51" s="15" t="s">
        <v>138</v>
      </c>
      <c r="AN51" s="15" t="s">
        <v>128</v>
      </c>
      <c r="AO51" s="15" t="s">
        <v>242</v>
      </c>
      <c r="AP51" s="15"/>
    </row>
    <row r="52" ht="22.5" customHeight="1">
      <c r="A52" s="15" t="s">
        <v>865</v>
      </c>
      <c r="B52" s="15" t="s">
        <v>866</v>
      </c>
      <c r="C52" s="15" t="s">
        <v>869</v>
      </c>
      <c r="D52" s="41">
        <v>40646.0</v>
      </c>
      <c r="E52" s="15" t="s">
        <v>98</v>
      </c>
      <c r="F52" s="15">
        <v>5.551768481E9</v>
      </c>
      <c r="G52" s="15" t="s">
        <v>873</v>
      </c>
      <c r="H52" s="15" t="s">
        <v>382</v>
      </c>
      <c r="I52" s="23" t="s">
        <v>874</v>
      </c>
      <c r="J52" s="15" t="s">
        <v>875</v>
      </c>
      <c r="K52" s="15" t="s">
        <v>876</v>
      </c>
      <c r="L52" s="15">
        <v>5.517554062E9</v>
      </c>
      <c r="M52" s="18"/>
      <c r="N52" s="18"/>
      <c r="O52" s="18"/>
      <c r="P52" s="20">
        <v>14.0</v>
      </c>
      <c r="Q52" s="22">
        <v>46037.77465277778</v>
      </c>
      <c r="R52" s="15" t="s">
        <v>107</v>
      </c>
      <c r="S52" s="15" t="s">
        <v>109</v>
      </c>
      <c r="T52" s="15" t="s">
        <v>208</v>
      </c>
      <c r="U52" s="15" t="s">
        <v>209</v>
      </c>
      <c r="V52" s="15" t="s">
        <v>210</v>
      </c>
      <c r="W52" s="15" t="s">
        <v>211</v>
      </c>
      <c r="X52" s="51" t="s">
        <v>117</v>
      </c>
      <c r="Y52" s="18"/>
      <c r="Z52" s="15" t="s">
        <v>117</v>
      </c>
      <c r="AA52" s="18"/>
      <c r="AB52" s="15" t="s">
        <v>117</v>
      </c>
      <c r="AC52" s="15" t="s">
        <v>117</v>
      </c>
      <c r="AD52" s="18"/>
      <c r="AE52" s="15" t="s">
        <v>117</v>
      </c>
      <c r="AF52" s="18"/>
      <c r="AG52" s="15" t="s">
        <v>117</v>
      </c>
      <c r="AH52" s="18"/>
      <c r="AI52" s="15" t="s">
        <v>117</v>
      </c>
      <c r="AJ52" s="18"/>
      <c r="AK52" s="18"/>
      <c r="AL52" s="15" t="s">
        <v>138</v>
      </c>
      <c r="AM52" s="15" t="s">
        <v>138</v>
      </c>
      <c r="AN52" s="15" t="s">
        <v>138</v>
      </c>
      <c r="AO52" s="15" t="s">
        <v>138</v>
      </c>
      <c r="AP52" s="15"/>
    </row>
    <row r="53" ht="22.5" customHeight="1">
      <c r="A53" s="15" t="s">
        <v>893</v>
      </c>
      <c r="B53" s="15" t="s">
        <v>725</v>
      </c>
      <c r="C53" s="15" t="s">
        <v>895</v>
      </c>
      <c r="D53" s="41">
        <v>41114.0</v>
      </c>
      <c r="E53" s="15" t="s">
        <v>98</v>
      </c>
      <c r="F53" s="15">
        <v>5.514909252E9</v>
      </c>
      <c r="G53" s="15" t="s">
        <v>899</v>
      </c>
      <c r="H53" s="15" t="s">
        <v>140</v>
      </c>
      <c r="I53" s="18"/>
      <c r="J53" s="15" t="s">
        <v>728</v>
      </c>
      <c r="K53" s="15" t="s">
        <v>900</v>
      </c>
      <c r="L53" s="15">
        <v>5.514909252E9</v>
      </c>
      <c r="M53" s="18"/>
      <c r="N53" s="18"/>
      <c r="O53" s="18"/>
      <c r="P53" s="20">
        <v>13.0</v>
      </c>
      <c r="Q53" s="22">
        <v>46038.78403935185</v>
      </c>
      <c r="R53" s="15" t="s">
        <v>107</v>
      </c>
      <c r="S53" s="15" t="s">
        <v>109</v>
      </c>
      <c r="T53" s="15" t="s">
        <v>111</v>
      </c>
      <c r="U53" s="15" t="s">
        <v>407</v>
      </c>
      <c r="V53" s="15" t="s">
        <v>408</v>
      </c>
      <c r="W53" s="15" t="s">
        <v>409</v>
      </c>
      <c r="X53" s="51" t="s">
        <v>117</v>
      </c>
      <c r="Y53" s="18"/>
      <c r="Z53" s="15" t="s">
        <v>117</v>
      </c>
      <c r="AA53" s="18"/>
      <c r="AB53" s="15" t="s">
        <v>117</v>
      </c>
      <c r="AC53" s="18"/>
      <c r="AD53" s="18"/>
      <c r="AE53" s="15" t="s">
        <v>117</v>
      </c>
      <c r="AF53" s="18"/>
      <c r="AG53" s="15" t="s">
        <v>117</v>
      </c>
      <c r="AH53" s="18"/>
      <c r="AI53" s="15" t="s">
        <v>117</v>
      </c>
      <c r="AJ53" s="18"/>
      <c r="AK53" s="18"/>
      <c r="AL53" s="15" t="s">
        <v>242</v>
      </c>
      <c r="AM53" s="15" t="s">
        <v>128</v>
      </c>
      <c r="AN53" s="15" t="s">
        <v>156</v>
      </c>
      <c r="AO53" s="15" t="s">
        <v>124</v>
      </c>
      <c r="AP53" s="15"/>
    </row>
    <row r="54" ht="22.5" customHeight="1">
      <c r="A54" s="15" t="s">
        <v>905</v>
      </c>
      <c r="B54" s="15" t="s">
        <v>906</v>
      </c>
      <c r="C54" s="15" t="s">
        <v>907</v>
      </c>
      <c r="D54" s="41">
        <v>40045.0</v>
      </c>
      <c r="E54" s="15" t="s">
        <v>98</v>
      </c>
      <c r="F54" s="15">
        <v>5.647754235E9</v>
      </c>
      <c r="G54" s="15" t="s">
        <v>911</v>
      </c>
      <c r="H54" s="15" t="s">
        <v>150</v>
      </c>
      <c r="I54" s="18"/>
      <c r="J54" s="15" t="s">
        <v>913</v>
      </c>
      <c r="K54" s="15" t="s">
        <v>914</v>
      </c>
      <c r="L54" s="15">
        <v>5.647753698E9</v>
      </c>
      <c r="M54" s="15" t="s">
        <v>915</v>
      </c>
      <c r="N54" s="15" t="s">
        <v>916</v>
      </c>
      <c r="O54" s="15">
        <v>5.584788686E9</v>
      </c>
      <c r="P54" s="20">
        <v>16.0</v>
      </c>
      <c r="Q54" s="22">
        <v>46020.79752314815</v>
      </c>
      <c r="R54" s="15" t="s">
        <v>107</v>
      </c>
      <c r="S54" s="15" t="s">
        <v>109</v>
      </c>
      <c r="T54" s="15" t="s">
        <v>204</v>
      </c>
      <c r="U54" s="15" t="s">
        <v>367</v>
      </c>
      <c r="V54" s="15" t="s">
        <v>368</v>
      </c>
      <c r="W54" s="15" t="s">
        <v>369</v>
      </c>
      <c r="X54" s="51" t="s">
        <v>117</v>
      </c>
      <c r="Y54" s="18"/>
      <c r="Z54" s="15" t="s">
        <v>117</v>
      </c>
      <c r="AA54" s="18"/>
      <c r="AB54" s="15" t="s">
        <v>117</v>
      </c>
      <c r="AC54" s="15" t="s">
        <v>117</v>
      </c>
      <c r="AD54" s="18"/>
      <c r="AE54" s="15" t="s">
        <v>117</v>
      </c>
      <c r="AF54" s="18"/>
      <c r="AG54" s="15" t="s">
        <v>117</v>
      </c>
      <c r="AH54" s="18"/>
      <c r="AI54" s="15" t="s">
        <v>117</v>
      </c>
      <c r="AJ54" s="18"/>
      <c r="AK54" s="18"/>
      <c r="AL54" s="15" t="s">
        <v>124</v>
      </c>
      <c r="AM54" s="15" t="s">
        <v>141</v>
      </c>
      <c r="AN54" s="15" t="s">
        <v>156</v>
      </c>
      <c r="AO54" s="15" t="s">
        <v>128</v>
      </c>
      <c r="AP54" s="15"/>
    </row>
    <row r="55" ht="22.5" customHeight="1">
      <c r="A55" s="15" t="s">
        <v>934</v>
      </c>
      <c r="B55" s="15" t="s">
        <v>935</v>
      </c>
      <c r="C55" s="15" t="s">
        <v>936</v>
      </c>
      <c r="D55" s="41">
        <v>41207.0</v>
      </c>
      <c r="E55" s="15" t="s">
        <v>98</v>
      </c>
      <c r="F55" s="15">
        <v>5.545629332E9</v>
      </c>
      <c r="G55" s="15" t="s">
        <v>943</v>
      </c>
      <c r="H55" s="15" t="s">
        <v>101</v>
      </c>
      <c r="I55" s="23" t="s">
        <v>945</v>
      </c>
      <c r="J55" s="15" t="s">
        <v>790</v>
      </c>
      <c r="K55" s="15" t="s">
        <v>789</v>
      </c>
      <c r="L55" s="15">
        <v>5.572747291E9</v>
      </c>
      <c r="M55" s="15" t="s">
        <v>950</v>
      </c>
      <c r="N55" s="15" t="s">
        <v>952</v>
      </c>
      <c r="O55" s="15">
        <v>5.519839417E9</v>
      </c>
      <c r="P55" s="20">
        <v>13.0</v>
      </c>
      <c r="Q55" s="22">
        <v>46026.486342592594</v>
      </c>
      <c r="R55" s="15" t="s">
        <v>107</v>
      </c>
      <c r="S55" s="15" t="s">
        <v>109</v>
      </c>
      <c r="T55" s="15" t="s">
        <v>208</v>
      </c>
      <c r="U55" s="15" t="s">
        <v>788</v>
      </c>
      <c r="V55" s="15" t="s">
        <v>789</v>
      </c>
      <c r="W55" s="15" t="s">
        <v>790</v>
      </c>
      <c r="X55" s="51" t="s">
        <v>117</v>
      </c>
      <c r="Y55" s="52" t="s">
        <v>953</v>
      </c>
      <c r="Z55" s="15" t="s">
        <v>120</v>
      </c>
      <c r="AA55" s="18"/>
      <c r="AB55" s="15" t="s">
        <v>120</v>
      </c>
      <c r="AC55" s="15" t="s">
        <v>120</v>
      </c>
      <c r="AD55" s="18"/>
      <c r="AE55" s="15" t="s">
        <v>120</v>
      </c>
      <c r="AF55" s="18"/>
      <c r="AG55" s="15" t="s">
        <v>120</v>
      </c>
      <c r="AH55" s="18"/>
      <c r="AI55" s="15" t="s">
        <v>120</v>
      </c>
      <c r="AJ55" s="18"/>
      <c r="AK55" s="18"/>
      <c r="AL55" s="15" t="s">
        <v>138</v>
      </c>
      <c r="AM55" s="15" t="s">
        <v>240</v>
      </c>
      <c r="AN55" s="15" t="s">
        <v>126</v>
      </c>
      <c r="AO55" s="15" t="s">
        <v>185</v>
      </c>
      <c r="AP55" s="15"/>
    </row>
    <row r="56" ht="22.5" customHeight="1">
      <c r="A56" s="15" t="s">
        <v>919</v>
      </c>
      <c r="B56" s="15" t="s">
        <v>920</v>
      </c>
      <c r="C56" s="15" t="s">
        <v>923</v>
      </c>
      <c r="D56" s="41">
        <v>40182.0</v>
      </c>
      <c r="E56" s="15" t="s">
        <v>177</v>
      </c>
      <c r="F56" s="15">
        <v>5.56860443E9</v>
      </c>
      <c r="G56" s="15" t="s">
        <v>925</v>
      </c>
      <c r="H56" s="15" t="s">
        <v>101</v>
      </c>
      <c r="I56" s="18"/>
      <c r="J56" s="15" t="s">
        <v>928</v>
      </c>
      <c r="K56" s="15" t="s">
        <v>925</v>
      </c>
      <c r="L56" s="15">
        <v>5.612161641E9</v>
      </c>
      <c r="M56" s="18"/>
      <c r="N56" s="18"/>
      <c r="O56" s="18"/>
      <c r="P56" s="20">
        <v>16.0</v>
      </c>
      <c r="Q56" s="22">
        <v>46039.512604166666</v>
      </c>
      <c r="R56" s="15" t="s">
        <v>107</v>
      </c>
      <c r="S56" s="15" t="s">
        <v>109</v>
      </c>
      <c r="T56" s="15" t="s">
        <v>111</v>
      </c>
      <c r="U56" s="15" t="s">
        <v>407</v>
      </c>
      <c r="V56" s="15" t="s">
        <v>408</v>
      </c>
      <c r="W56" s="15" t="s">
        <v>409</v>
      </c>
      <c r="X56" s="51" t="s">
        <v>117</v>
      </c>
      <c r="Y56" s="18"/>
      <c r="Z56" s="15" t="s">
        <v>117</v>
      </c>
      <c r="AA56" s="18"/>
      <c r="AB56" s="15" t="s">
        <v>117</v>
      </c>
      <c r="AC56" s="15" t="s">
        <v>117</v>
      </c>
      <c r="AD56" s="18"/>
      <c r="AE56" s="15" t="s">
        <v>117</v>
      </c>
      <c r="AF56" s="18"/>
      <c r="AG56" s="15" t="s">
        <v>117</v>
      </c>
      <c r="AH56" s="18"/>
      <c r="AI56" s="15" t="s">
        <v>117</v>
      </c>
      <c r="AJ56" s="18"/>
      <c r="AK56" s="18"/>
      <c r="AL56" s="15" t="s">
        <v>138</v>
      </c>
      <c r="AM56" s="15" t="s">
        <v>242</v>
      </c>
      <c r="AN56" s="15" t="s">
        <v>128</v>
      </c>
      <c r="AO56" s="15" t="s">
        <v>141</v>
      </c>
      <c r="AP56" s="15"/>
    </row>
    <row r="57" ht="22.5" customHeight="1">
      <c r="A57" s="15" t="s">
        <v>982</v>
      </c>
      <c r="B57" s="15" t="s">
        <v>983</v>
      </c>
      <c r="C57" s="15" t="s">
        <v>984</v>
      </c>
      <c r="D57" s="41">
        <v>39939.0</v>
      </c>
      <c r="E57" s="15" t="s">
        <v>177</v>
      </c>
      <c r="F57" s="15">
        <v>5.512819797E9</v>
      </c>
      <c r="G57" s="15" t="s">
        <v>985</v>
      </c>
      <c r="H57" s="15" t="s">
        <v>140</v>
      </c>
      <c r="I57" s="23" t="s">
        <v>525</v>
      </c>
      <c r="J57" s="15" t="s">
        <v>986</v>
      </c>
      <c r="K57" s="15" t="s">
        <v>987</v>
      </c>
      <c r="L57" s="15">
        <v>5.611259935E9</v>
      </c>
      <c r="M57" s="15" t="s">
        <v>988</v>
      </c>
      <c r="N57" s="15" t="s">
        <v>989</v>
      </c>
      <c r="O57" s="15">
        <v>5.567872343E9</v>
      </c>
      <c r="P57" s="20">
        <v>16.0</v>
      </c>
      <c r="Q57" s="22">
        <v>46025.96753472222</v>
      </c>
      <c r="R57" s="15" t="s">
        <v>107</v>
      </c>
      <c r="S57" s="15" t="s">
        <v>109</v>
      </c>
      <c r="T57" s="15" t="s">
        <v>208</v>
      </c>
      <c r="U57" s="15" t="s">
        <v>788</v>
      </c>
      <c r="V57" s="15" t="s">
        <v>789</v>
      </c>
      <c r="W57" s="15" t="s">
        <v>790</v>
      </c>
      <c r="X57" s="51" t="s">
        <v>117</v>
      </c>
      <c r="Y57" s="18"/>
      <c r="Z57" s="15" t="s">
        <v>120</v>
      </c>
      <c r="AA57" s="18"/>
      <c r="AB57" s="15" t="s">
        <v>120</v>
      </c>
      <c r="AC57" s="15" t="s">
        <v>120</v>
      </c>
      <c r="AD57" s="18"/>
      <c r="AE57" s="15" t="s">
        <v>120</v>
      </c>
      <c r="AF57" s="18"/>
      <c r="AG57" s="15" t="s">
        <v>120</v>
      </c>
      <c r="AH57" s="18"/>
      <c r="AI57" s="15" t="s">
        <v>120</v>
      </c>
      <c r="AJ57" s="18"/>
      <c r="AK57" s="27" t="s">
        <v>994</v>
      </c>
      <c r="AL57" s="15" t="s">
        <v>128</v>
      </c>
      <c r="AM57" s="15" t="s">
        <v>156</v>
      </c>
      <c r="AN57" s="15" t="s">
        <v>185</v>
      </c>
      <c r="AO57" s="15" t="s">
        <v>124</v>
      </c>
      <c r="AP57" s="15"/>
    </row>
    <row r="58" ht="22.5" customHeight="1">
      <c r="A58" s="15" t="s">
        <v>937</v>
      </c>
      <c r="B58" s="15" t="s">
        <v>939</v>
      </c>
      <c r="C58" s="15" t="s">
        <v>941</v>
      </c>
      <c r="D58" s="41">
        <v>40014.0</v>
      </c>
      <c r="E58" s="15" t="s">
        <v>177</v>
      </c>
      <c r="F58" s="15">
        <v>5.574806546E9</v>
      </c>
      <c r="G58" s="15" t="s">
        <v>944</v>
      </c>
      <c r="H58" s="15" t="s">
        <v>150</v>
      </c>
      <c r="I58" s="23" t="s">
        <v>947</v>
      </c>
      <c r="J58" s="15" t="s">
        <v>948</v>
      </c>
      <c r="K58" s="15" t="s">
        <v>944</v>
      </c>
      <c r="L58" s="15">
        <v>2.202344935E9</v>
      </c>
      <c r="M58" s="18"/>
      <c r="N58" s="18"/>
      <c r="O58" s="18"/>
      <c r="P58" s="20">
        <v>16.0</v>
      </c>
      <c r="Q58" s="22">
        <v>46040.81049768518</v>
      </c>
      <c r="R58" s="15" t="s">
        <v>107</v>
      </c>
      <c r="S58" s="15" t="s">
        <v>109</v>
      </c>
      <c r="T58" s="15" t="s">
        <v>192</v>
      </c>
      <c r="U58" s="15" t="s">
        <v>195</v>
      </c>
      <c r="V58" s="15" t="s">
        <v>198</v>
      </c>
      <c r="W58" s="15" t="s">
        <v>200</v>
      </c>
      <c r="X58" s="51" t="s">
        <v>117</v>
      </c>
      <c r="Y58" s="18"/>
      <c r="Z58" s="15" t="s">
        <v>117</v>
      </c>
      <c r="AA58" s="18"/>
      <c r="AB58" s="15" t="s">
        <v>117</v>
      </c>
      <c r="AC58" s="15" t="s">
        <v>117</v>
      </c>
      <c r="AD58" s="18"/>
      <c r="AE58" s="15" t="s">
        <v>117</v>
      </c>
      <c r="AF58" s="18"/>
      <c r="AG58" s="15" t="s">
        <v>117</v>
      </c>
      <c r="AH58" s="18"/>
      <c r="AI58" s="15" t="s">
        <v>117</v>
      </c>
      <c r="AJ58" s="18"/>
      <c r="AK58" s="18"/>
      <c r="AL58" s="15" t="s">
        <v>129</v>
      </c>
      <c r="AM58" s="15" t="s">
        <v>240</v>
      </c>
      <c r="AN58" s="15" t="s">
        <v>138</v>
      </c>
      <c r="AO58" s="15" t="s">
        <v>185</v>
      </c>
      <c r="AP58" s="15"/>
    </row>
    <row r="59" ht="22.5" customHeight="1">
      <c r="A59" s="15" t="s">
        <v>970</v>
      </c>
      <c r="B59" s="15" t="s">
        <v>972</v>
      </c>
      <c r="C59" s="15" t="s">
        <v>974</v>
      </c>
      <c r="D59" s="41">
        <v>40092.0</v>
      </c>
      <c r="E59" s="15" t="s">
        <v>98</v>
      </c>
      <c r="F59" s="15">
        <v>5.559449773E9</v>
      </c>
      <c r="G59" s="15" t="s">
        <v>977</v>
      </c>
      <c r="H59" s="15" t="s">
        <v>382</v>
      </c>
      <c r="I59" s="23" t="s">
        <v>979</v>
      </c>
      <c r="J59" s="15" t="s">
        <v>980</v>
      </c>
      <c r="K59" s="15" t="s">
        <v>981</v>
      </c>
      <c r="L59" s="15">
        <v>5.591612552E9</v>
      </c>
      <c r="M59" s="18"/>
      <c r="N59" s="18"/>
      <c r="O59" s="18"/>
      <c r="P59" s="20">
        <v>16.0</v>
      </c>
      <c r="Q59" s="22">
        <v>46019.71203703704</v>
      </c>
      <c r="R59" s="15" t="s">
        <v>107</v>
      </c>
      <c r="S59" s="15" t="s">
        <v>109</v>
      </c>
      <c r="T59" s="15" t="s">
        <v>127</v>
      </c>
      <c r="U59" s="15" t="s">
        <v>234</v>
      </c>
      <c r="V59" s="15" t="s">
        <v>227</v>
      </c>
      <c r="W59" s="15" t="s">
        <v>236</v>
      </c>
      <c r="X59" s="51" t="s">
        <v>117</v>
      </c>
      <c r="Y59" s="18"/>
      <c r="Z59" s="15" t="s">
        <v>117</v>
      </c>
      <c r="AA59" s="18"/>
      <c r="AB59" s="15" t="s">
        <v>117</v>
      </c>
      <c r="AC59" s="18"/>
      <c r="AD59" s="18"/>
      <c r="AE59" s="15" t="s">
        <v>117</v>
      </c>
      <c r="AF59" s="18"/>
      <c r="AG59" s="15" t="s">
        <v>117</v>
      </c>
      <c r="AH59" s="18"/>
      <c r="AI59" s="15" t="s">
        <v>117</v>
      </c>
      <c r="AJ59" s="18"/>
      <c r="AK59" s="18"/>
      <c r="AL59" s="15" t="s">
        <v>156</v>
      </c>
      <c r="AM59" s="15" t="s">
        <v>185</v>
      </c>
      <c r="AN59" s="15" t="s">
        <v>124</v>
      </c>
      <c r="AO59" s="15" t="s">
        <v>156</v>
      </c>
      <c r="AP59" s="15"/>
    </row>
    <row r="60" ht="22.5" customHeight="1">
      <c r="A60" s="15" t="s">
        <v>997</v>
      </c>
      <c r="B60" s="15" t="s">
        <v>998</v>
      </c>
      <c r="C60" s="15" t="s">
        <v>999</v>
      </c>
      <c r="D60" s="41">
        <v>41133.0</v>
      </c>
      <c r="E60" s="15" t="s">
        <v>98</v>
      </c>
      <c r="F60" s="15">
        <v>5.650286797E9</v>
      </c>
      <c r="G60" s="15" t="s">
        <v>925</v>
      </c>
      <c r="H60" s="15" t="s">
        <v>140</v>
      </c>
      <c r="I60" s="18"/>
      <c r="J60" s="15" t="s">
        <v>928</v>
      </c>
      <c r="K60" s="15" t="s">
        <v>925</v>
      </c>
      <c r="L60" s="15">
        <v>5.612161641E9</v>
      </c>
      <c r="M60" s="18"/>
      <c r="N60" s="18"/>
      <c r="O60" s="18"/>
      <c r="P60" s="20">
        <v>13.0</v>
      </c>
      <c r="Q60" s="22">
        <v>46039.50915509259</v>
      </c>
      <c r="R60" s="15" t="s">
        <v>107</v>
      </c>
      <c r="S60" s="15" t="s">
        <v>109</v>
      </c>
      <c r="T60" s="15" t="s">
        <v>111</v>
      </c>
      <c r="U60" s="15" t="s">
        <v>407</v>
      </c>
      <c r="V60" s="15" t="s">
        <v>408</v>
      </c>
      <c r="W60" s="15" t="s">
        <v>409</v>
      </c>
      <c r="X60" s="51" t="s">
        <v>117</v>
      </c>
      <c r="Y60" s="18"/>
      <c r="Z60" s="15" t="s">
        <v>117</v>
      </c>
      <c r="AA60" s="18"/>
      <c r="AB60" s="15" t="s">
        <v>117</v>
      </c>
      <c r="AC60" s="15" t="s">
        <v>117</v>
      </c>
      <c r="AD60" s="18"/>
      <c r="AE60" s="15" t="s">
        <v>117</v>
      </c>
      <c r="AF60" s="18"/>
      <c r="AG60" s="15" t="s">
        <v>117</v>
      </c>
      <c r="AH60" s="18"/>
      <c r="AI60" s="15" t="s">
        <v>117</v>
      </c>
      <c r="AJ60" s="18"/>
      <c r="AK60" s="18"/>
      <c r="AL60" s="15" t="s">
        <v>242</v>
      </c>
      <c r="AM60" s="15" t="s">
        <v>128</v>
      </c>
      <c r="AN60" s="15" t="s">
        <v>138</v>
      </c>
      <c r="AO60" s="15" t="s">
        <v>141</v>
      </c>
      <c r="AP60" s="15"/>
    </row>
    <row r="61" ht="22.5" customHeight="1">
      <c r="A61" s="15" t="s">
        <v>355</v>
      </c>
      <c r="B61" s="15" t="s">
        <v>1039</v>
      </c>
      <c r="C61" s="15" t="s">
        <v>1041</v>
      </c>
      <c r="D61" s="41">
        <v>40841.0</v>
      </c>
      <c r="E61" s="15" t="s">
        <v>177</v>
      </c>
      <c r="F61" s="15">
        <v>5.532472722E9</v>
      </c>
      <c r="G61" s="15" t="s">
        <v>1044</v>
      </c>
      <c r="H61" s="15" t="s">
        <v>150</v>
      </c>
      <c r="I61" s="18"/>
      <c r="J61" s="15" t="s">
        <v>1045</v>
      </c>
      <c r="K61" s="15" t="s">
        <v>1046</v>
      </c>
      <c r="L61" s="15">
        <v>5.547724892E9</v>
      </c>
      <c r="M61" s="18"/>
      <c r="N61" s="18"/>
      <c r="O61" s="18"/>
      <c r="P61" s="20">
        <v>14.0</v>
      </c>
      <c r="Q61" s="22">
        <v>46040.52386574074</v>
      </c>
      <c r="R61" s="15" t="s">
        <v>107</v>
      </c>
      <c r="S61" s="15" t="s">
        <v>109</v>
      </c>
      <c r="T61" s="15" t="s">
        <v>171</v>
      </c>
      <c r="U61" s="15" t="s">
        <v>1048</v>
      </c>
      <c r="V61" s="15" t="s">
        <v>1050</v>
      </c>
      <c r="W61" s="15" t="s">
        <v>1051</v>
      </c>
      <c r="X61" s="51" t="s">
        <v>117</v>
      </c>
      <c r="Y61" s="18"/>
      <c r="Z61" s="15" t="s">
        <v>120</v>
      </c>
      <c r="AA61" s="18"/>
      <c r="AB61" s="15" t="s">
        <v>120</v>
      </c>
      <c r="AC61" s="18"/>
      <c r="AD61" s="18"/>
      <c r="AE61" s="15" t="s">
        <v>117</v>
      </c>
      <c r="AF61" s="18"/>
      <c r="AG61" s="15" t="s">
        <v>117</v>
      </c>
      <c r="AH61" s="18"/>
      <c r="AI61" s="15" t="s">
        <v>117</v>
      </c>
      <c r="AJ61" s="18"/>
      <c r="AK61" s="18"/>
      <c r="AL61" s="15" t="s">
        <v>240</v>
      </c>
      <c r="AM61" s="15" t="s">
        <v>141</v>
      </c>
      <c r="AN61" s="15" t="s">
        <v>156</v>
      </c>
      <c r="AO61" s="15" t="s">
        <v>124</v>
      </c>
      <c r="AP61" s="15"/>
    </row>
    <row r="62" ht="22.5" customHeight="1">
      <c r="A62" s="15" t="s">
        <v>1010</v>
      </c>
      <c r="B62" s="15" t="s">
        <v>1011</v>
      </c>
      <c r="C62" s="15" t="s">
        <v>1014</v>
      </c>
      <c r="D62" s="41">
        <v>40269.0</v>
      </c>
      <c r="E62" s="15" t="s">
        <v>177</v>
      </c>
      <c r="F62" s="15">
        <v>5.535717433E9</v>
      </c>
      <c r="G62" s="15" t="s">
        <v>1015</v>
      </c>
      <c r="H62" s="15" t="s">
        <v>140</v>
      </c>
      <c r="I62" s="18"/>
      <c r="J62" s="15" t="s">
        <v>1019</v>
      </c>
      <c r="K62" s="15" t="s">
        <v>1020</v>
      </c>
      <c r="L62" s="15">
        <v>5.547821504E9</v>
      </c>
      <c r="M62" s="18"/>
      <c r="N62" s="18"/>
      <c r="O62" s="18"/>
      <c r="P62" s="20">
        <v>15.0</v>
      </c>
      <c r="Q62" s="22">
        <v>46031.51908564815</v>
      </c>
      <c r="R62" s="15" t="s">
        <v>107</v>
      </c>
      <c r="S62" s="15" t="s">
        <v>109</v>
      </c>
      <c r="T62" s="15" t="s">
        <v>127</v>
      </c>
      <c r="U62" s="15" t="s">
        <v>234</v>
      </c>
      <c r="V62" s="15" t="s">
        <v>227</v>
      </c>
      <c r="W62" s="15" t="s">
        <v>236</v>
      </c>
      <c r="X62" s="51" t="s">
        <v>117</v>
      </c>
      <c r="Y62" s="18"/>
      <c r="Z62" s="15" t="s">
        <v>117</v>
      </c>
      <c r="AA62" s="18"/>
      <c r="AB62" s="15" t="s">
        <v>117</v>
      </c>
      <c r="AC62" s="15" t="s">
        <v>117</v>
      </c>
      <c r="AD62" s="18"/>
      <c r="AE62" s="15" t="s">
        <v>117</v>
      </c>
      <c r="AF62" s="18"/>
      <c r="AG62" s="15" t="s">
        <v>117</v>
      </c>
      <c r="AH62" s="18"/>
      <c r="AI62" s="15" t="s">
        <v>117</v>
      </c>
      <c r="AJ62" s="18"/>
      <c r="AK62" s="18"/>
      <c r="AL62" s="15" t="s">
        <v>141</v>
      </c>
      <c r="AM62" s="15" t="s">
        <v>185</v>
      </c>
      <c r="AN62" s="15" t="s">
        <v>128</v>
      </c>
      <c r="AO62" s="15" t="s">
        <v>129</v>
      </c>
      <c r="AP62" s="15"/>
    </row>
    <row r="63" ht="22.5" customHeight="1">
      <c r="A63" s="15" t="s">
        <v>1081</v>
      </c>
      <c r="B63" s="15" t="s">
        <v>1082</v>
      </c>
      <c r="C63" s="15" t="s">
        <v>1083</v>
      </c>
      <c r="D63" s="41">
        <v>39780.0</v>
      </c>
      <c r="E63" s="15" t="s">
        <v>177</v>
      </c>
      <c r="F63" s="15">
        <v>5.520929535E9</v>
      </c>
      <c r="G63" s="15" t="s">
        <v>1085</v>
      </c>
      <c r="H63" s="15" t="s">
        <v>150</v>
      </c>
      <c r="I63" s="49" t="s">
        <v>1087</v>
      </c>
      <c r="J63" s="15" t="s">
        <v>1088</v>
      </c>
      <c r="K63" s="15" t="s">
        <v>1089</v>
      </c>
      <c r="L63" s="15">
        <v>5.522400873E9</v>
      </c>
      <c r="M63" s="15" t="s">
        <v>1091</v>
      </c>
      <c r="N63" s="15" t="s">
        <v>1092</v>
      </c>
      <c r="O63" s="15">
        <v>5.574772409E9</v>
      </c>
      <c r="P63" s="20">
        <v>17.0</v>
      </c>
      <c r="Q63" s="22">
        <v>46028.95768518518</v>
      </c>
      <c r="R63" s="15" t="s">
        <v>107</v>
      </c>
      <c r="S63" s="15" t="s">
        <v>109</v>
      </c>
      <c r="T63" s="15" t="s">
        <v>171</v>
      </c>
      <c r="U63" s="15" t="s">
        <v>173</v>
      </c>
      <c r="V63" s="15" t="s">
        <v>167</v>
      </c>
      <c r="W63" s="15" t="s">
        <v>175</v>
      </c>
      <c r="X63" s="15" t="s">
        <v>120</v>
      </c>
      <c r="Y63" s="18"/>
      <c r="Z63" s="15" t="s">
        <v>117</v>
      </c>
      <c r="AA63" s="49" t="s">
        <v>1087</v>
      </c>
      <c r="AB63" s="15" t="s">
        <v>120</v>
      </c>
      <c r="AC63" s="18"/>
      <c r="AD63" s="18"/>
      <c r="AE63" s="15" t="s">
        <v>120</v>
      </c>
      <c r="AF63" s="18"/>
      <c r="AG63" s="15" t="s">
        <v>120</v>
      </c>
      <c r="AH63" s="18"/>
      <c r="AI63" s="15" t="s">
        <v>120</v>
      </c>
      <c r="AJ63" s="18"/>
      <c r="AK63" s="18"/>
      <c r="AL63" s="15" t="s">
        <v>156</v>
      </c>
      <c r="AM63" s="15" t="s">
        <v>185</v>
      </c>
      <c r="AN63" s="15" t="s">
        <v>216</v>
      </c>
      <c r="AO63" s="15" t="s">
        <v>129</v>
      </c>
      <c r="AP63" s="15"/>
    </row>
    <row r="64" ht="22.5" customHeight="1">
      <c r="A64" s="15" t="s">
        <v>1111</v>
      </c>
      <c r="B64" s="15" t="s">
        <v>1112</v>
      </c>
      <c r="C64" s="15" t="s">
        <v>1113</v>
      </c>
      <c r="D64" s="41">
        <v>40390.0</v>
      </c>
      <c r="E64" s="15" t="s">
        <v>98</v>
      </c>
      <c r="F64" s="15">
        <v>5.611797542E9</v>
      </c>
      <c r="G64" s="15" t="s">
        <v>1115</v>
      </c>
      <c r="H64" s="15" t="s">
        <v>101</v>
      </c>
      <c r="I64" s="49" t="s">
        <v>1117</v>
      </c>
      <c r="J64" s="15" t="s">
        <v>1119</v>
      </c>
      <c r="K64" s="15" t="s">
        <v>1121</v>
      </c>
      <c r="L64" s="15">
        <v>5.581570515E9</v>
      </c>
      <c r="M64" s="18"/>
      <c r="N64" s="18"/>
      <c r="O64" s="18"/>
      <c r="P64" s="20">
        <v>15.0</v>
      </c>
      <c r="Q64" s="22">
        <v>46028.85824074074</v>
      </c>
      <c r="R64" s="15" t="s">
        <v>107</v>
      </c>
      <c r="S64" s="15" t="s">
        <v>109</v>
      </c>
      <c r="T64" s="15" t="s">
        <v>204</v>
      </c>
      <c r="U64" s="15" t="s">
        <v>311</v>
      </c>
      <c r="V64" s="15" t="s">
        <v>312</v>
      </c>
      <c r="W64" s="15" t="s">
        <v>313</v>
      </c>
      <c r="X64" s="15" t="s">
        <v>120</v>
      </c>
      <c r="Y64" s="18"/>
      <c r="Z64" s="15" t="s">
        <v>120</v>
      </c>
      <c r="AA64" s="18"/>
      <c r="AB64" s="15" t="s">
        <v>120</v>
      </c>
      <c r="AC64" s="18"/>
      <c r="AD64" s="18"/>
      <c r="AE64" s="15" t="s">
        <v>120</v>
      </c>
      <c r="AF64" s="18"/>
      <c r="AG64" s="15" t="s">
        <v>120</v>
      </c>
      <c r="AH64" s="18"/>
      <c r="AI64" s="15" t="s">
        <v>120</v>
      </c>
      <c r="AJ64" s="18"/>
      <c r="AK64" s="18"/>
      <c r="AL64" s="15" t="s">
        <v>138</v>
      </c>
      <c r="AM64" s="15" t="s">
        <v>124</v>
      </c>
      <c r="AN64" s="15" t="s">
        <v>129</v>
      </c>
      <c r="AO64" s="15" t="s">
        <v>128</v>
      </c>
      <c r="AP64" s="15"/>
    </row>
    <row r="65" ht="22.5" customHeight="1">
      <c r="A65" s="15" t="s">
        <v>955</v>
      </c>
      <c r="B65" s="15" t="s">
        <v>959</v>
      </c>
      <c r="C65" s="15" t="s">
        <v>960</v>
      </c>
      <c r="D65" s="41">
        <v>40113.0</v>
      </c>
      <c r="E65" s="15" t="s">
        <v>177</v>
      </c>
      <c r="F65" s="15">
        <v>5.645755195E9</v>
      </c>
      <c r="G65" s="15" t="s">
        <v>963</v>
      </c>
      <c r="H65" s="15" t="s">
        <v>101</v>
      </c>
      <c r="I65" s="49" t="s">
        <v>964</v>
      </c>
      <c r="J65" s="15" t="s">
        <v>965</v>
      </c>
      <c r="K65" s="15" t="s">
        <v>966</v>
      </c>
      <c r="L65" s="15">
        <v>5.56611599E9</v>
      </c>
      <c r="M65" s="18"/>
      <c r="N65" s="18"/>
      <c r="O65" s="18"/>
      <c r="P65" s="20">
        <v>16.0</v>
      </c>
      <c r="Q65" s="22">
        <v>46040.4921412037</v>
      </c>
      <c r="R65" s="15" t="s">
        <v>107</v>
      </c>
      <c r="S65" s="15" t="s">
        <v>109</v>
      </c>
      <c r="T65" s="15" t="s">
        <v>111</v>
      </c>
      <c r="U65" s="15" t="s">
        <v>657</v>
      </c>
      <c r="V65" s="15" t="s">
        <v>659</v>
      </c>
      <c r="W65" s="15" t="s">
        <v>662</v>
      </c>
      <c r="X65" s="15" t="s">
        <v>120</v>
      </c>
      <c r="Y65" s="18"/>
      <c r="Z65" s="15" t="s">
        <v>120</v>
      </c>
      <c r="AA65" s="18"/>
      <c r="AB65" s="15" t="s">
        <v>117</v>
      </c>
      <c r="AC65" s="15" t="s">
        <v>117</v>
      </c>
      <c r="AD65" s="15" t="s">
        <v>990</v>
      </c>
      <c r="AE65" s="15" t="s">
        <v>120</v>
      </c>
      <c r="AF65" s="18"/>
      <c r="AG65" s="15" t="s">
        <v>120</v>
      </c>
      <c r="AH65" s="18"/>
      <c r="AI65" s="15" t="s">
        <v>117</v>
      </c>
      <c r="AJ65" s="15" t="s">
        <v>992</v>
      </c>
      <c r="AK65" s="18"/>
      <c r="AL65" s="15" t="s">
        <v>216</v>
      </c>
      <c r="AM65" s="15" t="s">
        <v>138</v>
      </c>
      <c r="AN65" s="15" t="s">
        <v>129</v>
      </c>
      <c r="AO65" s="15" t="s">
        <v>124</v>
      </c>
      <c r="AP65" s="15"/>
    </row>
    <row r="66" ht="22.5" customHeight="1">
      <c r="A66" s="15" t="s">
        <v>1146</v>
      </c>
      <c r="B66" s="15" t="s">
        <v>1147</v>
      </c>
      <c r="C66" s="15" t="s">
        <v>1148</v>
      </c>
      <c r="D66" s="41">
        <v>40745.0</v>
      </c>
      <c r="E66" s="15" t="s">
        <v>177</v>
      </c>
      <c r="F66" s="15">
        <v>5.510302422E9</v>
      </c>
      <c r="G66" s="15" t="s">
        <v>1150</v>
      </c>
      <c r="H66" s="15" t="s">
        <v>140</v>
      </c>
      <c r="I66" s="49" t="s">
        <v>1152</v>
      </c>
      <c r="J66" s="15" t="s">
        <v>1154</v>
      </c>
      <c r="K66" s="15" t="s">
        <v>167</v>
      </c>
      <c r="L66" s="15">
        <v>5.510302422E9</v>
      </c>
      <c r="M66" s="18"/>
      <c r="N66" s="18"/>
      <c r="O66" s="18"/>
      <c r="P66" s="20">
        <v>14.0</v>
      </c>
      <c r="Q66" s="22">
        <v>46037.502974537034</v>
      </c>
      <c r="R66" s="15" t="s">
        <v>107</v>
      </c>
      <c r="S66" s="15" t="s">
        <v>109</v>
      </c>
      <c r="T66" s="15" t="s">
        <v>171</v>
      </c>
      <c r="U66" s="15" t="s">
        <v>173</v>
      </c>
      <c r="V66" s="15" t="s">
        <v>167</v>
      </c>
      <c r="W66" s="15" t="s">
        <v>175</v>
      </c>
      <c r="X66" s="15" t="s">
        <v>120</v>
      </c>
      <c r="Y66" s="18"/>
      <c r="Z66" s="15" t="s">
        <v>120</v>
      </c>
      <c r="AA66" s="18"/>
      <c r="AB66" s="15" t="s">
        <v>120</v>
      </c>
      <c r="AC66" s="18"/>
      <c r="AD66" s="18"/>
      <c r="AE66" s="15" t="s">
        <v>120</v>
      </c>
      <c r="AF66" s="18"/>
      <c r="AG66" s="15" t="s">
        <v>120</v>
      </c>
      <c r="AH66" s="18"/>
      <c r="AI66" s="15" t="s">
        <v>120</v>
      </c>
      <c r="AJ66" s="18"/>
      <c r="AK66" s="18"/>
      <c r="AL66" s="15" t="s">
        <v>129</v>
      </c>
      <c r="AM66" s="15" t="s">
        <v>185</v>
      </c>
      <c r="AN66" s="15" t="s">
        <v>124</v>
      </c>
      <c r="AO66" s="15" t="s">
        <v>138</v>
      </c>
      <c r="AP66" s="15"/>
    </row>
    <row r="67" ht="22.5" customHeight="1">
      <c r="A67" s="15" t="s">
        <v>1170</v>
      </c>
      <c r="B67" s="15" t="s">
        <v>1172</v>
      </c>
      <c r="C67" s="15" t="s">
        <v>1174</v>
      </c>
      <c r="D67" s="41">
        <v>40641.0</v>
      </c>
      <c r="E67" s="15" t="s">
        <v>177</v>
      </c>
      <c r="F67" s="15">
        <v>5.537058707E9</v>
      </c>
      <c r="G67" s="15" t="s">
        <v>1177</v>
      </c>
      <c r="H67" s="15" t="s">
        <v>101</v>
      </c>
      <c r="I67" s="30" t="s">
        <v>1179</v>
      </c>
      <c r="J67" s="15" t="s">
        <v>1180</v>
      </c>
      <c r="K67" s="15" t="s">
        <v>1182</v>
      </c>
      <c r="L67" s="15">
        <v>5.530543035E9</v>
      </c>
      <c r="M67" s="15" t="s">
        <v>1186</v>
      </c>
      <c r="N67" s="15" t="s">
        <v>1188</v>
      </c>
      <c r="O67" s="15">
        <v>5.514827271E9</v>
      </c>
      <c r="P67" s="20">
        <v>14.0</v>
      </c>
      <c r="Q67" s="22">
        <v>46039.006840277776</v>
      </c>
      <c r="R67" s="15" t="s">
        <v>107</v>
      </c>
      <c r="S67" s="15" t="s">
        <v>109</v>
      </c>
      <c r="T67" s="15" t="s">
        <v>208</v>
      </c>
      <c r="U67" s="15" t="s">
        <v>209</v>
      </c>
      <c r="V67" s="15" t="s">
        <v>210</v>
      </c>
      <c r="W67" s="15" t="s">
        <v>211</v>
      </c>
      <c r="X67" s="15" t="s">
        <v>120</v>
      </c>
      <c r="Y67" s="18"/>
      <c r="Z67" s="15" t="s">
        <v>120</v>
      </c>
      <c r="AA67" s="18"/>
      <c r="AB67" s="15" t="s">
        <v>120</v>
      </c>
      <c r="AC67" s="18"/>
      <c r="AD67" s="18"/>
      <c r="AE67" s="15" t="s">
        <v>120</v>
      </c>
      <c r="AF67" s="18"/>
      <c r="AG67" s="15" t="s">
        <v>120</v>
      </c>
      <c r="AH67" s="18"/>
      <c r="AI67" s="15" t="s">
        <v>117</v>
      </c>
      <c r="AJ67" s="15" t="s">
        <v>1206</v>
      </c>
      <c r="AK67" s="18"/>
      <c r="AL67" s="15" t="s">
        <v>216</v>
      </c>
      <c r="AM67" s="15" t="s">
        <v>138</v>
      </c>
      <c r="AN67" s="15" t="s">
        <v>240</v>
      </c>
      <c r="AO67" s="15" t="s">
        <v>124</v>
      </c>
      <c r="AP67" s="15"/>
    </row>
    <row r="68" ht="22.5" customHeight="1">
      <c r="A68" s="15" t="s">
        <v>1000</v>
      </c>
      <c r="B68" s="15" t="s">
        <v>1002</v>
      </c>
      <c r="C68" s="15" t="s">
        <v>1005</v>
      </c>
      <c r="D68" s="41">
        <v>40099.0</v>
      </c>
      <c r="E68" s="15" t="s">
        <v>98</v>
      </c>
      <c r="F68" s="15">
        <v>5.539879512E9</v>
      </c>
      <c r="G68" s="15" t="s">
        <v>1007</v>
      </c>
      <c r="H68" s="15" t="s">
        <v>140</v>
      </c>
      <c r="I68" s="49" t="s">
        <v>1008</v>
      </c>
      <c r="J68" s="15" t="s">
        <v>650</v>
      </c>
      <c r="K68" s="15" t="s">
        <v>652</v>
      </c>
      <c r="L68" s="15">
        <v>5.540155903E9</v>
      </c>
      <c r="M68" s="18"/>
      <c r="N68" s="18"/>
      <c r="O68" s="18"/>
      <c r="P68" s="20">
        <v>16.0</v>
      </c>
      <c r="Q68" s="22">
        <v>46037.78009259259</v>
      </c>
      <c r="R68" s="15" t="s">
        <v>107</v>
      </c>
      <c r="S68" s="15" t="s">
        <v>109</v>
      </c>
      <c r="T68" s="15" t="s">
        <v>111</v>
      </c>
      <c r="U68" s="15" t="s">
        <v>657</v>
      </c>
      <c r="V68" s="15" t="s">
        <v>659</v>
      </c>
      <c r="W68" s="15" t="s">
        <v>662</v>
      </c>
      <c r="X68" s="15" t="s">
        <v>120</v>
      </c>
      <c r="Y68" s="15" t="s">
        <v>667</v>
      </c>
      <c r="Z68" s="15" t="s">
        <v>120</v>
      </c>
      <c r="AA68" s="15" t="s">
        <v>667</v>
      </c>
      <c r="AB68" s="15" t="s">
        <v>120</v>
      </c>
      <c r="AC68" s="18"/>
      <c r="AD68" s="15" t="s">
        <v>667</v>
      </c>
      <c r="AE68" s="15" t="s">
        <v>120</v>
      </c>
      <c r="AF68" s="15" t="s">
        <v>667</v>
      </c>
      <c r="AG68" s="15" t="s">
        <v>120</v>
      </c>
      <c r="AH68" s="15" t="s">
        <v>667</v>
      </c>
      <c r="AI68" s="15" t="s">
        <v>120</v>
      </c>
      <c r="AJ68" s="15" t="s">
        <v>667</v>
      </c>
      <c r="AK68" s="15" t="s">
        <v>667</v>
      </c>
      <c r="AL68" s="15" t="s">
        <v>141</v>
      </c>
      <c r="AM68" s="15" t="s">
        <v>156</v>
      </c>
      <c r="AN68" s="15" t="s">
        <v>216</v>
      </c>
      <c r="AO68" s="15" t="s">
        <v>138</v>
      </c>
      <c r="AP68" s="15"/>
    </row>
    <row r="69" ht="22.5" customHeight="1">
      <c r="A69" s="15" t="s">
        <v>1230</v>
      </c>
      <c r="B69" s="15" t="s">
        <v>1231</v>
      </c>
      <c r="C69" s="15" t="s">
        <v>1233</v>
      </c>
      <c r="D69" s="41">
        <v>40121.0</v>
      </c>
      <c r="E69" s="15" t="s">
        <v>177</v>
      </c>
      <c r="F69" s="15">
        <v>5.647456629E9</v>
      </c>
      <c r="G69" s="15" t="s">
        <v>1234</v>
      </c>
      <c r="H69" s="15" t="s">
        <v>101</v>
      </c>
      <c r="I69" s="49" t="s">
        <v>1235</v>
      </c>
      <c r="J69" s="15" t="s">
        <v>1236</v>
      </c>
      <c r="K69" s="15" t="s">
        <v>1237</v>
      </c>
      <c r="L69" s="15">
        <v>5.566712074E9</v>
      </c>
      <c r="M69" s="18"/>
      <c r="N69" s="18"/>
      <c r="O69" s="18"/>
      <c r="P69" s="20">
        <v>16.0</v>
      </c>
      <c r="Q69" s="22">
        <v>46023.61363425926</v>
      </c>
      <c r="R69" s="15" t="s">
        <v>107</v>
      </c>
      <c r="S69" s="15" t="s">
        <v>109</v>
      </c>
      <c r="T69" s="15" t="s">
        <v>204</v>
      </c>
      <c r="U69" s="15" t="s">
        <v>367</v>
      </c>
      <c r="V69" s="15" t="s">
        <v>368</v>
      </c>
      <c r="W69" s="15" t="s">
        <v>369</v>
      </c>
      <c r="X69" s="15" t="s">
        <v>120</v>
      </c>
      <c r="Y69" s="18"/>
      <c r="Z69" s="15" t="s">
        <v>117</v>
      </c>
      <c r="AA69" s="58" t="s">
        <v>285</v>
      </c>
      <c r="AB69" s="15" t="s">
        <v>120</v>
      </c>
      <c r="AC69" s="18"/>
      <c r="AD69" s="18"/>
      <c r="AE69" s="15" t="s">
        <v>120</v>
      </c>
      <c r="AF69" s="18"/>
      <c r="AG69" s="15" t="s">
        <v>120</v>
      </c>
      <c r="AH69" s="18"/>
      <c r="AI69" s="15" t="s">
        <v>120</v>
      </c>
      <c r="AJ69" s="18"/>
      <c r="AK69" s="18"/>
      <c r="AL69" s="15" t="s">
        <v>185</v>
      </c>
      <c r="AM69" s="15" t="s">
        <v>216</v>
      </c>
      <c r="AN69" s="15" t="s">
        <v>138</v>
      </c>
      <c r="AO69" s="15" t="s">
        <v>126</v>
      </c>
      <c r="AP69" s="15"/>
    </row>
    <row r="70" ht="22.5" customHeight="1">
      <c r="A70" s="15" t="s">
        <v>1245</v>
      </c>
      <c r="B70" s="15" t="s">
        <v>296</v>
      </c>
      <c r="C70" s="15" t="s">
        <v>1247</v>
      </c>
      <c r="D70" s="41">
        <v>40215.0</v>
      </c>
      <c r="E70" s="15" t="s">
        <v>98</v>
      </c>
      <c r="F70" s="15">
        <v>5.632800745E9</v>
      </c>
      <c r="G70" s="15" t="s">
        <v>1249</v>
      </c>
      <c r="H70" s="15" t="s">
        <v>150</v>
      </c>
      <c r="I70" s="49" t="s">
        <v>1250</v>
      </c>
      <c r="J70" s="15" t="s">
        <v>303</v>
      </c>
      <c r="K70" s="15" t="s">
        <v>304</v>
      </c>
      <c r="L70" s="15">
        <v>5.517879467E9</v>
      </c>
      <c r="M70" s="15" t="s">
        <v>305</v>
      </c>
      <c r="N70" s="15" t="s">
        <v>306</v>
      </c>
      <c r="O70" s="15">
        <v>5.511264517E9</v>
      </c>
      <c r="P70" s="20">
        <v>16.0</v>
      </c>
      <c r="Q70" s="22">
        <v>46020.68127314815</v>
      </c>
      <c r="R70" s="15" t="s">
        <v>107</v>
      </c>
      <c r="S70" s="15" t="s">
        <v>109</v>
      </c>
      <c r="T70" s="15" t="s">
        <v>204</v>
      </c>
      <c r="U70" s="15" t="s">
        <v>311</v>
      </c>
      <c r="V70" s="15" t="s">
        <v>312</v>
      </c>
      <c r="W70" s="15" t="s">
        <v>313</v>
      </c>
      <c r="X70" s="15" t="s">
        <v>120</v>
      </c>
      <c r="Y70" s="18"/>
      <c r="Z70" s="15" t="s">
        <v>117</v>
      </c>
      <c r="AA70" s="15" t="s">
        <v>1259</v>
      </c>
      <c r="AB70" s="15" t="s">
        <v>120</v>
      </c>
      <c r="AC70" s="18"/>
      <c r="AD70" s="18"/>
      <c r="AE70" s="15" t="s">
        <v>120</v>
      </c>
      <c r="AF70" s="18"/>
      <c r="AG70" s="15" t="s">
        <v>120</v>
      </c>
      <c r="AH70" s="18"/>
      <c r="AI70" s="15" t="s">
        <v>120</v>
      </c>
      <c r="AJ70" s="18"/>
      <c r="AK70" s="18"/>
      <c r="AL70" s="15" t="s">
        <v>185</v>
      </c>
      <c r="AM70" s="15" t="s">
        <v>156</v>
      </c>
      <c r="AN70" s="15" t="s">
        <v>138</v>
      </c>
      <c r="AO70" s="15" t="s">
        <v>128</v>
      </c>
      <c r="AP70" s="15"/>
    </row>
    <row r="71" ht="22.5" customHeight="1">
      <c r="A71" s="15" t="s">
        <v>1059</v>
      </c>
      <c r="B71" s="15" t="s">
        <v>1060</v>
      </c>
      <c r="C71" s="15" t="s">
        <v>1062</v>
      </c>
      <c r="D71" s="41">
        <v>39912.0</v>
      </c>
      <c r="E71" s="15" t="s">
        <v>98</v>
      </c>
      <c r="F71" s="15">
        <v>5.61482481E8</v>
      </c>
      <c r="G71" s="15" t="s">
        <v>1067</v>
      </c>
      <c r="H71" s="15" t="s">
        <v>150</v>
      </c>
      <c r="I71" s="49" t="s">
        <v>1069</v>
      </c>
      <c r="J71" s="15" t="s">
        <v>1071</v>
      </c>
      <c r="K71" s="15" t="s">
        <v>1073</v>
      </c>
      <c r="L71" s="15">
        <v>5.518772662E9</v>
      </c>
      <c r="M71" s="15" t="s">
        <v>1075</v>
      </c>
      <c r="N71" s="15" t="s">
        <v>1077</v>
      </c>
      <c r="O71" s="15">
        <v>5.626967095E9</v>
      </c>
      <c r="P71" s="20">
        <v>16.0</v>
      </c>
      <c r="Q71" s="22">
        <v>46038.86342592593</v>
      </c>
      <c r="R71" s="15" t="s">
        <v>107</v>
      </c>
      <c r="S71" s="15" t="s">
        <v>109</v>
      </c>
      <c r="T71" s="15" t="s">
        <v>171</v>
      </c>
      <c r="U71" s="15" t="s">
        <v>526</v>
      </c>
      <c r="V71" s="15" t="s">
        <v>527</v>
      </c>
      <c r="W71" s="15" t="s">
        <v>528</v>
      </c>
      <c r="X71" s="15" t="s">
        <v>120</v>
      </c>
      <c r="Y71" s="18"/>
      <c r="Z71" s="15" t="s">
        <v>117</v>
      </c>
      <c r="AA71" s="15" t="s">
        <v>1084</v>
      </c>
      <c r="AB71" s="15" t="s">
        <v>117</v>
      </c>
      <c r="AC71" s="15" t="s">
        <v>117</v>
      </c>
      <c r="AD71" s="15" t="s">
        <v>1086</v>
      </c>
      <c r="AE71" s="15" t="s">
        <v>117</v>
      </c>
      <c r="AF71" s="15" t="s">
        <v>366</v>
      </c>
      <c r="AG71" s="15" t="s">
        <v>120</v>
      </c>
      <c r="AH71" s="18"/>
      <c r="AI71" s="15" t="s">
        <v>120</v>
      </c>
      <c r="AJ71" s="18"/>
      <c r="AK71" s="18"/>
      <c r="AL71" s="15" t="s">
        <v>138</v>
      </c>
      <c r="AM71" s="15" t="s">
        <v>242</v>
      </c>
      <c r="AN71" s="15" t="s">
        <v>124</v>
      </c>
      <c r="AO71" s="15" t="s">
        <v>128</v>
      </c>
      <c r="AP71" s="15"/>
    </row>
    <row r="72" ht="22.5" customHeight="1">
      <c r="A72" s="15" t="s">
        <v>1097</v>
      </c>
      <c r="B72" s="15" t="s">
        <v>1099</v>
      </c>
      <c r="C72" s="18"/>
      <c r="D72" s="41">
        <v>39608.0</v>
      </c>
      <c r="E72" s="15" t="s">
        <v>98</v>
      </c>
      <c r="F72" s="15">
        <v>5.547121529E9</v>
      </c>
      <c r="G72" s="15" t="s">
        <v>1103</v>
      </c>
      <c r="H72" s="15" t="s">
        <v>150</v>
      </c>
      <c r="I72" s="49" t="s">
        <v>1105</v>
      </c>
      <c r="J72" s="15" t="s">
        <v>1106</v>
      </c>
      <c r="K72" s="15" t="s">
        <v>1108</v>
      </c>
      <c r="L72" s="15">
        <v>5.661176233E9</v>
      </c>
      <c r="M72" s="18"/>
      <c r="N72" s="18"/>
      <c r="O72" s="18"/>
      <c r="P72" s="20">
        <v>17.0</v>
      </c>
      <c r="Q72" s="22">
        <v>46036.391875</v>
      </c>
      <c r="R72" s="15" t="s">
        <v>107</v>
      </c>
      <c r="S72" s="15" t="s">
        <v>109</v>
      </c>
      <c r="T72" s="15" t="s">
        <v>208</v>
      </c>
      <c r="U72" s="15" t="s">
        <v>788</v>
      </c>
      <c r="V72" s="15" t="s">
        <v>789</v>
      </c>
      <c r="W72" s="15" t="s">
        <v>790</v>
      </c>
      <c r="X72" s="15" t="s">
        <v>120</v>
      </c>
      <c r="Y72" s="18"/>
      <c r="Z72" s="15" t="s">
        <v>117</v>
      </c>
      <c r="AA72" s="15" t="s">
        <v>1122</v>
      </c>
      <c r="AB72" s="15" t="s">
        <v>117</v>
      </c>
      <c r="AC72" s="15" t="s">
        <v>117</v>
      </c>
      <c r="AD72" s="18"/>
      <c r="AE72" s="15" t="s">
        <v>117</v>
      </c>
      <c r="AF72" s="15" t="s">
        <v>1123</v>
      </c>
      <c r="AG72" s="15" t="s">
        <v>120</v>
      </c>
      <c r="AH72" s="15" t="s">
        <v>1124</v>
      </c>
      <c r="AI72" s="15" t="s">
        <v>117</v>
      </c>
      <c r="AJ72" s="15" t="s">
        <v>1125</v>
      </c>
      <c r="AK72" s="18"/>
      <c r="AL72" s="15" t="s">
        <v>126</v>
      </c>
      <c r="AM72" s="15" t="s">
        <v>156</v>
      </c>
      <c r="AN72" s="15" t="s">
        <v>242</v>
      </c>
      <c r="AO72" s="15" t="s">
        <v>185</v>
      </c>
      <c r="AP72" s="15"/>
    </row>
    <row r="73" ht="22.5" customHeight="1">
      <c r="A73" s="15" t="s">
        <v>1025</v>
      </c>
      <c r="B73" s="15" t="s">
        <v>1027</v>
      </c>
      <c r="C73" s="15" t="s">
        <v>1028</v>
      </c>
      <c r="D73" s="41">
        <v>41264.0</v>
      </c>
      <c r="E73" s="15" t="s">
        <v>177</v>
      </c>
      <c r="F73" s="15">
        <v>5.520905035E9</v>
      </c>
      <c r="G73" s="15" t="s">
        <v>1029</v>
      </c>
      <c r="H73" s="15" t="s">
        <v>150</v>
      </c>
      <c r="I73" s="49" t="s">
        <v>1030</v>
      </c>
      <c r="J73" s="15" t="s">
        <v>1031</v>
      </c>
      <c r="K73" s="15" t="s">
        <v>1032</v>
      </c>
      <c r="L73" s="15">
        <v>5.520905035E9</v>
      </c>
      <c r="M73" s="15" t="s">
        <v>1034</v>
      </c>
      <c r="N73" s="15" t="s">
        <v>1036</v>
      </c>
      <c r="O73" s="15">
        <v>5.5149201E9</v>
      </c>
      <c r="P73" s="20">
        <v>13.0</v>
      </c>
      <c r="Q73" s="22">
        <v>46029.42487268519</v>
      </c>
      <c r="R73" s="15" t="s">
        <v>107</v>
      </c>
      <c r="S73" s="15" t="s">
        <v>109</v>
      </c>
      <c r="T73" s="15" t="s">
        <v>111</v>
      </c>
      <c r="U73" s="15" t="s">
        <v>112</v>
      </c>
      <c r="V73" s="15" t="s">
        <v>114</v>
      </c>
      <c r="W73" s="15" t="s">
        <v>115</v>
      </c>
      <c r="X73" s="15" t="s">
        <v>120</v>
      </c>
      <c r="Y73" s="15" t="s">
        <v>1047</v>
      </c>
      <c r="Z73" s="15" t="s">
        <v>117</v>
      </c>
      <c r="AA73" s="52" t="s">
        <v>1049</v>
      </c>
      <c r="AB73" s="15" t="s">
        <v>117</v>
      </c>
      <c r="AC73" s="15" t="s">
        <v>120</v>
      </c>
      <c r="AD73" s="15" t="s">
        <v>1053</v>
      </c>
      <c r="AE73" s="15" t="s">
        <v>120</v>
      </c>
      <c r="AF73" s="18"/>
      <c r="AG73" s="15" t="s">
        <v>120</v>
      </c>
      <c r="AH73" s="18"/>
      <c r="AI73" s="15" t="s">
        <v>120</v>
      </c>
      <c r="AJ73" s="18"/>
      <c r="AK73" s="15" t="s">
        <v>1055</v>
      </c>
      <c r="AL73" s="15" t="s">
        <v>126</v>
      </c>
      <c r="AM73" s="15" t="s">
        <v>240</v>
      </c>
      <c r="AN73" s="15" t="s">
        <v>242</v>
      </c>
      <c r="AO73" s="15" t="s">
        <v>124</v>
      </c>
      <c r="AP73" s="15"/>
    </row>
    <row r="74" ht="22.5" customHeight="1">
      <c r="A74" s="15" t="s">
        <v>1308</v>
      </c>
      <c r="B74" s="15" t="s">
        <v>1310</v>
      </c>
      <c r="C74" s="15" t="s">
        <v>72</v>
      </c>
      <c r="D74" s="41">
        <v>40376.0</v>
      </c>
      <c r="E74" s="15" t="s">
        <v>177</v>
      </c>
      <c r="F74" s="18" t="str">
        <f>+52 722 453 1475</f>
        <v>#ERROR!</v>
      </c>
      <c r="G74" s="15" t="s">
        <v>1315</v>
      </c>
      <c r="H74" s="15" t="s">
        <v>101</v>
      </c>
      <c r="I74" s="49" t="s">
        <v>1317</v>
      </c>
      <c r="J74" s="15" t="s">
        <v>1318</v>
      </c>
      <c r="K74" s="15" t="s">
        <v>1319</v>
      </c>
      <c r="L74" s="15">
        <v>5.518631673E9</v>
      </c>
      <c r="M74" s="15" t="s">
        <v>1321</v>
      </c>
      <c r="N74" s="15" t="s">
        <v>1323</v>
      </c>
      <c r="O74" s="15" t="s">
        <v>1324</v>
      </c>
      <c r="P74" s="20">
        <v>15.0</v>
      </c>
      <c r="Q74" s="22">
        <v>46021.5812037037</v>
      </c>
      <c r="R74" s="15" t="s">
        <v>107</v>
      </c>
      <c r="S74" s="15" t="s">
        <v>109</v>
      </c>
      <c r="T74" s="15" t="s">
        <v>192</v>
      </c>
      <c r="U74" s="15" t="s">
        <v>749</v>
      </c>
      <c r="V74" s="15" t="s">
        <v>750</v>
      </c>
      <c r="W74" s="15" t="s">
        <v>751</v>
      </c>
      <c r="X74" s="15" t="s">
        <v>120</v>
      </c>
      <c r="Y74" s="49" t="s">
        <v>1332</v>
      </c>
      <c r="Z74" s="15" t="s">
        <v>120</v>
      </c>
      <c r="AA74" s="18"/>
      <c r="AB74" s="15" t="s">
        <v>120</v>
      </c>
      <c r="AC74" s="18"/>
      <c r="AD74" s="18"/>
      <c r="AE74" s="15" t="s">
        <v>120</v>
      </c>
      <c r="AF74" s="18"/>
      <c r="AG74" s="15" t="s">
        <v>120</v>
      </c>
      <c r="AH74" s="18"/>
      <c r="AI74" s="15" t="s">
        <v>120</v>
      </c>
      <c r="AJ74" s="18"/>
      <c r="AK74" s="15" t="s">
        <v>1339</v>
      </c>
      <c r="AL74" s="15" t="s">
        <v>185</v>
      </c>
      <c r="AM74" s="15" t="s">
        <v>138</v>
      </c>
      <c r="AN74" s="15" t="s">
        <v>242</v>
      </c>
      <c r="AO74" s="15" t="s">
        <v>126</v>
      </c>
      <c r="AP74" s="15"/>
    </row>
    <row r="75" ht="22.5" customHeight="1">
      <c r="A75" s="15" t="s">
        <v>1342</v>
      </c>
      <c r="B75" s="15" t="s">
        <v>1344</v>
      </c>
      <c r="C75" s="15" t="s">
        <v>1345</v>
      </c>
      <c r="D75" s="41">
        <v>39539.0</v>
      </c>
      <c r="E75" s="15" t="s">
        <v>98</v>
      </c>
      <c r="F75" s="15">
        <v>5.59108627E9</v>
      </c>
      <c r="G75" s="15" t="s">
        <v>1348</v>
      </c>
      <c r="H75" s="15" t="s">
        <v>140</v>
      </c>
      <c r="I75" s="49" t="s">
        <v>1349</v>
      </c>
      <c r="J75" s="15" t="s">
        <v>1351</v>
      </c>
      <c r="K75" s="15" t="s">
        <v>1353</v>
      </c>
      <c r="L75" s="15">
        <v>5.511329118E9</v>
      </c>
      <c r="M75" s="18"/>
      <c r="N75" s="18"/>
      <c r="O75" s="18"/>
      <c r="P75" s="20">
        <v>17.0</v>
      </c>
      <c r="Q75" s="22">
        <v>46039.8621875</v>
      </c>
      <c r="R75" s="15" t="s">
        <v>107</v>
      </c>
      <c r="S75" s="15" t="s">
        <v>109</v>
      </c>
      <c r="T75" s="15" t="s">
        <v>127</v>
      </c>
      <c r="U75" s="15" t="s">
        <v>531</v>
      </c>
      <c r="V75" s="15" t="s">
        <v>532</v>
      </c>
      <c r="W75" s="15" t="s">
        <v>534</v>
      </c>
      <c r="X75" s="15" t="s">
        <v>120</v>
      </c>
      <c r="Y75" s="18"/>
      <c r="Z75" s="15" t="s">
        <v>117</v>
      </c>
      <c r="AA75" s="15" t="s">
        <v>1349</v>
      </c>
      <c r="AB75" s="15" t="s">
        <v>120</v>
      </c>
      <c r="AC75" s="18"/>
      <c r="AD75" s="18"/>
      <c r="AE75" s="15" t="s">
        <v>120</v>
      </c>
      <c r="AF75" s="18"/>
      <c r="AG75" s="15" t="s">
        <v>120</v>
      </c>
      <c r="AH75" s="18"/>
      <c r="AI75" s="15" t="s">
        <v>120</v>
      </c>
      <c r="AJ75" s="18"/>
      <c r="AK75" s="18"/>
      <c r="AL75" s="15" t="s">
        <v>138</v>
      </c>
      <c r="AM75" s="15" t="s">
        <v>124</v>
      </c>
      <c r="AN75" s="15" t="s">
        <v>240</v>
      </c>
      <c r="AO75" s="15" t="s">
        <v>156</v>
      </c>
      <c r="AP75" s="15"/>
    </row>
    <row r="76" ht="22.5" customHeight="1">
      <c r="A76" s="15" t="s">
        <v>1363</v>
      </c>
      <c r="B76" s="15" t="s">
        <v>1364</v>
      </c>
      <c r="C76" s="15" t="s">
        <v>1365</v>
      </c>
      <c r="D76" s="41">
        <v>40065.0</v>
      </c>
      <c r="E76" s="15" t="s">
        <v>98</v>
      </c>
      <c r="F76" s="15">
        <v>5.510082428E9</v>
      </c>
      <c r="G76" s="15" t="s">
        <v>1368</v>
      </c>
      <c r="H76" s="15" t="s">
        <v>101</v>
      </c>
      <c r="I76" s="49" t="s">
        <v>1371</v>
      </c>
      <c r="J76" s="15" t="s">
        <v>1373</v>
      </c>
      <c r="K76" s="15" t="s">
        <v>1375</v>
      </c>
      <c r="L76" s="15">
        <v>5.540294342E9</v>
      </c>
      <c r="M76" s="15" t="s">
        <v>1377</v>
      </c>
      <c r="N76" s="15" t="s">
        <v>1379</v>
      </c>
      <c r="O76" s="15" t="s">
        <v>1382</v>
      </c>
      <c r="P76" s="20">
        <v>16.0</v>
      </c>
      <c r="Q76" s="22">
        <v>46024.84850694444</v>
      </c>
      <c r="R76" s="15" t="s">
        <v>107</v>
      </c>
      <c r="S76" s="15" t="s">
        <v>109</v>
      </c>
      <c r="T76" s="15" t="s">
        <v>127</v>
      </c>
      <c r="U76" s="15" t="s">
        <v>531</v>
      </c>
      <c r="V76" s="15" t="s">
        <v>532</v>
      </c>
      <c r="W76" s="15" t="s">
        <v>534</v>
      </c>
      <c r="X76" s="15" t="s">
        <v>120</v>
      </c>
      <c r="Y76" s="18"/>
      <c r="Z76" s="15" t="s">
        <v>117</v>
      </c>
      <c r="AA76" s="52" t="s">
        <v>1391</v>
      </c>
      <c r="AB76" s="15" t="s">
        <v>120</v>
      </c>
      <c r="AC76" s="15" t="s">
        <v>120</v>
      </c>
      <c r="AD76" s="18"/>
      <c r="AE76" s="15" t="s">
        <v>120</v>
      </c>
      <c r="AF76" s="18"/>
      <c r="AG76" s="15" t="s">
        <v>120</v>
      </c>
      <c r="AH76" s="18"/>
      <c r="AI76" s="15" t="s">
        <v>120</v>
      </c>
      <c r="AJ76" s="18"/>
      <c r="AK76" s="18"/>
      <c r="AL76" s="15" t="s">
        <v>185</v>
      </c>
      <c r="AM76" s="15" t="s">
        <v>138</v>
      </c>
      <c r="AN76" s="15" t="s">
        <v>216</v>
      </c>
      <c r="AO76" s="15" t="s">
        <v>242</v>
      </c>
      <c r="AP76" s="15"/>
    </row>
    <row r="77" ht="23.25" customHeight="1">
      <c r="A77" s="15" t="s">
        <v>1061</v>
      </c>
      <c r="B77" s="15" t="s">
        <v>1063</v>
      </c>
      <c r="C77" s="15" t="s">
        <v>1065</v>
      </c>
      <c r="D77" s="41">
        <v>39817.0</v>
      </c>
      <c r="E77" s="15" t="s">
        <v>177</v>
      </c>
      <c r="F77" s="15">
        <v>5.566664013E9</v>
      </c>
      <c r="G77" s="15" t="s">
        <v>1072</v>
      </c>
      <c r="H77" s="15" t="s">
        <v>101</v>
      </c>
      <c r="I77" s="49" t="s">
        <v>1074</v>
      </c>
      <c r="J77" s="15" t="s">
        <v>1076</v>
      </c>
      <c r="K77" s="15" t="s">
        <v>1072</v>
      </c>
      <c r="L77" s="15">
        <v>5.566664013E9</v>
      </c>
      <c r="M77" s="15" t="s">
        <v>1078</v>
      </c>
      <c r="N77" s="15" t="s">
        <v>1079</v>
      </c>
      <c r="O77" s="15">
        <v>5.576102705E9</v>
      </c>
      <c r="P77" s="20">
        <v>17.0</v>
      </c>
      <c r="Q77" s="22">
        <v>46018.91241898148</v>
      </c>
      <c r="R77" s="15" t="s">
        <v>107</v>
      </c>
      <c r="S77" s="15" t="s">
        <v>109</v>
      </c>
      <c r="T77" s="15" t="s">
        <v>127</v>
      </c>
      <c r="U77" s="15" t="s">
        <v>672</v>
      </c>
      <c r="V77" s="15" t="s">
        <v>673</v>
      </c>
      <c r="W77" s="15" t="s">
        <v>674</v>
      </c>
      <c r="X77" s="15" t="s">
        <v>120</v>
      </c>
      <c r="Y77" s="18"/>
      <c r="Z77" s="15" t="s">
        <v>117</v>
      </c>
      <c r="AA77" s="15" t="s">
        <v>1090</v>
      </c>
      <c r="AB77" s="15" t="s">
        <v>120</v>
      </c>
      <c r="AC77" s="18"/>
      <c r="AD77" s="18"/>
      <c r="AE77" s="15" t="s">
        <v>120</v>
      </c>
      <c r="AF77" s="18"/>
      <c r="AG77" s="15" t="s">
        <v>120</v>
      </c>
      <c r="AH77" s="18"/>
      <c r="AI77" s="15" t="s">
        <v>117</v>
      </c>
      <c r="AJ77" s="15" t="s">
        <v>1096</v>
      </c>
      <c r="AK77" s="15" t="s">
        <v>1098</v>
      </c>
      <c r="AL77" s="15" t="s">
        <v>185</v>
      </c>
      <c r="AM77" s="15" t="s">
        <v>240</v>
      </c>
      <c r="AN77" s="15" t="s">
        <v>138</v>
      </c>
      <c r="AO77" s="15" t="s">
        <v>242</v>
      </c>
      <c r="AP77" s="15"/>
    </row>
    <row r="78" ht="22.5" customHeight="1">
      <c r="A78" s="15" t="s">
        <v>1416</v>
      </c>
      <c r="B78" s="15" t="s">
        <v>1418</v>
      </c>
      <c r="C78" s="15" t="s">
        <v>1419</v>
      </c>
      <c r="D78" s="41">
        <v>41132.0</v>
      </c>
      <c r="E78" s="15" t="s">
        <v>177</v>
      </c>
      <c r="F78" s="15">
        <v>5.585806377E9</v>
      </c>
      <c r="G78" s="15" t="s">
        <v>1420</v>
      </c>
      <c r="H78" s="15" t="s">
        <v>101</v>
      </c>
      <c r="I78" s="49" t="s">
        <v>1421</v>
      </c>
      <c r="J78" s="15" t="s">
        <v>1422</v>
      </c>
      <c r="K78" s="15" t="s">
        <v>1424</v>
      </c>
      <c r="L78" s="15">
        <v>5.585809983E9</v>
      </c>
      <c r="M78" s="15" t="s">
        <v>1426</v>
      </c>
      <c r="N78" s="15" t="s">
        <v>1420</v>
      </c>
      <c r="O78" s="15">
        <v>5.585806377E9</v>
      </c>
      <c r="P78" s="20">
        <v>13.0</v>
      </c>
      <c r="Q78" s="22">
        <v>46029.832094907404</v>
      </c>
      <c r="R78" s="15" t="s">
        <v>107</v>
      </c>
      <c r="S78" s="15" t="s">
        <v>109</v>
      </c>
      <c r="T78" s="15" t="s">
        <v>204</v>
      </c>
      <c r="U78" s="15" t="s">
        <v>311</v>
      </c>
      <c r="V78" s="15" t="s">
        <v>312</v>
      </c>
      <c r="W78" s="15" t="s">
        <v>313</v>
      </c>
      <c r="X78" s="15" t="s">
        <v>120</v>
      </c>
      <c r="Y78" s="18"/>
      <c r="Z78" s="15" t="s">
        <v>117</v>
      </c>
      <c r="AA78" s="52" t="s">
        <v>1433</v>
      </c>
      <c r="AB78" s="15" t="s">
        <v>120</v>
      </c>
      <c r="AC78" s="18"/>
      <c r="AD78" s="15" t="s">
        <v>1053</v>
      </c>
      <c r="AE78" s="15" t="s">
        <v>120</v>
      </c>
      <c r="AF78" s="18"/>
      <c r="AG78" s="15" t="s">
        <v>120</v>
      </c>
      <c r="AH78" s="18"/>
      <c r="AI78" s="15" t="s">
        <v>120</v>
      </c>
      <c r="AJ78" s="18"/>
      <c r="AK78" s="18"/>
      <c r="AL78" s="15" t="s">
        <v>156</v>
      </c>
      <c r="AM78" s="15" t="s">
        <v>138</v>
      </c>
      <c r="AN78" s="15" t="s">
        <v>129</v>
      </c>
      <c r="AO78" s="15" t="s">
        <v>185</v>
      </c>
      <c r="AP78" s="15"/>
    </row>
    <row r="79" ht="22.5" customHeight="1">
      <c r="A79" s="15" t="s">
        <v>1434</v>
      </c>
      <c r="B79" s="15" t="s">
        <v>1436</v>
      </c>
      <c r="C79" s="15" t="s">
        <v>1439</v>
      </c>
      <c r="D79" s="41">
        <v>41204.0</v>
      </c>
      <c r="E79" s="15" t="s">
        <v>177</v>
      </c>
      <c r="F79" s="15">
        <v>5.55108371E9</v>
      </c>
      <c r="G79" s="15" t="s">
        <v>1441</v>
      </c>
      <c r="H79" s="15" t="s">
        <v>150</v>
      </c>
      <c r="I79" s="49" t="s">
        <v>1442</v>
      </c>
      <c r="J79" s="15" t="s">
        <v>1443</v>
      </c>
      <c r="K79" s="15" t="s">
        <v>1441</v>
      </c>
      <c r="L79" s="15">
        <v>5.55108371E9</v>
      </c>
      <c r="M79" s="18"/>
      <c r="N79" s="18"/>
      <c r="O79" s="18"/>
      <c r="P79" s="20">
        <v>13.0</v>
      </c>
      <c r="Q79" s="22">
        <v>46033.48875</v>
      </c>
      <c r="R79" s="15" t="s">
        <v>107</v>
      </c>
      <c r="S79" s="15" t="s">
        <v>109</v>
      </c>
      <c r="T79" s="15" t="s">
        <v>204</v>
      </c>
      <c r="U79" s="15" t="s">
        <v>357</v>
      </c>
      <c r="V79" s="15" t="s">
        <v>359</v>
      </c>
      <c r="W79" s="15" t="s">
        <v>362</v>
      </c>
      <c r="X79" s="15" t="s">
        <v>120</v>
      </c>
      <c r="Y79" s="18"/>
      <c r="Z79" s="15" t="s">
        <v>117</v>
      </c>
      <c r="AA79" s="52" t="s">
        <v>1453</v>
      </c>
      <c r="AB79" s="15" t="s">
        <v>120</v>
      </c>
      <c r="AC79" s="15" t="s">
        <v>120</v>
      </c>
      <c r="AD79" s="18"/>
      <c r="AE79" s="15" t="s">
        <v>120</v>
      </c>
      <c r="AF79" s="18"/>
      <c r="AG79" s="15" t="s">
        <v>120</v>
      </c>
      <c r="AH79" s="18"/>
      <c r="AI79" s="15" t="s">
        <v>120</v>
      </c>
      <c r="AJ79" s="18"/>
      <c r="AK79" s="18"/>
      <c r="AL79" s="15" t="s">
        <v>185</v>
      </c>
      <c r="AM79" s="15" t="s">
        <v>216</v>
      </c>
      <c r="AN79" s="15" t="s">
        <v>138</v>
      </c>
      <c r="AO79" s="15" t="s">
        <v>242</v>
      </c>
      <c r="AP79" s="15"/>
    </row>
    <row r="80" ht="22.5" customHeight="1">
      <c r="A80" s="15" t="s">
        <v>1461</v>
      </c>
      <c r="B80" s="15" t="s">
        <v>1462</v>
      </c>
      <c r="C80" s="15" t="s">
        <v>1463</v>
      </c>
      <c r="D80" s="41">
        <v>41085.0</v>
      </c>
      <c r="E80" s="15" t="s">
        <v>177</v>
      </c>
      <c r="F80" s="15">
        <v>5.56971602E9</v>
      </c>
      <c r="G80" s="15" t="s">
        <v>1467</v>
      </c>
      <c r="H80" s="15" t="s">
        <v>382</v>
      </c>
      <c r="I80" s="49" t="s">
        <v>1468</v>
      </c>
      <c r="J80" s="15" t="s">
        <v>1469</v>
      </c>
      <c r="K80" s="15" t="s">
        <v>1470</v>
      </c>
      <c r="L80" s="15">
        <v>5.514126075E9</v>
      </c>
      <c r="M80" s="18"/>
      <c r="N80" s="18"/>
      <c r="O80" s="18"/>
      <c r="P80" s="20">
        <v>13.0</v>
      </c>
      <c r="Q80" s="22">
        <v>46037.83657407408</v>
      </c>
      <c r="R80" s="15" t="s">
        <v>107</v>
      </c>
      <c r="S80" s="15" t="s">
        <v>109</v>
      </c>
      <c r="T80" s="15" t="s">
        <v>111</v>
      </c>
      <c r="U80" s="15" t="s">
        <v>657</v>
      </c>
      <c r="V80" s="15" t="s">
        <v>659</v>
      </c>
      <c r="W80" s="15" t="s">
        <v>662</v>
      </c>
      <c r="X80" s="15" t="s">
        <v>120</v>
      </c>
      <c r="Y80" s="18"/>
      <c r="Z80" s="15" t="s">
        <v>117</v>
      </c>
      <c r="AA80" s="15" t="s">
        <v>458</v>
      </c>
      <c r="AB80" s="15" t="s">
        <v>120</v>
      </c>
      <c r="AC80" s="18"/>
      <c r="AD80" s="18"/>
      <c r="AE80" s="15" t="s">
        <v>120</v>
      </c>
      <c r="AF80" s="15" t="s">
        <v>667</v>
      </c>
      <c r="AG80" s="15" t="s">
        <v>120</v>
      </c>
      <c r="AH80" s="15" t="s">
        <v>667</v>
      </c>
      <c r="AI80" s="15" t="s">
        <v>120</v>
      </c>
      <c r="AJ80" s="15" t="s">
        <v>667</v>
      </c>
      <c r="AK80" s="15" t="s">
        <v>667</v>
      </c>
      <c r="AL80" s="15" t="s">
        <v>141</v>
      </c>
      <c r="AM80" s="15" t="s">
        <v>129</v>
      </c>
      <c r="AN80" s="15" t="s">
        <v>185</v>
      </c>
      <c r="AO80" s="15" t="s">
        <v>156</v>
      </c>
      <c r="AP80" s="15"/>
    </row>
    <row r="81" ht="22.5" customHeight="1">
      <c r="A81" s="15" t="s">
        <v>1486</v>
      </c>
      <c r="B81" s="15" t="s">
        <v>1488</v>
      </c>
      <c r="C81" s="15" t="s">
        <v>1490</v>
      </c>
      <c r="D81" s="41">
        <v>40577.0</v>
      </c>
      <c r="E81" s="15" t="s">
        <v>98</v>
      </c>
      <c r="F81" s="15">
        <v>5.55108371E9</v>
      </c>
      <c r="G81" s="15" t="s">
        <v>1492</v>
      </c>
      <c r="H81" s="15" t="s">
        <v>150</v>
      </c>
      <c r="I81" s="49" t="s">
        <v>1494</v>
      </c>
      <c r="J81" s="15" t="s">
        <v>1443</v>
      </c>
      <c r="K81" s="15" t="s">
        <v>1441</v>
      </c>
      <c r="L81" s="15">
        <v>5.55108371E9</v>
      </c>
      <c r="M81" s="18"/>
      <c r="N81" s="18"/>
      <c r="O81" s="18"/>
      <c r="P81" s="20">
        <v>15.0</v>
      </c>
      <c r="Q81" s="22">
        <v>46026.73986111111</v>
      </c>
      <c r="R81" s="15" t="s">
        <v>107</v>
      </c>
      <c r="S81" s="15" t="s">
        <v>109</v>
      </c>
      <c r="T81" s="15" t="s">
        <v>204</v>
      </c>
      <c r="U81" s="15" t="s">
        <v>357</v>
      </c>
      <c r="V81" s="15" t="s">
        <v>359</v>
      </c>
      <c r="W81" s="15" t="s">
        <v>362</v>
      </c>
      <c r="X81" s="15" t="s">
        <v>120</v>
      </c>
      <c r="Y81" s="18"/>
      <c r="Z81" s="15" t="s">
        <v>117</v>
      </c>
      <c r="AA81" s="52" t="s">
        <v>1503</v>
      </c>
      <c r="AB81" s="15" t="s">
        <v>120</v>
      </c>
      <c r="AC81" s="15" t="s">
        <v>120</v>
      </c>
      <c r="AD81" s="18"/>
      <c r="AE81" s="15" t="s">
        <v>120</v>
      </c>
      <c r="AF81" s="18"/>
      <c r="AG81" s="15" t="s">
        <v>120</v>
      </c>
      <c r="AH81" s="18"/>
      <c r="AI81" s="15" t="s">
        <v>120</v>
      </c>
      <c r="AJ81" s="18"/>
      <c r="AK81" s="18"/>
      <c r="AL81" s="15" t="s">
        <v>141</v>
      </c>
      <c r="AM81" s="15" t="s">
        <v>156</v>
      </c>
      <c r="AN81" s="15" t="s">
        <v>126</v>
      </c>
      <c r="AO81" s="15" t="s">
        <v>216</v>
      </c>
      <c r="AP81" s="15"/>
    </row>
    <row r="82" ht="22.5" customHeight="1">
      <c r="A82" s="15" t="s">
        <v>1155</v>
      </c>
      <c r="B82" s="15" t="s">
        <v>1156</v>
      </c>
      <c r="C82" s="15" t="s">
        <v>1157</v>
      </c>
      <c r="D82" s="41">
        <v>41263.0</v>
      </c>
      <c r="E82" s="15" t="s">
        <v>98</v>
      </c>
      <c r="F82" s="15">
        <v>5.664799779E9</v>
      </c>
      <c r="G82" s="15" t="s">
        <v>1161</v>
      </c>
      <c r="H82" s="15" t="s">
        <v>140</v>
      </c>
      <c r="I82" s="49" t="s">
        <v>1163</v>
      </c>
      <c r="J82" s="15" t="s">
        <v>662</v>
      </c>
      <c r="K82" s="15" t="s">
        <v>659</v>
      </c>
      <c r="L82" s="15">
        <v>5.548321876E9</v>
      </c>
      <c r="M82" s="15" t="s">
        <v>1164</v>
      </c>
      <c r="N82" s="15" t="s">
        <v>1166</v>
      </c>
      <c r="O82" s="15">
        <v>5.568740439E9</v>
      </c>
      <c r="P82" s="20">
        <v>13.0</v>
      </c>
      <c r="Q82" s="22">
        <v>46032.85679398148</v>
      </c>
      <c r="R82" s="15" t="s">
        <v>107</v>
      </c>
      <c r="S82" s="15" t="s">
        <v>109</v>
      </c>
      <c r="T82" s="15" t="s">
        <v>111</v>
      </c>
      <c r="U82" s="15" t="s">
        <v>657</v>
      </c>
      <c r="V82" s="15" t="s">
        <v>659</v>
      </c>
      <c r="W82" s="15" t="s">
        <v>662</v>
      </c>
      <c r="X82" s="15" t="s">
        <v>120</v>
      </c>
      <c r="Y82" s="15" t="s">
        <v>667</v>
      </c>
      <c r="Z82" s="15" t="s">
        <v>117</v>
      </c>
      <c r="AA82" s="52" t="s">
        <v>1168</v>
      </c>
      <c r="AB82" s="15" t="s">
        <v>117</v>
      </c>
      <c r="AC82" s="15" t="s">
        <v>117</v>
      </c>
      <c r="AD82" s="15" t="s">
        <v>1175</v>
      </c>
      <c r="AE82" s="15" t="s">
        <v>117</v>
      </c>
      <c r="AF82" s="15" t="s">
        <v>1176</v>
      </c>
      <c r="AG82" s="15" t="s">
        <v>120</v>
      </c>
      <c r="AH82" s="15" t="s">
        <v>667</v>
      </c>
      <c r="AI82" s="15" t="s">
        <v>120</v>
      </c>
      <c r="AJ82" s="15" t="s">
        <v>667</v>
      </c>
      <c r="AK82" s="15" t="s">
        <v>667</v>
      </c>
      <c r="AL82" s="15" t="s">
        <v>156</v>
      </c>
      <c r="AM82" s="15" t="s">
        <v>242</v>
      </c>
      <c r="AN82" s="15" t="s">
        <v>240</v>
      </c>
      <c r="AO82" s="15" t="s">
        <v>138</v>
      </c>
      <c r="AP82" s="15"/>
    </row>
    <row r="83" ht="22.5" customHeight="1">
      <c r="A83" s="15" t="s">
        <v>1518</v>
      </c>
      <c r="B83" s="15" t="s">
        <v>754</v>
      </c>
      <c r="C83" s="15" t="s">
        <v>1520</v>
      </c>
      <c r="D83" s="41">
        <v>39990.0</v>
      </c>
      <c r="E83" s="15" t="s">
        <v>177</v>
      </c>
      <c r="F83" s="15">
        <v>5.563467989E9</v>
      </c>
      <c r="G83" s="15" t="s">
        <v>1522</v>
      </c>
      <c r="H83" s="15" t="s">
        <v>140</v>
      </c>
      <c r="I83" s="49" t="s">
        <v>516</v>
      </c>
      <c r="J83" s="15" t="s">
        <v>1523</v>
      </c>
      <c r="K83" s="15" t="s">
        <v>1524</v>
      </c>
      <c r="L83" s="15">
        <v>5.513188924E9</v>
      </c>
      <c r="M83" s="18"/>
      <c r="N83" s="18"/>
      <c r="O83" s="18"/>
      <c r="P83" s="20">
        <v>16.0</v>
      </c>
      <c r="Q83" s="22">
        <v>46035.86467592593</v>
      </c>
      <c r="R83" s="15" t="s">
        <v>107</v>
      </c>
      <c r="S83" s="15" t="s">
        <v>109</v>
      </c>
      <c r="T83" s="15" t="s">
        <v>127</v>
      </c>
      <c r="U83" s="15" t="s">
        <v>766</v>
      </c>
      <c r="V83" s="15" t="s">
        <v>767</v>
      </c>
      <c r="W83" s="15" t="s">
        <v>768</v>
      </c>
      <c r="X83" s="15" t="s">
        <v>120</v>
      </c>
      <c r="Y83" s="18"/>
      <c r="Z83" s="15" t="s">
        <v>120</v>
      </c>
      <c r="AA83" s="18"/>
      <c r="AB83" s="15" t="s">
        <v>120</v>
      </c>
      <c r="AC83" s="18"/>
      <c r="AD83" s="18"/>
      <c r="AE83" s="15" t="s">
        <v>120</v>
      </c>
      <c r="AF83" s="18"/>
      <c r="AG83" s="15" t="s">
        <v>120</v>
      </c>
      <c r="AH83" s="18"/>
      <c r="AI83" s="15" t="s">
        <v>120</v>
      </c>
      <c r="AJ83" s="18"/>
      <c r="AK83" s="18"/>
      <c r="AL83" s="15" t="s">
        <v>124</v>
      </c>
      <c r="AM83" s="15" t="s">
        <v>138</v>
      </c>
      <c r="AN83" s="15" t="s">
        <v>128</v>
      </c>
      <c r="AO83" s="15" t="s">
        <v>240</v>
      </c>
      <c r="AP83" s="15"/>
    </row>
    <row r="84" ht="22.5" customHeight="1">
      <c r="A84" s="15" t="s">
        <v>1190</v>
      </c>
      <c r="B84" s="15" t="s">
        <v>1192</v>
      </c>
      <c r="C84" s="15" t="s">
        <v>1193</v>
      </c>
      <c r="D84" s="41">
        <v>40111.0</v>
      </c>
      <c r="E84" s="15" t="s">
        <v>98</v>
      </c>
      <c r="F84" s="15">
        <v>5.612971051E9</v>
      </c>
      <c r="G84" s="15" t="s">
        <v>1196</v>
      </c>
      <c r="H84" s="15" t="s">
        <v>140</v>
      </c>
      <c r="I84" s="49" t="s">
        <v>1197</v>
      </c>
      <c r="J84" s="15" t="s">
        <v>1198</v>
      </c>
      <c r="K84" s="15" t="s">
        <v>1199</v>
      </c>
      <c r="L84" s="15">
        <v>5.554632295E9</v>
      </c>
      <c r="M84" s="18"/>
      <c r="N84" s="18"/>
      <c r="O84" s="18"/>
      <c r="P84" s="20">
        <v>16.0</v>
      </c>
      <c r="Q84" s="22">
        <v>46033.373391203706</v>
      </c>
      <c r="R84" s="15" t="s">
        <v>107</v>
      </c>
      <c r="S84" s="15" t="s">
        <v>109</v>
      </c>
      <c r="T84" s="15" t="s">
        <v>160</v>
      </c>
      <c r="U84" s="15" t="s">
        <v>308</v>
      </c>
      <c r="V84" s="15" t="s">
        <v>309</v>
      </c>
      <c r="W84" s="15" t="s">
        <v>310</v>
      </c>
      <c r="X84" s="15" t="s">
        <v>120</v>
      </c>
      <c r="Y84" s="18"/>
      <c r="Z84" s="15" t="s">
        <v>120</v>
      </c>
      <c r="AA84" s="18"/>
      <c r="AB84" s="15" t="s">
        <v>117</v>
      </c>
      <c r="AC84" s="15" t="s">
        <v>117</v>
      </c>
      <c r="AD84" s="15" t="s">
        <v>1208</v>
      </c>
      <c r="AE84" s="15" t="s">
        <v>120</v>
      </c>
      <c r="AF84" s="18"/>
      <c r="AG84" s="15" t="s">
        <v>117</v>
      </c>
      <c r="AH84" s="15" t="s">
        <v>1210</v>
      </c>
      <c r="AI84" s="15" t="s">
        <v>120</v>
      </c>
      <c r="AJ84" s="18"/>
      <c r="AK84" s="18"/>
      <c r="AL84" s="15" t="s">
        <v>185</v>
      </c>
      <c r="AM84" s="15" t="s">
        <v>156</v>
      </c>
      <c r="AN84" s="15" t="s">
        <v>126</v>
      </c>
      <c r="AO84" s="15" t="s">
        <v>138</v>
      </c>
      <c r="AP84" s="15"/>
    </row>
    <row r="85" ht="22.5" customHeight="1">
      <c r="A85" s="15" t="s">
        <v>1554</v>
      </c>
      <c r="B85" s="15" t="s">
        <v>1556</v>
      </c>
      <c r="C85" s="15" t="s">
        <v>1557</v>
      </c>
      <c r="D85" s="41">
        <v>40456.0</v>
      </c>
      <c r="E85" s="15" t="s">
        <v>98</v>
      </c>
      <c r="F85" s="15">
        <v>5.518188558E9</v>
      </c>
      <c r="G85" s="15" t="s">
        <v>1561</v>
      </c>
      <c r="H85" s="15" t="s">
        <v>140</v>
      </c>
      <c r="I85" s="49" t="s">
        <v>1562</v>
      </c>
      <c r="J85" s="15" t="s">
        <v>1563</v>
      </c>
      <c r="K85" s="15" t="s">
        <v>1564</v>
      </c>
      <c r="L85" s="15">
        <v>5.531354207E9</v>
      </c>
      <c r="M85" s="18"/>
      <c r="N85" s="18"/>
      <c r="O85" s="18"/>
      <c r="P85" s="20">
        <v>15.0</v>
      </c>
      <c r="Q85" s="22">
        <v>46033.49866898148</v>
      </c>
      <c r="R85" s="15" t="s">
        <v>107</v>
      </c>
      <c r="S85" s="15" t="s">
        <v>109</v>
      </c>
      <c r="T85" s="15" t="s">
        <v>208</v>
      </c>
      <c r="U85" s="15" t="s">
        <v>228</v>
      </c>
      <c r="V85" s="15" t="s">
        <v>229</v>
      </c>
      <c r="W85" s="15" t="s">
        <v>230</v>
      </c>
      <c r="X85" s="15" t="s">
        <v>120</v>
      </c>
      <c r="Y85" s="18"/>
      <c r="Z85" s="15" t="s">
        <v>120</v>
      </c>
      <c r="AA85" s="18"/>
      <c r="AB85" s="15" t="s">
        <v>120</v>
      </c>
      <c r="AC85" s="15" t="s">
        <v>120</v>
      </c>
      <c r="AD85" s="18"/>
      <c r="AE85" s="15" t="s">
        <v>120</v>
      </c>
      <c r="AF85" s="18"/>
      <c r="AG85" s="15" t="s">
        <v>120</v>
      </c>
      <c r="AH85" s="18"/>
      <c r="AI85" s="15" t="s">
        <v>120</v>
      </c>
      <c r="AJ85" s="18"/>
      <c r="AK85" s="18"/>
      <c r="AL85" s="15" t="s">
        <v>156</v>
      </c>
      <c r="AM85" s="15" t="s">
        <v>240</v>
      </c>
      <c r="AN85" s="15" t="s">
        <v>129</v>
      </c>
      <c r="AO85" s="15" t="s">
        <v>138</v>
      </c>
      <c r="AP85" s="15"/>
    </row>
    <row r="86" ht="22.5" customHeight="1">
      <c r="A86" s="15" t="s">
        <v>1572</v>
      </c>
      <c r="B86" s="15" t="s">
        <v>1556</v>
      </c>
      <c r="C86" s="15" t="s">
        <v>1574</v>
      </c>
      <c r="D86" s="41">
        <v>39915.0</v>
      </c>
      <c r="E86" s="15" t="s">
        <v>98</v>
      </c>
      <c r="F86" s="15">
        <v>5.5414049E9</v>
      </c>
      <c r="G86" s="15" t="s">
        <v>1578</v>
      </c>
      <c r="H86" s="15" t="s">
        <v>140</v>
      </c>
      <c r="I86" s="49" t="s">
        <v>1580</v>
      </c>
      <c r="J86" s="15" t="s">
        <v>1563</v>
      </c>
      <c r="K86" s="15" t="s">
        <v>1564</v>
      </c>
      <c r="L86" s="15">
        <v>5.531354207E9</v>
      </c>
      <c r="M86" s="18"/>
      <c r="N86" s="18"/>
      <c r="O86" s="18"/>
      <c r="P86" s="20">
        <v>16.0</v>
      </c>
      <c r="Q86" s="22">
        <v>46033.49048611111</v>
      </c>
      <c r="R86" s="15" t="s">
        <v>107</v>
      </c>
      <c r="S86" s="15" t="s">
        <v>109</v>
      </c>
      <c r="T86" s="15" t="s">
        <v>208</v>
      </c>
      <c r="U86" s="15" t="s">
        <v>228</v>
      </c>
      <c r="V86" s="15" t="s">
        <v>229</v>
      </c>
      <c r="W86" s="15" t="s">
        <v>230</v>
      </c>
      <c r="X86" s="15" t="s">
        <v>120</v>
      </c>
      <c r="Y86" s="18"/>
      <c r="Z86" s="15" t="s">
        <v>120</v>
      </c>
      <c r="AA86" s="18"/>
      <c r="AB86" s="15" t="s">
        <v>120</v>
      </c>
      <c r="AC86" s="18"/>
      <c r="AD86" s="18"/>
      <c r="AE86" s="15" t="s">
        <v>120</v>
      </c>
      <c r="AF86" s="18"/>
      <c r="AG86" s="15" t="s">
        <v>120</v>
      </c>
      <c r="AH86" s="18"/>
      <c r="AI86" s="15" t="s">
        <v>120</v>
      </c>
      <c r="AJ86" s="18"/>
      <c r="AK86" s="18"/>
      <c r="AL86" s="15" t="s">
        <v>128</v>
      </c>
      <c r="AM86" s="15" t="s">
        <v>124</v>
      </c>
      <c r="AN86" s="15" t="s">
        <v>138</v>
      </c>
      <c r="AO86" s="15" t="s">
        <v>156</v>
      </c>
      <c r="AP86" s="15"/>
    </row>
    <row r="87" ht="22.5" customHeight="1">
      <c r="A87" s="15" t="s">
        <v>1219</v>
      </c>
      <c r="B87" s="15" t="s">
        <v>1156</v>
      </c>
      <c r="C87" s="15" t="s">
        <v>1223</v>
      </c>
      <c r="D87" s="41">
        <v>40654.0</v>
      </c>
      <c r="E87" s="15" t="s">
        <v>177</v>
      </c>
      <c r="F87" s="15">
        <v>5.563536685E9</v>
      </c>
      <c r="G87" s="15" t="s">
        <v>1226</v>
      </c>
      <c r="H87" s="15" t="s">
        <v>101</v>
      </c>
      <c r="I87" s="49" t="s">
        <v>1228</v>
      </c>
      <c r="J87" s="15" t="s">
        <v>1229</v>
      </c>
      <c r="K87" s="15" t="s">
        <v>659</v>
      </c>
      <c r="L87" s="15">
        <v>5.548321876E9</v>
      </c>
      <c r="M87" s="15" t="s">
        <v>1232</v>
      </c>
      <c r="N87" s="15" t="s">
        <v>1166</v>
      </c>
      <c r="O87" s="15">
        <v>5.568740439E9</v>
      </c>
      <c r="P87" s="20">
        <v>14.0</v>
      </c>
      <c r="Q87" s="22">
        <v>46032.86601851852</v>
      </c>
      <c r="R87" s="15" t="s">
        <v>107</v>
      </c>
      <c r="S87" s="15" t="s">
        <v>109</v>
      </c>
      <c r="T87" s="15" t="s">
        <v>111</v>
      </c>
      <c r="U87" s="15" t="s">
        <v>657</v>
      </c>
      <c r="V87" s="15" t="s">
        <v>659</v>
      </c>
      <c r="W87" s="15" t="s">
        <v>662</v>
      </c>
      <c r="X87" s="15" t="s">
        <v>120</v>
      </c>
      <c r="Y87" s="15" t="s">
        <v>667</v>
      </c>
      <c r="Z87" s="15" t="s">
        <v>117</v>
      </c>
      <c r="AA87" s="52" t="s">
        <v>1239</v>
      </c>
      <c r="AB87" s="15" t="s">
        <v>117</v>
      </c>
      <c r="AC87" s="15" t="s">
        <v>117</v>
      </c>
      <c r="AD87" s="15" t="s">
        <v>1175</v>
      </c>
      <c r="AE87" s="15" t="s">
        <v>117</v>
      </c>
      <c r="AF87" s="15" t="s">
        <v>1176</v>
      </c>
      <c r="AG87" s="15" t="s">
        <v>120</v>
      </c>
      <c r="AH87" s="15" t="s">
        <v>667</v>
      </c>
      <c r="AI87" s="15" t="s">
        <v>120</v>
      </c>
      <c r="AJ87" s="15" t="s">
        <v>667</v>
      </c>
      <c r="AK87" s="15" t="s">
        <v>667</v>
      </c>
      <c r="AL87" s="15" t="s">
        <v>240</v>
      </c>
      <c r="AM87" s="15" t="s">
        <v>124</v>
      </c>
      <c r="AN87" s="15" t="s">
        <v>129</v>
      </c>
      <c r="AO87" s="15" t="s">
        <v>185</v>
      </c>
      <c r="AP87" s="15"/>
    </row>
    <row r="88" ht="23.25" customHeight="1">
      <c r="A88" s="15" t="s">
        <v>1621</v>
      </c>
      <c r="B88" s="15" t="s">
        <v>1622</v>
      </c>
      <c r="C88" s="15" t="s">
        <v>1623</v>
      </c>
      <c r="D88" s="41">
        <v>39723.0</v>
      </c>
      <c r="E88" s="15" t="s">
        <v>177</v>
      </c>
      <c r="F88" s="15">
        <v>5.535482797E9</v>
      </c>
      <c r="G88" s="15" t="s">
        <v>1625</v>
      </c>
      <c r="H88" s="15" t="s">
        <v>150</v>
      </c>
      <c r="I88" s="49" t="s">
        <v>458</v>
      </c>
      <c r="J88" s="15" t="s">
        <v>1626</v>
      </c>
      <c r="K88" s="15" t="s">
        <v>1628</v>
      </c>
      <c r="L88" s="15">
        <v>5.535489729E9</v>
      </c>
      <c r="M88" s="18"/>
      <c r="N88" s="18"/>
      <c r="O88" s="18"/>
      <c r="P88" s="20">
        <v>17.0</v>
      </c>
      <c r="Q88" s="22">
        <v>46033.48231481481</v>
      </c>
      <c r="R88" s="15" t="s">
        <v>260</v>
      </c>
      <c r="S88" s="15" t="s">
        <v>109</v>
      </c>
      <c r="T88" s="15" t="s">
        <v>171</v>
      </c>
      <c r="U88" s="15" t="s">
        <v>1048</v>
      </c>
      <c r="V88" s="15" t="s">
        <v>1050</v>
      </c>
      <c r="W88" s="15" t="s">
        <v>1051</v>
      </c>
      <c r="X88" s="15" t="s">
        <v>120</v>
      </c>
      <c r="Y88" s="18"/>
      <c r="Z88" s="15" t="s">
        <v>120</v>
      </c>
      <c r="AA88" s="18"/>
      <c r="AB88" s="15" t="s">
        <v>120</v>
      </c>
      <c r="AC88" s="15" t="s">
        <v>120</v>
      </c>
      <c r="AD88" s="18"/>
      <c r="AE88" s="15" t="s">
        <v>120</v>
      </c>
      <c r="AF88" s="18"/>
      <c r="AG88" s="15" t="s">
        <v>120</v>
      </c>
      <c r="AH88" s="18"/>
      <c r="AI88" s="15" t="s">
        <v>120</v>
      </c>
      <c r="AJ88" s="18"/>
      <c r="AK88" s="18"/>
      <c r="AL88" s="15" t="s">
        <v>156</v>
      </c>
      <c r="AM88" s="15" t="s">
        <v>138</v>
      </c>
      <c r="AN88" s="15" t="s">
        <v>242</v>
      </c>
      <c r="AO88" s="15" t="s">
        <v>185</v>
      </c>
      <c r="AP88" s="15"/>
    </row>
    <row r="89" ht="23.25" customHeight="1">
      <c r="A89" s="15" t="s">
        <v>1107</v>
      </c>
      <c r="B89" s="15" t="s">
        <v>1109</v>
      </c>
      <c r="C89" s="15" t="s">
        <v>1110</v>
      </c>
      <c r="D89" s="41">
        <v>41035.0</v>
      </c>
      <c r="E89" s="15" t="s">
        <v>98</v>
      </c>
      <c r="F89" s="15">
        <v>5.587931444E9</v>
      </c>
      <c r="G89" s="15" t="s">
        <v>1114</v>
      </c>
      <c r="H89" s="15" t="s">
        <v>140</v>
      </c>
      <c r="I89" s="49" t="s">
        <v>1116</v>
      </c>
      <c r="J89" s="15" t="s">
        <v>1118</v>
      </c>
      <c r="K89" s="15" t="s">
        <v>1120</v>
      </c>
      <c r="L89" s="15">
        <v>5.587931444E9</v>
      </c>
      <c r="M89" s="18"/>
      <c r="N89" s="18"/>
      <c r="O89" s="18"/>
      <c r="P89" s="20">
        <v>13.0</v>
      </c>
      <c r="Q89" s="22">
        <v>46032.68609953704</v>
      </c>
      <c r="R89" s="15" t="s">
        <v>107</v>
      </c>
      <c r="S89" s="15" t="s">
        <v>109</v>
      </c>
      <c r="T89" s="15" t="s">
        <v>204</v>
      </c>
      <c r="U89" s="15" t="s">
        <v>357</v>
      </c>
      <c r="V89" s="15" t="s">
        <v>359</v>
      </c>
      <c r="W89" s="15" t="s">
        <v>362</v>
      </c>
      <c r="X89" s="15" t="s">
        <v>120</v>
      </c>
      <c r="Y89" s="18"/>
      <c r="Z89" s="15" t="s">
        <v>117</v>
      </c>
      <c r="AA89" s="52" t="s">
        <v>1129</v>
      </c>
      <c r="AB89" s="15" t="s">
        <v>117</v>
      </c>
      <c r="AC89" s="15" t="s">
        <v>117</v>
      </c>
      <c r="AD89" s="15" t="s">
        <v>1131</v>
      </c>
      <c r="AE89" s="15" t="s">
        <v>120</v>
      </c>
      <c r="AF89" s="18"/>
      <c r="AG89" s="15" t="s">
        <v>120</v>
      </c>
      <c r="AH89" s="18"/>
      <c r="AI89" s="15" t="s">
        <v>117</v>
      </c>
      <c r="AJ89" s="15" t="s">
        <v>1137</v>
      </c>
      <c r="AK89" s="18"/>
      <c r="AL89" s="15" t="s">
        <v>216</v>
      </c>
      <c r="AM89" s="15" t="s">
        <v>138</v>
      </c>
      <c r="AN89" s="15" t="s">
        <v>156</v>
      </c>
      <c r="AO89" s="15" t="s">
        <v>141</v>
      </c>
      <c r="AP89" s="15"/>
    </row>
    <row r="90" ht="22.5" customHeight="1">
      <c r="A90" s="15" t="s">
        <v>1666</v>
      </c>
      <c r="B90" s="15" t="s">
        <v>1668</v>
      </c>
      <c r="C90" s="18"/>
      <c r="D90" s="41">
        <v>39717.0</v>
      </c>
      <c r="E90" s="15" t="s">
        <v>177</v>
      </c>
      <c r="F90" s="15">
        <v>7.292676426E9</v>
      </c>
      <c r="G90" s="15" t="s">
        <v>1669</v>
      </c>
      <c r="H90" s="15" t="s">
        <v>140</v>
      </c>
      <c r="I90" s="49" t="s">
        <v>1670</v>
      </c>
      <c r="J90" s="15" t="s">
        <v>1671</v>
      </c>
      <c r="K90" s="15" t="s">
        <v>1673</v>
      </c>
      <c r="L90" s="15">
        <v>5.554373799E9</v>
      </c>
      <c r="M90" s="15" t="s">
        <v>1677</v>
      </c>
      <c r="N90" s="15" t="s">
        <v>1679</v>
      </c>
      <c r="O90" s="15">
        <v>5.539555755E9</v>
      </c>
      <c r="P90" s="20">
        <v>17.0</v>
      </c>
      <c r="Q90" s="22">
        <v>46040.597905092596</v>
      </c>
      <c r="R90" s="15" t="s">
        <v>107</v>
      </c>
      <c r="S90" s="15" t="s">
        <v>109</v>
      </c>
      <c r="T90" s="15" t="s">
        <v>192</v>
      </c>
      <c r="U90" s="15" t="s">
        <v>485</v>
      </c>
      <c r="V90" s="15" t="s">
        <v>486</v>
      </c>
      <c r="W90" s="15" t="s">
        <v>487</v>
      </c>
      <c r="X90" s="15" t="s">
        <v>120</v>
      </c>
      <c r="Y90" s="18"/>
      <c r="Z90" s="15" t="s">
        <v>117</v>
      </c>
      <c r="AA90" s="58" t="s">
        <v>1689</v>
      </c>
      <c r="AB90" s="15" t="s">
        <v>120</v>
      </c>
      <c r="AC90" s="18"/>
      <c r="AD90" s="18"/>
      <c r="AE90" s="15" t="s">
        <v>120</v>
      </c>
      <c r="AF90" s="18"/>
      <c r="AG90" s="15" t="s">
        <v>120</v>
      </c>
      <c r="AH90" s="18"/>
      <c r="AI90" s="15" t="s">
        <v>120</v>
      </c>
      <c r="AJ90" s="18"/>
      <c r="AK90" s="18"/>
      <c r="AL90" s="15" t="s">
        <v>126</v>
      </c>
      <c r="AM90" s="15" t="s">
        <v>185</v>
      </c>
      <c r="AN90" s="15" t="s">
        <v>124</v>
      </c>
      <c r="AO90" s="15" t="s">
        <v>129</v>
      </c>
      <c r="AP90" s="15"/>
    </row>
    <row r="91" ht="22.5" customHeight="1">
      <c r="A91" s="15" t="s">
        <v>1695</v>
      </c>
      <c r="B91" s="15" t="s">
        <v>1696</v>
      </c>
      <c r="C91" s="15" t="s">
        <v>1698</v>
      </c>
      <c r="D91" s="41">
        <v>41226.0</v>
      </c>
      <c r="E91" s="15" t="s">
        <v>177</v>
      </c>
      <c r="F91" s="15">
        <v>5.54829996E9</v>
      </c>
      <c r="G91" s="15" t="s">
        <v>1700</v>
      </c>
      <c r="H91" s="15" t="s">
        <v>101</v>
      </c>
      <c r="I91" s="49" t="s">
        <v>1701</v>
      </c>
      <c r="J91" s="15" t="s">
        <v>1702</v>
      </c>
      <c r="K91" s="15" t="s">
        <v>1703</v>
      </c>
      <c r="L91" s="15">
        <v>5.581784097E9</v>
      </c>
      <c r="M91" s="18"/>
      <c r="N91" s="18"/>
      <c r="O91" s="18"/>
      <c r="P91" s="20">
        <v>13.0</v>
      </c>
      <c r="Q91" s="22">
        <v>46033.5578125</v>
      </c>
      <c r="R91" s="15" t="s">
        <v>107</v>
      </c>
      <c r="S91" s="15" t="s">
        <v>109</v>
      </c>
      <c r="T91" s="15" t="s">
        <v>171</v>
      </c>
      <c r="U91" s="15" t="s">
        <v>262</v>
      </c>
      <c r="V91" s="15" t="s">
        <v>263</v>
      </c>
      <c r="W91" s="15" t="s">
        <v>264</v>
      </c>
      <c r="X91" s="15" t="s">
        <v>120</v>
      </c>
      <c r="Y91" s="18"/>
      <c r="Z91" s="15" t="s">
        <v>120</v>
      </c>
      <c r="AA91" s="18"/>
      <c r="AB91" s="15" t="s">
        <v>120</v>
      </c>
      <c r="AC91" s="15" t="s">
        <v>120</v>
      </c>
      <c r="AD91" s="18"/>
      <c r="AE91" s="15" t="s">
        <v>120</v>
      </c>
      <c r="AF91" s="18"/>
      <c r="AG91" s="15" t="s">
        <v>120</v>
      </c>
      <c r="AH91" s="18"/>
      <c r="AI91" s="15" t="s">
        <v>120</v>
      </c>
      <c r="AJ91" s="18"/>
      <c r="AK91" s="18"/>
      <c r="AL91" s="15" t="s">
        <v>129</v>
      </c>
      <c r="AM91" s="15" t="s">
        <v>124</v>
      </c>
      <c r="AN91" s="15" t="s">
        <v>185</v>
      </c>
      <c r="AO91" s="15" t="s">
        <v>141</v>
      </c>
      <c r="AP91" s="15"/>
    </row>
    <row r="92" ht="23.25" customHeight="1">
      <c r="A92" s="15" t="s">
        <v>1712</v>
      </c>
      <c r="B92" s="15" t="s">
        <v>1713</v>
      </c>
      <c r="C92" s="15" t="s">
        <v>1714</v>
      </c>
      <c r="D92" s="41">
        <v>40400.0</v>
      </c>
      <c r="E92" s="15" t="s">
        <v>98</v>
      </c>
      <c r="F92" s="15">
        <v>5.6475387E9</v>
      </c>
      <c r="G92" s="15" t="s">
        <v>1716</v>
      </c>
      <c r="H92" s="15" t="s">
        <v>101</v>
      </c>
      <c r="I92" s="49" t="s">
        <v>1717</v>
      </c>
      <c r="J92" s="15" t="s">
        <v>1719</v>
      </c>
      <c r="K92" s="15" t="s">
        <v>1720</v>
      </c>
      <c r="L92" s="15">
        <v>4.731807245E9</v>
      </c>
      <c r="M92" s="18"/>
      <c r="N92" s="18"/>
      <c r="O92" s="18"/>
      <c r="P92" s="20">
        <v>15.0</v>
      </c>
      <c r="Q92" s="22">
        <v>46029.74306712963</v>
      </c>
      <c r="R92" s="15" t="s">
        <v>107</v>
      </c>
      <c r="S92" s="15" t="s">
        <v>109</v>
      </c>
      <c r="T92" s="15" t="s">
        <v>127</v>
      </c>
      <c r="U92" s="15" t="s">
        <v>531</v>
      </c>
      <c r="V92" s="15" t="s">
        <v>532</v>
      </c>
      <c r="W92" s="15" t="s">
        <v>534</v>
      </c>
      <c r="X92" s="15" t="s">
        <v>120</v>
      </c>
      <c r="Y92" s="18"/>
      <c r="Z92" s="15" t="s">
        <v>117</v>
      </c>
      <c r="AA92" s="58" t="s">
        <v>1729</v>
      </c>
      <c r="AB92" s="15" t="s">
        <v>120</v>
      </c>
      <c r="AC92" s="18"/>
      <c r="AD92" s="18"/>
      <c r="AE92" s="15" t="s">
        <v>120</v>
      </c>
      <c r="AF92" s="18"/>
      <c r="AG92" s="15" t="s">
        <v>120</v>
      </c>
      <c r="AH92" s="18"/>
      <c r="AI92" s="15" t="s">
        <v>120</v>
      </c>
      <c r="AJ92" s="18"/>
      <c r="AK92" s="18"/>
      <c r="AL92" s="15" t="s">
        <v>156</v>
      </c>
      <c r="AM92" s="15" t="s">
        <v>216</v>
      </c>
      <c r="AN92" s="15" t="s">
        <v>128</v>
      </c>
      <c r="AO92" s="15" t="s">
        <v>185</v>
      </c>
      <c r="AP92" s="15"/>
    </row>
    <row r="93" ht="22.5" customHeight="1">
      <c r="A93" s="15" t="s">
        <v>1299</v>
      </c>
      <c r="B93" s="15" t="s">
        <v>1300</v>
      </c>
      <c r="C93" s="15" t="s">
        <v>1301</v>
      </c>
      <c r="D93" s="41">
        <v>39927.0</v>
      </c>
      <c r="E93" s="15" t="s">
        <v>177</v>
      </c>
      <c r="F93" s="15" t="s">
        <v>1302</v>
      </c>
      <c r="G93" s="15" t="s">
        <v>1303</v>
      </c>
      <c r="H93" s="15" t="s">
        <v>150</v>
      </c>
      <c r="I93" s="49" t="s">
        <v>1304</v>
      </c>
      <c r="J93" s="15" t="s">
        <v>1305</v>
      </c>
      <c r="K93" s="15" t="s">
        <v>1306</v>
      </c>
      <c r="L93" s="18" t="str">
        <f>+52 55 3297 1748</f>
        <v>#ERROR!</v>
      </c>
      <c r="M93" s="18"/>
      <c r="N93" s="18"/>
      <c r="O93" s="18"/>
      <c r="P93" s="20">
        <v>16.0</v>
      </c>
      <c r="Q93" s="22">
        <v>46020.52248842592</v>
      </c>
      <c r="R93" s="15" t="s">
        <v>107</v>
      </c>
      <c r="S93" s="15" t="s">
        <v>109</v>
      </c>
      <c r="T93" s="15" t="s">
        <v>208</v>
      </c>
      <c r="U93" s="15" t="s">
        <v>228</v>
      </c>
      <c r="V93" s="15" t="s">
        <v>229</v>
      </c>
      <c r="W93" s="15" t="s">
        <v>230</v>
      </c>
      <c r="X93" s="15" t="s">
        <v>120</v>
      </c>
      <c r="Y93" s="18"/>
      <c r="Z93" s="15" t="s">
        <v>117</v>
      </c>
      <c r="AA93" s="52" t="s">
        <v>1316</v>
      </c>
      <c r="AB93" s="15" t="s">
        <v>117</v>
      </c>
      <c r="AC93" s="15" t="s">
        <v>117</v>
      </c>
      <c r="AD93" s="15" t="s">
        <v>1320</v>
      </c>
      <c r="AE93" s="15" t="s">
        <v>117</v>
      </c>
      <c r="AF93" s="15" t="s">
        <v>366</v>
      </c>
      <c r="AG93" s="15" t="s">
        <v>120</v>
      </c>
      <c r="AH93" s="18"/>
      <c r="AI93" s="15" t="s">
        <v>120</v>
      </c>
      <c r="AJ93" s="18"/>
      <c r="AK93" s="18"/>
      <c r="AL93" s="15" t="s">
        <v>129</v>
      </c>
      <c r="AM93" s="15" t="s">
        <v>141</v>
      </c>
      <c r="AN93" s="15" t="s">
        <v>242</v>
      </c>
      <c r="AO93" s="15" t="s">
        <v>185</v>
      </c>
      <c r="AP93" s="15"/>
    </row>
    <row r="94" ht="23.25" customHeight="1">
      <c r="A94" s="15" t="s">
        <v>1761</v>
      </c>
      <c r="B94" s="15" t="s">
        <v>1713</v>
      </c>
      <c r="C94" s="15" t="s">
        <v>1763</v>
      </c>
      <c r="D94" s="41">
        <v>41238.0</v>
      </c>
      <c r="E94" s="15" t="s">
        <v>98</v>
      </c>
      <c r="F94" s="15" t="s">
        <v>1765</v>
      </c>
      <c r="G94" s="15" t="s">
        <v>1767</v>
      </c>
      <c r="H94" s="15" t="s">
        <v>150</v>
      </c>
      <c r="I94" s="49" t="s">
        <v>1768</v>
      </c>
      <c r="J94" s="15" t="s">
        <v>1719</v>
      </c>
      <c r="K94" s="15" t="s">
        <v>1720</v>
      </c>
      <c r="L94" s="15">
        <v>4.731807245E9</v>
      </c>
      <c r="M94" s="18"/>
      <c r="N94" s="18"/>
      <c r="O94" s="18"/>
      <c r="P94" s="20">
        <v>13.0</v>
      </c>
      <c r="Q94" s="22">
        <v>46029.10758101852</v>
      </c>
      <c r="R94" s="15" t="s">
        <v>107</v>
      </c>
      <c r="S94" s="15" t="s">
        <v>109</v>
      </c>
      <c r="T94" s="15" t="s">
        <v>127</v>
      </c>
      <c r="U94" s="15" t="s">
        <v>531</v>
      </c>
      <c r="V94" s="15" t="s">
        <v>532</v>
      </c>
      <c r="W94" s="15" t="s">
        <v>534</v>
      </c>
      <c r="X94" s="15" t="s">
        <v>120</v>
      </c>
      <c r="Y94" s="18"/>
      <c r="Z94" s="15" t="s">
        <v>117</v>
      </c>
      <c r="AA94" s="58" t="s">
        <v>1729</v>
      </c>
      <c r="AB94" s="15" t="s">
        <v>120</v>
      </c>
      <c r="AC94" s="15" t="s">
        <v>120</v>
      </c>
      <c r="AD94" s="18"/>
      <c r="AE94" s="15" t="s">
        <v>120</v>
      </c>
      <c r="AF94" s="18"/>
      <c r="AG94" s="15" t="s">
        <v>120</v>
      </c>
      <c r="AH94" s="18"/>
      <c r="AI94" s="15" t="s">
        <v>120</v>
      </c>
      <c r="AJ94" s="18"/>
      <c r="AK94" s="18"/>
      <c r="AL94" s="15" t="s">
        <v>129</v>
      </c>
      <c r="AM94" s="15" t="s">
        <v>216</v>
      </c>
      <c r="AN94" s="15" t="s">
        <v>138</v>
      </c>
      <c r="AO94" s="15" t="s">
        <v>240</v>
      </c>
      <c r="AP94" s="15"/>
    </row>
    <row r="95" ht="23.25" customHeight="1">
      <c r="A95" s="15" t="s">
        <v>1788</v>
      </c>
      <c r="B95" s="15" t="s">
        <v>1789</v>
      </c>
      <c r="C95" s="15" t="s">
        <v>1790</v>
      </c>
      <c r="D95" s="41">
        <v>40320.0</v>
      </c>
      <c r="E95" s="15" t="s">
        <v>177</v>
      </c>
      <c r="F95" s="15">
        <v>5.572136304E9</v>
      </c>
      <c r="G95" s="15" t="s">
        <v>1795</v>
      </c>
      <c r="H95" s="15" t="s">
        <v>101</v>
      </c>
      <c r="I95" s="49" t="s">
        <v>1797</v>
      </c>
      <c r="J95" s="15" t="s">
        <v>1798</v>
      </c>
      <c r="K95" s="15" t="s">
        <v>1799</v>
      </c>
      <c r="L95" s="15">
        <v>5.515042862E9</v>
      </c>
      <c r="M95" s="15" t="s">
        <v>1800</v>
      </c>
      <c r="N95" s="15" t="s">
        <v>1801</v>
      </c>
      <c r="O95" s="15">
        <v>5.548364007E9</v>
      </c>
      <c r="P95" s="20">
        <v>15.0</v>
      </c>
      <c r="Q95" s="22">
        <v>46034.513032407405</v>
      </c>
      <c r="R95" s="15" t="s">
        <v>107</v>
      </c>
      <c r="S95" s="15" t="s">
        <v>109</v>
      </c>
      <c r="T95" s="15" t="s">
        <v>171</v>
      </c>
      <c r="U95" s="15" t="s">
        <v>526</v>
      </c>
      <c r="V95" s="15" t="s">
        <v>527</v>
      </c>
      <c r="W95" s="15" t="s">
        <v>528</v>
      </c>
      <c r="X95" s="15" t="s">
        <v>120</v>
      </c>
      <c r="Y95" s="18"/>
      <c r="Z95" s="15" t="s">
        <v>120</v>
      </c>
      <c r="AA95" s="18"/>
      <c r="AB95" s="15" t="s">
        <v>120</v>
      </c>
      <c r="AC95" s="18"/>
      <c r="AD95" s="18"/>
      <c r="AE95" s="15" t="s">
        <v>120</v>
      </c>
      <c r="AF95" s="18"/>
      <c r="AG95" s="15" t="s">
        <v>120</v>
      </c>
      <c r="AH95" s="18"/>
      <c r="AI95" s="15" t="s">
        <v>120</v>
      </c>
      <c r="AJ95" s="18"/>
      <c r="AK95" s="18"/>
      <c r="AL95" s="15" t="s">
        <v>129</v>
      </c>
      <c r="AM95" s="15" t="s">
        <v>242</v>
      </c>
      <c r="AN95" s="15" t="s">
        <v>156</v>
      </c>
      <c r="AO95" s="15" t="s">
        <v>138</v>
      </c>
      <c r="AP95" s="15"/>
    </row>
    <row r="96" ht="22.5" customHeight="1">
      <c r="A96" s="15" t="s">
        <v>1812</v>
      </c>
      <c r="B96" s="15" t="s">
        <v>1813</v>
      </c>
      <c r="C96" s="18"/>
      <c r="D96" s="41">
        <v>39385.0</v>
      </c>
      <c r="E96" s="15" t="s">
        <v>177</v>
      </c>
      <c r="F96" s="15">
        <v>5.574620807E9</v>
      </c>
      <c r="G96" s="15" t="s">
        <v>1817</v>
      </c>
      <c r="H96" s="15" t="s">
        <v>140</v>
      </c>
      <c r="I96" s="111" t="s">
        <v>1820</v>
      </c>
      <c r="J96" s="15" t="s">
        <v>1821</v>
      </c>
      <c r="K96" s="15" t="s">
        <v>1822</v>
      </c>
      <c r="L96" s="15">
        <v>5.560936932E9</v>
      </c>
      <c r="M96" s="18"/>
      <c r="N96" s="18"/>
      <c r="O96" s="18"/>
      <c r="P96" s="20">
        <v>18.0</v>
      </c>
      <c r="Q96" s="22">
        <v>46047.594305555554</v>
      </c>
      <c r="R96" s="15" t="s">
        <v>260</v>
      </c>
      <c r="S96" s="15" t="s">
        <v>109</v>
      </c>
      <c r="T96" s="15" t="s">
        <v>192</v>
      </c>
      <c r="U96" s="15" t="s">
        <v>485</v>
      </c>
      <c r="V96" s="15" t="s">
        <v>486</v>
      </c>
      <c r="W96" s="15" t="s">
        <v>487</v>
      </c>
      <c r="X96" s="15" t="s">
        <v>120</v>
      </c>
      <c r="Y96" s="18"/>
      <c r="Z96" s="15" t="s">
        <v>120</v>
      </c>
      <c r="AA96" s="18"/>
      <c r="AB96" s="15" t="s">
        <v>120</v>
      </c>
      <c r="AC96" s="15" t="s">
        <v>120</v>
      </c>
      <c r="AD96" s="18"/>
      <c r="AE96" s="15" t="s">
        <v>120</v>
      </c>
      <c r="AF96" s="18"/>
      <c r="AG96" s="15" t="s">
        <v>120</v>
      </c>
      <c r="AH96" s="18"/>
      <c r="AI96" s="15" t="s">
        <v>120</v>
      </c>
      <c r="AJ96" s="18"/>
      <c r="AK96" s="18"/>
      <c r="AL96" s="15" t="s">
        <v>156</v>
      </c>
      <c r="AM96" s="15" t="s">
        <v>124</v>
      </c>
      <c r="AN96" s="15" t="s">
        <v>141</v>
      </c>
      <c r="AO96" s="15" t="s">
        <v>128</v>
      </c>
      <c r="AP96" s="15"/>
    </row>
    <row r="97" ht="23.25" customHeight="1">
      <c r="A97" s="15" t="s">
        <v>1836</v>
      </c>
      <c r="B97" s="15" t="s">
        <v>1837</v>
      </c>
      <c r="C97" s="15" t="s">
        <v>1839</v>
      </c>
      <c r="D97" s="41">
        <v>39570.0</v>
      </c>
      <c r="E97" s="15" t="s">
        <v>177</v>
      </c>
      <c r="F97" s="15">
        <v>5.656256913E9</v>
      </c>
      <c r="G97" s="15" t="s">
        <v>1842</v>
      </c>
      <c r="H97" s="15" t="s">
        <v>382</v>
      </c>
      <c r="I97" s="49" t="s">
        <v>1843</v>
      </c>
      <c r="J97" s="15" t="s">
        <v>1844</v>
      </c>
      <c r="K97" s="15" t="s">
        <v>1845</v>
      </c>
      <c r="L97" s="15">
        <v>5.546512579E9</v>
      </c>
      <c r="M97" s="18"/>
      <c r="N97" s="18"/>
      <c r="O97" s="18"/>
      <c r="P97" s="20">
        <v>17.0</v>
      </c>
      <c r="Q97" s="22">
        <v>46031.7859837963</v>
      </c>
      <c r="R97" s="15" t="s">
        <v>107</v>
      </c>
      <c r="S97" s="15" t="s">
        <v>109</v>
      </c>
      <c r="T97" s="15" t="s">
        <v>127</v>
      </c>
      <c r="U97" s="15" t="s">
        <v>234</v>
      </c>
      <c r="V97" s="15" t="s">
        <v>227</v>
      </c>
      <c r="W97" s="15" t="s">
        <v>236</v>
      </c>
      <c r="X97" s="15" t="s">
        <v>120</v>
      </c>
      <c r="Y97" s="18"/>
      <c r="Z97" s="15" t="s">
        <v>120</v>
      </c>
      <c r="AA97" s="18"/>
      <c r="AB97" s="15" t="s">
        <v>120</v>
      </c>
      <c r="AC97" s="18"/>
      <c r="AD97" s="18"/>
      <c r="AE97" s="15" t="s">
        <v>120</v>
      </c>
      <c r="AF97" s="18"/>
      <c r="AG97" s="15" t="s">
        <v>120</v>
      </c>
      <c r="AH97" s="18"/>
      <c r="AI97" s="15" t="s">
        <v>120</v>
      </c>
      <c r="AJ97" s="18"/>
      <c r="AK97" s="18"/>
      <c r="AL97" s="15" t="s">
        <v>185</v>
      </c>
      <c r="AM97" s="15" t="s">
        <v>124</v>
      </c>
      <c r="AN97" s="15" t="s">
        <v>126</v>
      </c>
      <c r="AO97" s="15" t="s">
        <v>126</v>
      </c>
      <c r="AP97" s="15"/>
    </row>
    <row r="98" ht="22.5" customHeight="1">
      <c r="A98" s="15" t="s">
        <v>1865</v>
      </c>
      <c r="B98" s="15" t="s">
        <v>1867</v>
      </c>
      <c r="C98" s="15" t="s">
        <v>1870</v>
      </c>
      <c r="D98" s="41">
        <v>40975.0</v>
      </c>
      <c r="E98" s="15" t="s">
        <v>98</v>
      </c>
      <c r="F98" s="15">
        <v>5.625870511E9</v>
      </c>
      <c r="G98" s="15" t="s">
        <v>1871</v>
      </c>
      <c r="H98" s="15" t="s">
        <v>140</v>
      </c>
      <c r="I98" s="49" t="s">
        <v>1872</v>
      </c>
      <c r="J98" s="15" t="s">
        <v>507</v>
      </c>
      <c r="K98" s="15" t="s">
        <v>506</v>
      </c>
      <c r="L98" s="15">
        <v>5.534457737E9</v>
      </c>
      <c r="M98" s="15" t="s">
        <v>1873</v>
      </c>
      <c r="N98" s="15" t="s">
        <v>1874</v>
      </c>
      <c r="O98" s="15">
        <v>5.517036129E9</v>
      </c>
      <c r="P98" s="20">
        <v>13.0</v>
      </c>
      <c r="Q98" s="22">
        <v>46028.98552083333</v>
      </c>
      <c r="R98" s="15" t="s">
        <v>107</v>
      </c>
      <c r="S98" s="15" t="s">
        <v>109</v>
      </c>
      <c r="T98" s="15" t="s">
        <v>192</v>
      </c>
      <c r="U98" s="15" t="s">
        <v>505</v>
      </c>
      <c r="V98" s="15" t="s">
        <v>506</v>
      </c>
      <c r="W98" s="15" t="s">
        <v>507</v>
      </c>
      <c r="X98" s="15" t="s">
        <v>120</v>
      </c>
      <c r="Y98" s="18"/>
      <c r="Z98" s="15" t="s">
        <v>120</v>
      </c>
      <c r="AA98" s="18"/>
      <c r="AB98" s="15" t="s">
        <v>120</v>
      </c>
      <c r="AC98" s="18"/>
      <c r="AD98" s="18"/>
      <c r="AE98" s="15" t="s">
        <v>120</v>
      </c>
      <c r="AF98" s="18"/>
      <c r="AG98" s="15" t="s">
        <v>120</v>
      </c>
      <c r="AH98" s="18"/>
      <c r="AI98" s="15" t="s">
        <v>120</v>
      </c>
      <c r="AJ98" s="18"/>
      <c r="AK98" s="18"/>
      <c r="AL98" s="15" t="s">
        <v>242</v>
      </c>
      <c r="AM98" s="15" t="s">
        <v>138</v>
      </c>
      <c r="AN98" s="15" t="s">
        <v>156</v>
      </c>
      <c r="AO98" s="15" t="s">
        <v>185</v>
      </c>
      <c r="AP98" s="15"/>
    </row>
    <row r="99" ht="22.5" customHeight="1">
      <c r="A99" s="15" t="s">
        <v>157</v>
      </c>
      <c r="B99" s="15" t="s">
        <v>1892</v>
      </c>
      <c r="C99" s="15" t="s">
        <v>1894</v>
      </c>
      <c r="D99" s="41">
        <v>39977.0</v>
      </c>
      <c r="E99" s="15" t="s">
        <v>98</v>
      </c>
      <c r="F99" s="15">
        <v>5.527523262E9</v>
      </c>
      <c r="G99" s="15" t="s">
        <v>1897</v>
      </c>
      <c r="H99" s="15" t="s">
        <v>140</v>
      </c>
      <c r="I99" s="49" t="s">
        <v>1901</v>
      </c>
      <c r="J99" s="15" t="s">
        <v>1903</v>
      </c>
      <c r="K99" s="15" t="s">
        <v>1905</v>
      </c>
      <c r="L99" s="15">
        <v>5.617112794E9</v>
      </c>
      <c r="M99" s="18"/>
      <c r="N99" s="18"/>
      <c r="O99" s="18"/>
      <c r="P99" s="20">
        <v>16.0</v>
      </c>
      <c r="Q99" s="22">
        <v>46026.46068287037</v>
      </c>
      <c r="R99" s="15" t="s">
        <v>107</v>
      </c>
      <c r="S99" s="15" t="s">
        <v>109</v>
      </c>
      <c r="T99" s="15" t="s">
        <v>160</v>
      </c>
      <c r="U99" s="15" t="s">
        <v>279</v>
      </c>
      <c r="V99" s="15" t="s">
        <v>280</v>
      </c>
      <c r="W99" s="15" t="s">
        <v>282</v>
      </c>
      <c r="X99" s="15" t="s">
        <v>120</v>
      </c>
      <c r="Y99" s="18"/>
      <c r="Z99" s="15" t="s">
        <v>120</v>
      </c>
      <c r="AA99" s="18"/>
      <c r="AB99" s="15" t="s">
        <v>120</v>
      </c>
      <c r="AC99" s="18"/>
      <c r="AD99" s="18"/>
      <c r="AE99" s="15" t="s">
        <v>120</v>
      </c>
      <c r="AF99" s="18"/>
      <c r="AG99" s="15" t="s">
        <v>120</v>
      </c>
      <c r="AH99" s="18"/>
      <c r="AI99" s="15" t="s">
        <v>120</v>
      </c>
      <c r="AJ99" s="18"/>
      <c r="AK99" s="18"/>
      <c r="AL99" s="15" t="s">
        <v>242</v>
      </c>
      <c r="AM99" s="15" t="s">
        <v>129</v>
      </c>
      <c r="AN99" s="15" t="s">
        <v>138</v>
      </c>
      <c r="AO99" s="15" t="s">
        <v>128</v>
      </c>
      <c r="AP99" s="15"/>
    </row>
    <row r="100" ht="22.5" customHeight="1">
      <c r="A100" s="15" t="s">
        <v>1138</v>
      </c>
      <c r="B100" s="15" t="s">
        <v>1139</v>
      </c>
      <c r="C100" s="15" t="s">
        <v>1140</v>
      </c>
      <c r="D100" s="41">
        <v>40163.0</v>
      </c>
      <c r="E100" s="15" t="s">
        <v>98</v>
      </c>
      <c r="F100" s="15">
        <v>5.626895005E9</v>
      </c>
      <c r="G100" s="15" t="s">
        <v>1141</v>
      </c>
      <c r="H100" s="15" t="s">
        <v>150</v>
      </c>
      <c r="I100" s="49" t="s">
        <v>1142</v>
      </c>
      <c r="J100" s="15" t="s">
        <v>1143</v>
      </c>
      <c r="K100" s="15" t="s">
        <v>1144</v>
      </c>
      <c r="L100" s="15">
        <v>5.512573397E9</v>
      </c>
      <c r="M100" s="18"/>
      <c r="N100" s="18"/>
      <c r="O100" s="18"/>
      <c r="P100" s="20">
        <v>16.0</v>
      </c>
      <c r="Q100" s="22">
        <v>46037.80364583333</v>
      </c>
      <c r="R100" s="15" t="s">
        <v>107</v>
      </c>
      <c r="S100" s="15" t="s">
        <v>109</v>
      </c>
      <c r="T100" s="15" t="s">
        <v>111</v>
      </c>
      <c r="U100" s="15" t="s">
        <v>657</v>
      </c>
      <c r="V100" s="15" t="s">
        <v>659</v>
      </c>
      <c r="W100" s="15" t="s">
        <v>662</v>
      </c>
      <c r="X100" s="15" t="s">
        <v>120</v>
      </c>
      <c r="Y100" s="49" t="s">
        <v>697</v>
      </c>
      <c r="Z100" s="15" t="s">
        <v>120</v>
      </c>
      <c r="AA100" s="15" t="s">
        <v>698</v>
      </c>
      <c r="AB100" s="15" t="s">
        <v>120</v>
      </c>
      <c r="AC100" s="15" t="s">
        <v>120</v>
      </c>
      <c r="AD100" s="15" t="s">
        <v>1165</v>
      </c>
      <c r="AE100" s="15" t="s">
        <v>120</v>
      </c>
      <c r="AF100" s="15" t="s">
        <v>667</v>
      </c>
      <c r="AG100" s="15" t="s">
        <v>120</v>
      </c>
      <c r="AH100" s="15" t="s">
        <v>667</v>
      </c>
      <c r="AI100" s="15" t="s">
        <v>117</v>
      </c>
      <c r="AJ100" s="15" t="s">
        <v>1167</v>
      </c>
      <c r="AK100" s="15" t="s">
        <v>667</v>
      </c>
      <c r="AL100" s="15" t="s">
        <v>141</v>
      </c>
      <c r="AM100" s="15" t="s">
        <v>128</v>
      </c>
      <c r="AN100" s="15" t="s">
        <v>156</v>
      </c>
      <c r="AO100" s="15" t="s">
        <v>242</v>
      </c>
      <c r="AP100" s="15"/>
    </row>
    <row r="101" ht="23.25" customHeight="1">
      <c r="A101" s="15" t="s">
        <v>1940</v>
      </c>
      <c r="B101" s="15" t="s">
        <v>1942</v>
      </c>
      <c r="C101" s="15" t="s">
        <v>1944</v>
      </c>
      <c r="D101" s="41">
        <v>40958.0</v>
      </c>
      <c r="E101" s="15" t="s">
        <v>98</v>
      </c>
      <c r="F101" s="15">
        <v>5.633346063E9</v>
      </c>
      <c r="G101" s="15" t="s">
        <v>1948</v>
      </c>
      <c r="H101" s="15" t="s">
        <v>101</v>
      </c>
      <c r="I101" s="49" t="s">
        <v>1951</v>
      </c>
      <c r="J101" s="15" t="s">
        <v>1954</v>
      </c>
      <c r="K101" s="15" t="s">
        <v>1956</v>
      </c>
      <c r="L101" s="15">
        <v>5.516866304E9</v>
      </c>
      <c r="M101" s="15" t="s">
        <v>1960</v>
      </c>
      <c r="N101" s="15" t="s">
        <v>1961</v>
      </c>
      <c r="O101" s="15">
        <v>5.548769639E9</v>
      </c>
      <c r="P101" s="20">
        <v>14.0</v>
      </c>
      <c r="Q101" s="22">
        <v>46026.873611111114</v>
      </c>
      <c r="R101" s="15" t="s">
        <v>107</v>
      </c>
      <c r="S101" s="15" t="s">
        <v>109</v>
      </c>
      <c r="T101" s="15" t="s">
        <v>171</v>
      </c>
      <c r="U101" s="15" t="s">
        <v>638</v>
      </c>
      <c r="V101" s="15" t="s">
        <v>639</v>
      </c>
      <c r="W101" s="15" t="s">
        <v>641</v>
      </c>
      <c r="X101" s="15" t="s">
        <v>120</v>
      </c>
      <c r="Y101" s="18"/>
      <c r="Z101" s="15" t="s">
        <v>120</v>
      </c>
      <c r="AA101" s="18"/>
      <c r="AB101" s="15" t="s">
        <v>120</v>
      </c>
      <c r="AC101" s="18"/>
      <c r="AD101" s="18"/>
      <c r="AE101" s="15" t="s">
        <v>120</v>
      </c>
      <c r="AF101" s="18"/>
      <c r="AG101" s="15" t="s">
        <v>120</v>
      </c>
      <c r="AH101" s="18"/>
      <c r="AI101" s="15" t="s">
        <v>120</v>
      </c>
      <c r="AJ101" s="18"/>
      <c r="AK101" s="18"/>
      <c r="AL101" s="15" t="s">
        <v>138</v>
      </c>
      <c r="AM101" s="15" t="s">
        <v>156</v>
      </c>
      <c r="AN101" s="15" t="s">
        <v>240</v>
      </c>
      <c r="AO101" s="15" t="s">
        <v>124</v>
      </c>
      <c r="AP101" s="15"/>
    </row>
    <row r="102" ht="22.5" customHeight="1">
      <c r="A102" s="15" t="s">
        <v>1334</v>
      </c>
      <c r="B102" s="15" t="s">
        <v>1335</v>
      </c>
      <c r="C102" s="15" t="s">
        <v>1337</v>
      </c>
      <c r="D102" s="41">
        <v>39623.0</v>
      </c>
      <c r="E102" s="15" t="s">
        <v>98</v>
      </c>
      <c r="F102" s="15">
        <v>5.563179379E9</v>
      </c>
      <c r="G102" s="15" t="s">
        <v>1341</v>
      </c>
      <c r="H102" s="15" t="s">
        <v>101</v>
      </c>
      <c r="I102" s="49" t="s">
        <v>1343</v>
      </c>
      <c r="J102" s="15" t="s">
        <v>1346</v>
      </c>
      <c r="K102" s="15" t="s">
        <v>1347</v>
      </c>
      <c r="L102" s="15">
        <v>5.582471633E9</v>
      </c>
      <c r="M102" s="15" t="s">
        <v>1350</v>
      </c>
      <c r="N102" s="15" t="s">
        <v>1352</v>
      </c>
      <c r="O102" s="15">
        <v>5.577152422E9</v>
      </c>
      <c r="P102" s="20">
        <v>17.0</v>
      </c>
      <c r="Q102" s="22">
        <v>46038.82268518519</v>
      </c>
      <c r="R102" s="15" t="s">
        <v>107</v>
      </c>
      <c r="S102" s="15" t="s">
        <v>109</v>
      </c>
      <c r="T102" s="15" t="s">
        <v>160</v>
      </c>
      <c r="U102" s="15" t="s">
        <v>329</v>
      </c>
      <c r="V102" s="15" t="s">
        <v>331</v>
      </c>
      <c r="W102" s="15" t="s">
        <v>332</v>
      </c>
      <c r="X102" s="15" t="s">
        <v>120</v>
      </c>
      <c r="Y102" s="18"/>
      <c r="Z102" s="15" t="s">
        <v>117</v>
      </c>
      <c r="AA102" s="52" t="s">
        <v>1357</v>
      </c>
      <c r="AB102" s="15" t="s">
        <v>117</v>
      </c>
      <c r="AC102" s="15" t="s">
        <v>117</v>
      </c>
      <c r="AD102" s="15" t="s">
        <v>365</v>
      </c>
      <c r="AE102" s="15" t="s">
        <v>117</v>
      </c>
      <c r="AF102" s="15" t="s">
        <v>366</v>
      </c>
      <c r="AG102" s="15" t="s">
        <v>120</v>
      </c>
      <c r="AH102" s="18"/>
      <c r="AI102" s="15" t="s">
        <v>120</v>
      </c>
      <c r="AJ102" s="18"/>
      <c r="AK102" s="18"/>
      <c r="AL102" s="15" t="s">
        <v>141</v>
      </c>
      <c r="AM102" s="15" t="s">
        <v>242</v>
      </c>
      <c r="AN102" s="15" t="s">
        <v>240</v>
      </c>
      <c r="AO102" s="15" t="s">
        <v>124</v>
      </c>
      <c r="AP102" s="15"/>
    </row>
    <row r="103" ht="23.25" customHeight="1">
      <c r="A103" s="15" t="s">
        <v>1376</v>
      </c>
      <c r="B103" s="15" t="s">
        <v>1378</v>
      </c>
      <c r="C103" s="15" t="s">
        <v>1381</v>
      </c>
      <c r="D103" s="41">
        <v>40081.0</v>
      </c>
      <c r="E103" s="15" t="s">
        <v>177</v>
      </c>
      <c r="F103" s="15">
        <v>5.563186578E9</v>
      </c>
      <c r="G103" s="15" t="s">
        <v>1385</v>
      </c>
      <c r="H103" s="15" t="s">
        <v>150</v>
      </c>
      <c r="I103" s="49" t="s">
        <v>1387</v>
      </c>
      <c r="J103" s="15" t="s">
        <v>1389</v>
      </c>
      <c r="K103" s="15" t="s">
        <v>1390</v>
      </c>
      <c r="L103" s="15">
        <v>5.530415126E9</v>
      </c>
      <c r="M103" s="18"/>
      <c r="N103" s="18"/>
      <c r="O103" s="18"/>
      <c r="P103" s="20">
        <v>16.0</v>
      </c>
      <c r="Q103" s="22">
        <v>46033.92826388889</v>
      </c>
      <c r="R103" s="15" t="s">
        <v>107</v>
      </c>
      <c r="S103" s="15" t="s">
        <v>109</v>
      </c>
      <c r="T103" s="15" t="s">
        <v>171</v>
      </c>
      <c r="U103" s="15" t="s">
        <v>1048</v>
      </c>
      <c r="V103" s="15" t="s">
        <v>1050</v>
      </c>
      <c r="W103" s="15" t="s">
        <v>1051</v>
      </c>
      <c r="X103" s="15" t="s">
        <v>120</v>
      </c>
      <c r="Y103" s="18"/>
      <c r="Z103" s="15" t="s">
        <v>117</v>
      </c>
      <c r="AA103" s="49" t="s">
        <v>1396</v>
      </c>
      <c r="AB103" s="15" t="s">
        <v>117</v>
      </c>
      <c r="AC103" s="15" t="s">
        <v>117</v>
      </c>
      <c r="AD103" s="27" t="s">
        <v>1399</v>
      </c>
      <c r="AE103" s="15" t="s">
        <v>120</v>
      </c>
      <c r="AF103" s="18"/>
      <c r="AG103" s="15" t="s">
        <v>120</v>
      </c>
      <c r="AH103" s="18"/>
      <c r="AI103" s="15" t="s">
        <v>120</v>
      </c>
      <c r="AJ103" s="18"/>
      <c r="AK103" s="15" t="s">
        <v>1325</v>
      </c>
      <c r="AL103" s="15" t="s">
        <v>129</v>
      </c>
      <c r="AM103" s="15" t="s">
        <v>185</v>
      </c>
      <c r="AN103" s="15" t="s">
        <v>124</v>
      </c>
      <c r="AO103" s="15" t="s">
        <v>138</v>
      </c>
      <c r="AP103" s="15"/>
    </row>
    <row r="104" ht="22.5" customHeight="1">
      <c r="A104" s="15" t="s">
        <v>2006</v>
      </c>
      <c r="B104" s="15" t="s">
        <v>2008</v>
      </c>
      <c r="C104" s="15" t="s">
        <v>2009</v>
      </c>
      <c r="D104" s="41">
        <v>40669.0</v>
      </c>
      <c r="E104" s="15" t="s">
        <v>177</v>
      </c>
      <c r="F104" s="15">
        <v>5.539723354E9</v>
      </c>
      <c r="G104" s="15" t="s">
        <v>2013</v>
      </c>
      <c r="H104" s="15" t="s">
        <v>150</v>
      </c>
      <c r="I104" s="23" t="s">
        <v>2015</v>
      </c>
      <c r="J104" s="15" t="s">
        <v>2016</v>
      </c>
      <c r="K104" s="15" t="s">
        <v>2017</v>
      </c>
      <c r="L104" s="15">
        <v>5.53241414E9</v>
      </c>
      <c r="M104" s="18"/>
      <c r="N104" s="18"/>
      <c r="O104" s="18"/>
      <c r="P104" s="20">
        <v>14.0</v>
      </c>
      <c r="Q104" s="22">
        <v>46039.51914351852</v>
      </c>
      <c r="R104" s="15" t="s">
        <v>107</v>
      </c>
      <c r="S104" s="15" t="s">
        <v>109</v>
      </c>
      <c r="T104" s="15" t="s">
        <v>204</v>
      </c>
      <c r="U104" s="15" t="s">
        <v>295</v>
      </c>
      <c r="V104" s="15" t="s">
        <v>298</v>
      </c>
      <c r="W104" s="15" t="s">
        <v>299</v>
      </c>
      <c r="X104" s="15" t="s">
        <v>120</v>
      </c>
      <c r="Y104" s="18"/>
      <c r="Z104" s="15" t="s">
        <v>120</v>
      </c>
      <c r="AA104" s="18"/>
      <c r="AB104" s="15" t="s">
        <v>120</v>
      </c>
      <c r="AC104" s="18"/>
      <c r="AD104" s="18"/>
      <c r="AE104" s="15" t="s">
        <v>120</v>
      </c>
      <c r="AF104" s="18"/>
      <c r="AG104" s="15" t="s">
        <v>120</v>
      </c>
      <c r="AH104" s="18"/>
      <c r="AI104" s="15" t="s">
        <v>120</v>
      </c>
      <c r="AJ104" s="18"/>
      <c r="AK104" s="18"/>
      <c r="AL104" s="15" t="s">
        <v>240</v>
      </c>
      <c r="AM104" s="15" t="s">
        <v>156</v>
      </c>
      <c r="AN104" s="15" t="s">
        <v>128</v>
      </c>
      <c r="AO104" s="15" t="s">
        <v>216</v>
      </c>
      <c r="AP104" s="15"/>
    </row>
    <row r="105" ht="22.5" customHeight="1">
      <c r="A105" s="15" t="s">
        <v>2032</v>
      </c>
      <c r="B105" s="15" t="s">
        <v>2034</v>
      </c>
      <c r="C105" s="15" t="s">
        <v>2036</v>
      </c>
      <c r="D105" s="41">
        <v>41124.0</v>
      </c>
      <c r="E105" s="15" t="s">
        <v>98</v>
      </c>
      <c r="F105" s="15">
        <v>5.513219154E9</v>
      </c>
      <c r="G105" s="15" t="s">
        <v>2042</v>
      </c>
      <c r="H105" s="15" t="s">
        <v>101</v>
      </c>
      <c r="I105" s="18"/>
      <c r="J105" s="15" t="s">
        <v>2046</v>
      </c>
      <c r="K105" s="15" t="s">
        <v>2048</v>
      </c>
      <c r="L105" s="15">
        <v>5.53119793E9</v>
      </c>
      <c r="M105" s="18"/>
      <c r="N105" s="18"/>
      <c r="O105" s="18"/>
      <c r="P105" s="20">
        <v>13.0</v>
      </c>
      <c r="Q105" s="22">
        <v>46034.53103009259</v>
      </c>
      <c r="R105" s="15" t="s">
        <v>107</v>
      </c>
      <c r="S105" s="15" t="s">
        <v>109</v>
      </c>
      <c r="T105" s="15" t="s">
        <v>171</v>
      </c>
      <c r="U105" s="15" t="s">
        <v>638</v>
      </c>
      <c r="V105" s="15" t="s">
        <v>639</v>
      </c>
      <c r="W105" s="15" t="s">
        <v>641</v>
      </c>
      <c r="X105" s="15" t="s">
        <v>120</v>
      </c>
      <c r="Y105" s="18"/>
      <c r="Z105" s="15" t="s">
        <v>120</v>
      </c>
      <c r="AA105" s="18"/>
      <c r="AB105" s="15" t="s">
        <v>120</v>
      </c>
      <c r="AC105" s="15" t="s">
        <v>120</v>
      </c>
      <c r="AD105" s="18"/>
      <c r="AE105" s="15" t="s">
        <v>120</v>
      </c>
      <c r="AF105" s="18"/>
      <c r="AG105" s="15" t="s">
        <v>120</v>
      </c>
      <c r="AH105" s="18"/>
      <c r="AI105" s="15" t="s">
        <v>120</v>
      </c>
      <c r="AJ105" s="18"/>
      <c r="AK105" s="18"/>
      <c r="AL105" s="15" t="s">
        <v>141</v>
      </c>
      <c r="AM105" s="15" t="s">
        <v>242</v>
      </c>
      <c r="AN105" s="15" t="s">
        <v>124</v>
      </c>
      <c r="AO105" s="15" t="s">
        <v>128</v>
      </c>
      <c r="AP105" s="15"/>
    </row>
    <row r="106" ht="22.5" customHeight="1">
      <c r="A106" s="15" t="s">
        <v>2057</v>
      </c>
      <c r="B106" s="15" t="s">
        <v>2058</v>
      </c>
      <c r="C106" s="15" t="s">
        <v>2059</v>
      </c>
      <c r="D106" s="41">
        <v>41270.0</v>
      </c>
      <c r="E106" s="15" t="s">
        <v>98</v>
      </c>
      <c r="F106" s="15">
        <v>5.57286959E9</v>
      </c>
      <c r="G106" s="15" t="s">
        <v>2065</v>
      </c>
      <c r="H106" s="15" t="s">
        <v>140</v>
      </c>
      <c r="I106" s="18"/>
      <c r="J106" s="15" t="s">
        <v>2066</v>
      </c>
      <c r="K106" s="15" t="s">
        <v>2067</v>
      </c>
      <c r="L106" s="15">
        <v>5.561477191E9</v>
      </c>
      <c r="M106" s="18"/>
      <c r="N106" s="18"/>
      <c r="O106" s="18"/>
      <c r="P106" s="20">
        <v>13.0</v>
      </c>
      <c r="Q106" s="22">
        <v>46034.777546296296</v>
      </c>
      <c r="R106" s="15" t="s">
        <v>107</v>
      </c>
      <c r="S106" s="15" t="s">
        <v>109</v>
      </c>
      <c r="T106" s="15" t="s">
        <v>171</v>
      </c>
      <c r="U106" s="15" t="s">
        <v>1048</v>
      </c>
      <c r="V106" s="15" t="s">
        <v>1050</v>
      </c>
      <c r="W106" s="15" t="s">
        <v>1051</v>
      </c>
      <c r="X106" s="15" t="s">
        <v>120</v>
      </c>
      <c r="Y106" s="18"/>
      <c r="Z106" s="15" t="s">
        <v>117</v>
      </c>
      <c r="AA106" s="58" t="s">
        <v>1665</v>
      </c>
      <c r="AB106" s="15" t="s">
        <v>120</v>
      </c>
      <c r="AC106" s="15" t="s">
        <v>120</v>
      </c>
      <c r="AD106" s="18"/>
      <c r="AE106" s="15" t="s">
        <v>120</v>
      </c>
      <c r="AF106" s="18"/>
      <c r="AG106" s="15" t="s">
        <v>120</v>
      </c>
      <c r="AH106" s="18"/>
      <c r="AI106" s="15" t="s">
        <v>120</v>
      </c>
      <c r="AJ106" s="18"/>
      <c r="AK106" s="18"/>
      <c r="AL106" s="15" t="s">
        <v>141</v>
      </c>
      <c r="AM106" s="15" t="s">
        <v>156</v>
      </c>
      <c r="AN106" s="15" t="s">
        <v>240</v>
      </c>
      <c r="AO106" s="15" t="s">
        <v>129</v>
      </c>
      <c r="AP106" s="15"/>
    </row>
    <row r="107" ht="22.5" customHeight="1">
      <c r="A107" s="15" t="s">
        <v>1403</v>
      </c>
      <c r="B107" s="15" t="s">
        <v>1404</v>
      </c>
      <c r="C107" s="15" t="s">
        <v>1405</v>
      </c>
      <c r="D107" s="41">
        <v>40259.0</v>
      </c>
      <c r="E107" s="15" t="s">
        <v>98</v>
      </c>
      <c r="F107" s="15">
        <v>5.566667606E9</v>
      </c>
      <c r="G107" s="15" t="s">
        <v>1410</v>
      </c>
      <c r="H107" s="15" t="s">
        <v>101</v>
      </c>
      <c r="I107" s="18"/>
      <c r="J107" s="15" t="s">
        <v>1413</v>
      </c>
      <c r="K107" s="15" t="s">
        <v>1414</v>
      </c>
      <c r="L107" s="15">
        <v>5.626001027E9</v>
      </c>
      <c r="M107" s="15" t="s">
        <v>1415</v>
      </c>
      <c r="N107" s="15" t="s">
        <v>1417</v>
      </c>
      <c r="O107" s="15">
        <v>5.518227581E9</v>
      </c>
      <c r="P107" s="20">
        <v>15.0</v>
      </c>
      <c r="Q107" s="22">
        <v>46020.69278935185</v>
      </c>
      <c r="R107" s="15" t="s">
        <v>107</v>
      </c>
      <c r="S107" s="15" t="s">
        <v>109</v>
      </c>
      <c r="T107" s="15" t="s">
        <v>208</v>
      </c>
      <c r="U107" s="15" t="s">
        <v>788</v>
      </c>
      <c r="V107" s="15" t="s">
        <v>789</v>
      </c>
      <c r="W107" s="15" t="s">
        <v>790</v>
      </c>
      <c r="X107" s="15" t="s">
        <v>120</v>
      </c>
      <c r="Y107" s="18"/>
      <c r="Z107" s="15" t="s">
        <v>120</v>
      </c>
      <c r="AA107" s="18"/>
      <c r="AB107" s="15" t="s">
        <v>117</v>
      </c>
      <c r="AC107" s="15" t="s">
        <v>117</v>
      </c>
      <c r="AD107" s="15" t="s">
        <v>1429</v>
      </c>
      <c r="AE107" s="15" t="s">
        <v>120</v>
      </c>
      <c r="AF107" s="18"/>
      <c r="AG107" s="15" t="s">
        <v>120</v>
      </c>
      <c r="AH107" s="18"/>
      <c r="AI107" s="15" t="s">
        <v>120</v>
      </c>
      <c r="AJ107" s="18"/>
      <c r="AK107" s="18"/>
      <c r="AL107" s="15" t="s">
        <v>138</v>
      </c>
      <c r="AM107" s="15" t="s">
        <v>185</v>
      </c>
      <c r="AN107" s="15" t="s">
        <v>156</v>
      </c>
      <c r="AO107" s="15" t="s">
        <v>128</v>
      </c>
      <c r="AP107" s="15"/>
    </row>
    <row r="108" ht="22.5" customHeight="1">
      <c r="A108" s="15" t="s">
        <v>2103</v>
      </c>
      <c r="B108" s="15" t="s">
        <v>2104</v>
      </c>
      <c r="C108" s="15" t="s">
        <v>2105</v>
      </c>
      <c r="D108" s="41">
        <v>39760.0</v>
      </c>
      <c r="E108" s="15" t="s">
        <v>98</v>
      </c>
      <c r="F108" s="15">
        <v>5.540329002E9</v>
      </c>
      <c r="G108" s="15" t="s">
        <v>2106</v>
      </c>
      <c r="H108" s="15" t="s">
        <v>140</v>
      </c>
      <c r="I108" s="18"/>
      <c r="J108" s="15" t="s">
        <v>2108</v>
      </c>
      <c r="K108" s="15" t="s">
        <v>2106</v>
      </c>
      <c r="L108" s="15">
        <v>5.540329002E9</v>
      </c>
      <c r="M108" s="18"/>
      <c r="N108" s="18"/>
      <c r="O108" s="18"/>
      <c r="P108" s="20">
        <v>17.0</v>
      </c>
      <c r="Q108" s="22">
        <v>46030.86413194444</v>
      </c>
      <c r="R108" s="15" t="s">
        <v>107</v>
      </c>
      <c r="S108" s="15" t="s">
        <v>109</v>
      </c>
      <c r="T108" s="15" t="s">
        <v>208</v>
      </c>
      <c r="U108" s="15" t="s">
        <v>478</v>
      </c>
      <c r="V108" s="15" t="s">
        <v>480</v>
      </c>
      <c r="W108" s="15" t="s">
        <v>481</v>
      </c>
      <c r="X108" s="15" t="s">
        <v>120</v>
      </c>
      <c r="Y108" s="18"/>
      <c r="Z108" s="15" t="s">
        <v>120</v>
      </c>
      <c r="AA108" s="18"/>
      <c r="AB108" s="15" t="s">
        <v>120</v>
      </c>
      <c r="AC108" s="18"/>
      <c r="AD108" s="18"/>
      <c r="AE108" s="15" t="s">
        <v>120</v>
      </c>
      <c r="AF108" s="18"/>
      <c r="AG108" s="15" t="s">
        <v>117</v>
      </c>
      <c r="AH108" s="15" t="s">
        <v>2120</v>
      </c>
      <c r="AI108" s="15" t="s">
        <v>120</v>
      </c>
      <c r="AJ108" s="18"/>
      <c r="AK108" s="18"/>
      <c r="AL108" s="15" t="s">
        <v>126</v>
      </c>
      <c r="AM108" s="15" t="s">
        <v>185</v>
      </c>
      <c r="AN108" s="15" t="s">
        <v>129</v>
      </c>
      <c r="AO108" s="15" t="s">
        <v>141</v>
      </c>
      <c r="AP108" s="15"/>
    </row>
    <row r="109" ht="22.5" customHeight="1">
      <c r="A109" s="15" t="s">
        <v>2123</v>
      </c>
      <c r="B109" s="15" t="s">
        <v>2124</v>
      </c>
      <c r="C109" s="15" t="s">
        <v>2125</v>
      </c>
      <c r="D109" s="41">
        <v>40399.0</v>
      </c>
      <c r="E109" s="15" t="s">
        <v>177</v>
      </c>
      <c r="F109" s="15">
        <v>5.549526985E9</v>
      </c>
      <c r="G109" s="15" t="s">
        <v>2127</v>
      </c>
      <c r="H109" s="15" t="s">
        <v>101</v>
      </c>
      <c r="I109" s="18"/>
      <c r="J109" s="15" t="s">
        <v>2128</v>
      </c>
      <c r="K109" s="15" t="s">
        <v>2129</v>
      </c>
      <c r="L109" s="15">
        <v>5.520727404E9</v>
      </c>
      <c r="M109" s="18"/>
      <c r="N109" s="18"/>
      <c r="O109" s="18"/>
      <c r="P109" s="20">
        <v>15.0</v>
      </c>
      <c r="Q109" s="22">
        <v>46026.55787037037</v>
      </c>
      <c r="R109" s="15" t="s">
        <v>107</v>
      </c>
      <c r="S109" s="15" t="s">
        <v>109</v>
      </c>
      <c r="T109" s="15" t="s">
        <v>192</v>
      </c>
      <c r="U109" s="15" t="s">
        <v>749</v>
      </c>
      <c r="V109" s="15" t="s">
        <v>750</v>
      </c>
      <c r="W109" s="15" t="s">
        <v>751</v>
      </c>
      <c r="X109" s="15" t="s">
        <v>120</v>
      </c>
      <c r="Y109" s="18"/>
      <c r="Z109" s="15" t="s">
        <v>117</v>
      </c>
      <c r="AA109" s="52" t="s">
        <v>2136</v>
      </c>
      <c r="AB109" s="15" t="s">
        <v>120</v>
      </c>
      <c r="AC109" s="15" t="s">
        <v>120</v>
      </c>
      <c r="AD109" s="18"/>
      <c r="AE109" s="15" t="s">
        <v>120</v>
      </c>
      <c r="AF109" s="18"/>
      <c r="AG109" s="15" t="s">
        <v>120</v>
      </c>
      <c r="AH109" s="18"/>
      <c r="AI109" s="15" t="s">
        <v>120</v>
      </c>
      <c r="AJ109" s="18"/>
      <c r="AK109" s="18"/>
      <c r="AL109" s="15" t="s">
        <v>141</v>
      </c>
      <c r="AM109" s="15" t="s">
        <v>141</v>
      </c>
      <c r="AN109" s="15" t="s">
        <v>141</v>
      </c>
      <c r="AO109" s="15" t="s">
        <v>141</v>
      </c>
      <c r="AP109" s="15"/>
    </row>
    <row r="110" ht="22.5" customHeight="1">
      <c r="A110" s="15" t="s">
        <v>1169</v>
      </c>
      <c r="B110" s="15" t="s">
        <v>1171</v>
      </c>
      <c r="C110" s="15" t="s">
        <v>1173</v>
      </c>
      <c r="D110" s="41">
        <v>41260.0</v>
      </c>
      <c r="E110" s="15" t="s">
        <v>98</v>
      </c>
      <c r="F110" s="15">
        <v>5.614743694E9</v>
      </c>
      <c r="G110" s="15" t="s">
        <v>1178</v>
      </c>
      <c r="H110" s="15" t="s">
        <v>140</v>
      </c>
      <c r="I110" s="18"/>
      <c r="J110" s="15" t="s">
        <v>1181</v>
      </c>
      <c r="K110" s="15" t="s">
        <v>1184</v>
      </c>
      <c r="L110" s="15">
        <v>5.529999001E9</v>
      </c>
      <c r="M110" s="18"/>
      <c r="N110" s="18"/>
      <c r="O110" s="18"/>
      <c r="P110" s="20">
        <v>13.0</v>
      </c>
      <c r="Q110" s="22">
        <v>46040.8999537037</v>
      </c>
      <c r="R110" s="15" t="s">
        <v>107</v>
      </c>
      <c r="S110" s="15" t="s">
        <v>109</v>
      </c>
      <c r="T110" s="15" t="s">
        <v>192</v>
      </c>
      <c r="U110" s="15" t="s">
        <v>485</v>
      </c>
      <c r="V110" s="15" t="s">
        <v>486</v>
      </c>
      <c r="W110" s="15" t="s">
        <v>487</v>
      </c>
      <c r="X110" s="15" t="s">
        <v>120</v>
      </c>
      <c r="Y110" s="18"/>
      <c r="Z110" s="15" t="s">
        <v>120</v>
      </c>
      <c r="AA110" s="18"/>
      <c r="AB110" s="15" t="s">
        <v>117</v>
      </c>
      <c r="AC110" s="15" t="s">
        <v>117</v>
      </c>
      <c r="AD110" s="15" t="s">
        <v>1202</v>
      </c>
      <c r="AE110" s="15" t="s">
        <v>117</v>
      </c>
      <c r="AF110" s="15" t="s">
        <v>1205</v>
      </c>
      <c r="AG110" s="15" t="s">
        <v>120</v>
      </c>
      <c r="AH110" s="18"/>
      <c r="AI110" s="15" t="s">
        <v>117</v>
      </c>
      <c r="AJ110" s="15" t="s">
        <v>1207</v>
      </c>
      <c r="AK110" s="18"/>
      <c r="AL110" s="15" t="s">
        <v>240</v>
      </c>
      <c r="AM110" s="15" t="s">
        <v>126</v>
      </c>
      <c r="AN110" s="15" t="s">
        <v>242</v>
      </c>
      <c r="AO110" s="15" t="s">
        <v>156</v>
      </c>
      <c r="AP110" s="15"/>
    </row>
    <row r="111" ht="22.5" customHeight="1">
      <c r="A111" s="15" t="s">
        <v>2162</v>
      </c>
      <c r="B111" s="15" t="s">
        <v>2163</v>
      </c>
      <c r="C111" s="15" t="s">
        <v>2164</v>
      </c>
      <c r="D111" s="41">
        <v>40135.0</v>
      </c>
      <c r="E111" s="15" t="s">
        <v>98</v>
      </c>
      <c r="F111" s="15">
        <v>5.540504695E9</v>
      </c>
      <c r="G111" s="15" t="s">
        <v>2167</v>
      </c>
      <c r="H111" s="15" t="s">
        <v>101</v>
      </c>
      <c r="I111" s="18"/>
      <c r="J111" s="15" t="s">
        <v>2171</v>
      </c>
      <c r="K111" s="15" t="s">
        <v>2172</v>
      </c>
      <c r="L111" s="15">
        <v>5.57130206E9</v>
      </c>
      <c r="M111" s="15" t="s">
        <v>2173</v>
      </c>
      <c r="N111" s="15" t="s">
        <v>2175</v>
      </c>
      <c r="O111" s="15">
        <v>5.630420087E9</v>
      </c>
      <c r="P111" s="20">
        <v>16.0</v>
      </c>
      <c r="Q111" s="22">
        <v>46040.70046296297</v>
      </c>
      <c r="R111" s="15" t="s">
        <v>107</v>
      </c>
      <c r="S111" s="15" t="s">
        <v>109</v>
      </c>
      <c r="T111" s="15" t="s">
        <v>127</v>
      </c>
      <c r="U111" s="15" t="s">
        <v>766</v>
      </c>
      <c r="V111" s="15" t="s">
        <v>767</v>
      </c>
      <c r="W111" s="15" t="s">
        <v>768</v>
      </c>
      <c r="X111" s="15" t="s">
        <v>120</v>
      </c>
      <c r="Y111" s="18"/>
      <c r="Z111" s="15" t="s">
        <v>120</v>
      </c>
      <c r="AA111" s="18"/>
      <c r="AB111" s="15" t="s">
        <v>120</v>
      </c>
      <c r="AC111" s="15" t="s">
        <v>120</v>
      </c>
      <c r="AD111" s="18"/>
      <c r="AE111" s="15" t="s">
        <v>120</v>
      </c>
      <c r="AF111" s="18"/>
      <c r="AG111" s="15" t="s">
        <v>120</v>
      </c>
      <c r="AH111" s="18"/>
      <c r="AI111" s="15" t="s">
        <v>120</v>
      </c>
      <c r="AJ111" s="18"/>
      <c r="AK111" s="18"/>
      <c r="AL111" s="15" t="s">
        <v>141</v>
      </c>
      <c r="AM111" s="15" t="s">
        <v>138</v>
      </c>
      <c r="AN111" s="15" t="s">
        <v>129</v>
      </c>
      <c r="AO111" s="15" t="s">
        <v>242</v>
      </c>
      <c r="AP111" s="15"/>
    </row>
    <row r="112" ht="22.5" customHeight="1">
      <c r="A112" s="15" t="s">
        <v>2193</v>
      </c>
      <c r="B112" s="15" t="s">
        <v>2194</v>
      </c>
      <c r="C112" s="15" t="s">
        <v>2195</v>
      </c>
      <c r="D112" s="41">
        <v>40621.0</v>
      </c>
      <c r="E112" s="15" t="s">
        <v>98</v>
      </c>
      <c r="F112" s="15">
        <v>5.511311959E9</v>
      </c>
      <c r="G112" s="15" t="s">
        <v>2198</v>
      </c>
      <c r="H112" s="15" t="s">
        <v>101</v>
      </c>
      <c r="I112" s="18"/>
      <c r="J112" s="15" t="s">
        <v>2199</v>
      </c>
      <c r="K112" s="15" t="s">
        <v>2201</v>
      </c>
      <c r="L112" s="15">
        <v>5.519128552E9</v>
      </c>
      <c r="M112" s="18"/>
      <c r="N112" s="18"/>
      <c r="O112" s="18"/>
      <c r="P112" s="20">
        <v>14.0</v>
      </c>
      <c r="Q112" s="22">
        <v>46039.53313657407</v>
      </c>
      <c r="R112" s="15" t="s">
        <v>107</v>
      </c>
      <c r="S112" s="15" t="s">
        <v>109</v>
      </c>
      <c r="T112" s="15" t="s">
        <v>204</v>
      </c>
      <c r="U112" s="15" t="s">
        <v>295</v>
      </c>
      <c r="V112" s="15" t="s">
        <v>298</v>
      </c>
      <c r="W112" s="15" t="s">
        <v>299</v>
      </c>
      <c r="X112" s="15" t="s">
        <v>120</v>
      </c>
      <c r="Y112" s="18"/>
      <c r="Z112" s="15" t="s">
        <v>117</v>
      </c>
      <c r="AA112" s="52" t="s">
        <v>1525</v>
      </c>
      <c r="AB112" s="15" t="s">
        <v>120</v>
      </c>
      <c r="AC112" s="18"/>
      <c r="AD112" s="18"/>
      <c r="AE112" s="15" t="s">
        <v>120</v>
      </c>
      <c r="AF112" s="18"/>
      <c r="AG112" s="15" t="s">
        <v>120</v>
      </c>
      <c r="AH112" s="18"/>
      <c r="AI112" s="15" t="s">
        <v>120</v>
      </c>
      <c r="AJ112" s="18"/>
      <c r="AK112" s="18"/>
      <c r="AL112" s="15" t="s">
        <v>141</v>
      </c>
      <c r="AM112" s="15" t="s">
        <v>185</v>
      </c>
      <c r="AN112" s="15" t="s">
        <v>124</v>
      </c>
      <c r="AO112" s="15" t="s">
        <v>138</v>
      </c>
      <c r="AP112" s="15"/>
    </row>
    <row r="113" ht="22.5" customHeight="1">
      <c r="A113" s="15" t="s">
        <v>2221</v>
      </c>
      <c r="B113" s="15" t="s">
        <v>244</v>
      </c>
      <c r="C113" s="15" t="s">
        <v>2224</v>
      </c>
      <c r="D113" s="41">
        <v>40140.0</v>
      </c>
      <c r="E113" s="15" t="s">
        <v>177</v>
      </c>
      <c r="F113" s="15">
        <v>5.554659155E9</v>
      </c>
      <c r="G113" s="15" t="s">
        <v>2225</v>
      </c>
      <c r="H113" s="15" t="s">
        <v>101</v>
      </c>
      <c r="I113" s="18"/>
      <c r="J113" s="15" t="s">
        <v>251</v>
      </c>
      <c r="K113" s="15" t="s">
        <v>252</v>
      </c>
      <c r="L113" s="15">
        <v>5.511201062E9</v>
      </c>
      <c r="M113" s="15" t="s">
        <v>253</v>
      </c>
      <c r="N113" s="15" t="s">
        <v>254</v>
      </c>
      <c r="O113" s="15" t="s">
        <v>2231</v>
      </c>
      <c r="P113" s="20">
        <v>16.0</v>
      </c>
      <c r="Q113" s="22">
        <v>46020.7412962963</v>
      </c>
      <c r="R113" s="15" t="s">
        <v>107</v>
      </c>
      <c r="S113" s="15" t="s">
        <v>109</v>
      </c>
      <c r="T113" s="15" t="s">
        <v>208</v>
      </c>
      <c r="U113" s="15" t="s">
        <v>209</v>
      </c>
      <c r="V113" s="15" t="s">
        <v>210</v>
      </c>
      <c r="W113" s="15" t="s">
        <v>211</v>
      </c>
      <c r="X113" s="15" t="s">
        <v>120</v>
      </c>
      <c r="Y113" s="18"/>
      <c r="Z113" s="15" t="s">
        <v>120</v>
      </c>
      <c r="AA113" s="18"/>
      <c r="AB113" s="15" t="s">
        <v>120</v>
      </c>
      <c r="AC113" s="15" t="s">
        <v>120</v>
      </c>
      <c r="AD113" s="18"/>
      <c r="AE113" s="15" t="s">
        <v>120</v>
      </c>
      <c r="AF113" s="18"/>
      <c r="AG113" s="15" t="s">
        <v>120</v>
      </c>
      <c r="AH113" s="18"/>
      <c r="AI113" s="15" t="s">
        <v>120</v>
      </c>
      <c r="AJ113" s="18"/>
      <c r="AK113" s="18"/>
      <c r="AL113" s="15" t="s">
        <v>242</v>
      </c>
      <c r="AM113" s="15" t="s">
        <v>126</v>
      </c>
      <c r="AN113" s="15" t="s">
        <v>216</v>
      </c>
      <c r="AO113" s="15" t="s">
        <v>185</v>
      </c>
      <c r="AP113" s="15"/>
    </row>
    <row r="114" ht="22.5" customHeight="1">
      <c r="A114" s="15" t="s">
        <v>1435</v>
      </c>
      <c r="B114" s="15" t="s">
        <v>1438</v>
      </c>
      <c r="C114" s="15" t="s">
        <v>1440</v>
      </c>
      <c r="D114" s="41">
        <v>40093.0</v>
      </c>
      <c r="E114" s="15" t="s">
        <v>177</v>
      </c>
      <c r="F114" s="15">
        <v>5.627963261E9</v>
      </c>
      <c r="G114" s="15" t="s">
        <v>1445</v>
      </c>
      <c r="H114" s="15" t="s">
        <v>110</v>
      </c>
      <c r="I114" s="23" t="s">
        <v>135</v>
      </c>
      <c r="J114" s="15" t="s">
        <v>1448</v>
      </c>
      <c r="K114" s="15" t="s">
        <v>1450</v>
      </c>
      <c r="L114" s="15">
        <v>5.546531305E9</v>
      </c>
      <c r="M114" s="15" t="s">
        <v>1451</v>
      </c>
      <c r="N114" s="15" t="s">
        <v>1452</v>
      </c>
      <c r="O114" s="15">
        <v>5.546531305E9</v>
      </c>
      <c r="P114" s="20">
        <v>16.0</v>
      </c>
      <c r="Q114" s="22">
        <v>46018.44907407407</v>
      </c>
      <c r="R114" s="15" t="s">
        <v>107</v>
      </c>
      <c r="S114" s="15" t="s">
        <v>109</v>
      </c>
      <c r="T114" s="15" t="s">
        <v>204</v>
      </c>
      <c r="U114" s="15" t="s">
        <v>357</v>
      </c>
      <c r="V114" s="15" t="s">
        <v>359</v>
      </c>
      <c r="W114" s="15" t="s">
        <v>362</v>
      </c>
      <c r="X114" s="15" t="s">
        <v>120</v>
      </c>
      <c r="Y114" s="18"/>
      <c r="Z114" s="15" t="s">
        <v>120</v>
      </c>
      <c r="AA114" s="18"/>
      <c r="AB114" s="15" t="s">
        <v>117</v>
      </c>
      <c r="AC114" s="15" t="s">
        <v>117</v>
      </c>
      <c r="AD114" s="15" t="s">
        <v>1464</v>
      </c>
      <c r="AE114" s="15" t="s">
        <v>120</v>
      </c>
      <c r="AF114" s="18"/>
      <c r="AG114" s="15" t="s">
        <v>120</v>
      </c>
      <c r="AH114" s="18"/>
      <c r="AI114" s="15" t="s">
        <v>120</v>
      </c>
      <c r="AJ114" s="18"/>
      <c r="AK114" s="18"/>
      <c r="AL114" s="15" t="s">
        <v>156</v>
      </c>
      <c r="AM114" s="15" t="s">
        <v>129</v>
      </c>
      <c r="AN114" s="15" t="s">
        <v>124</v>
      </c>
      <c r="AO114" s="15" t="s">
        <v>185</v>
      </c>
      <c r="AP114" s="15"/>
    </row>
    <row r="115" ht="22.5" customHeight="1">
      <c r="A115" s="15" t="s">
        <v>2271</v>
      </c>
      <c r="B115" s="15" t="s">
        <v>2272</v>
      </c>
      <c r="C115" s="18"/>
      <c r="D115" s="41">
        <v>39929.0</v>
      </c>
      <c r="E115" s="15" t="s">
        <v>177</v>
      </c>
      <c r="F115" s="15">
        <v>5.637828814E9</v>
      </c>
      <c r="G115" s="15" t="s">
        <v>2276</v>
      </c>
      <c r="H115" s="15" t="s">
        <v>101</v>
      </c>
      <c r="I115" s="18"/>
      <c r="J115" s="15" t="s">
        <v>2278</v>
      </c>
      <c r="K115" s="15" t="s">
        <v>2279</v>
      </c>
      <c r="L115" s="15">
        <v>5.539891835E9</v>
      </c>
      <c r="M115" s="18"/>
      <c r="N115" s="18"/>
      <c r="O115" s="18"/>
      <c r="P115" s="20">
        <v>16.0</v>
      </c>
      <c r="Q115" s="22">
        <v>46041.35648148148</v>
      </c>
      <c r="R115" s="15" t="s">
        <v>107</v>
      </c>
      <c r="S115" s="15" t="s">
        <v>109</v>
      </c>
      <c r="T115" s="15" t="s">
        <v>111</v>
      </c>
      <c r="U115" s="15" t="s">
        <v>2283</v>
      </c>
      <c r="V115" s="15" t="s">
        <v>2285</v>
      </c>
      <c r="W115" s="15" t="s">
        <v>2286</v>
      </c>
      <c r="X115" s="15" t="s">
        <v>120</v>
      </c>
      <c r="Y115" s="18"/>
      <c r="Z115" s="15" t="s">
        <v>117</v>
      </c>
      <c r="AA115" s="52" t="s">
        <v>2289</v>
      </c>
      <c r="AB115" s="15" t="s">
        <v>120</v>
      </c>
      <c r="AC115" s="18"/>
      <c r="AD115" s="18"/>
      <c r="AE115" s="15" t="s">
        <v>120</v>
      </c>
      <c r="AF115" s="18"/>
      <c r="AG115" s="15" t="s">
        <v>120</v>
      </c>
      <c r="AH115" s="18"/>
      <c r="AI115" s="15" t="s">
        <v>120</v>
      </c>
      <c r="AJ115" s="18"/>
      <c r="AK115" s="18"/>
      <c r="AL115" s="15" t="s">
        <v>124</v>
      </c>
      <c r="AM115" s="15" t="s">
        <v>242</v>
      </c>
      <c r="AN115" s="15" t="s">
        <v>216</v>
      </c>
      <c r="AO115" s="15" t="s">
        <v>242</v>
      </c>
      <c r="AP115" s="15"/>
    </row>
    <row r="116" ht="22.5" customHeight="1">
      <c r="A116" s="15" t="s">
        <v>2292</v>
      </c>
      <c r="B116" s="15" t="s">
        <v>2293</v>
      </c>
      <c r="C116" s="15" t="s">
        <v>2294</v>
      </c>
      <c r="D116" s="41">
        <v>40663.0</v>
      </c>
      <c r="E116" s="15" t="s">
        <v>177</v>
      </c>
      <c r="F116" s="15">
        <v>5.549111967E9</v>
      </c>
      <c r="G116" s="15" t="s">
        <v>2298</v>
      </c>
      <c r="H116" s="15" t="s">
        <v>101</v>
      </c>
      <c r="I116" s="23" t="s">
        <v>135</v>
      </c>
      <c r="J116" s="15" t="s">
        <v>2300</v>
      </c>
      <c r="K116" s="15" t="s">
        <v>2303</v>
      </c>
      <c r="L116" s="15">
        <v>5.618931998E9</v>
      </c>
      <c r="M116" s="18"/>
      <c r="N116" s="18"/>
      <c r="O116" s="18"/>
      <c r="P116" s="20">
        <v>14.0</v>
      </c>
      <c r="Q116" s="22">
        <v>46033.83787037037</v>
      </c>
      <c r="R116" s="15" t="s">
        <v>107</v>
      </c>
      <c r="S116" s="15" t="s">
        <v>109</v>
      </c>
      <c r="T116" s="15" t="s">
        <v>160</v>
      </c>
      <c r="U116" s="15" t="s">
        <v>279</v>
      </c>
      <c r="V116" s="15" t="s">
        <v>280</v>
      </c>
      <c r="W116" s="15" t="s">
        <v>282</v>
      </c>
      <c r="X116" s="15" t="s">
        <v>120</v>
      </c>
      <c r="Y116" s="18"/>
      <c r="Z116" s="15" t="s">
        <v>120</v>
      </c>
      <c r="AA116" s="18"/>
      <c r="AB116" s="15" t="s">
        <v>120</v>
      </c>
      <c r="AC116" s="18"/>
      <c r="AD116" s="18"/>
      <c r="AE116" s="15" t="s">
        <v>120</v>
      </c>
      <c r="AF116" s="18"/>
      <c r="AG116" s="15" t="s">
        <v>120</v>
      </c>
      <c r="AH116" s="18"/>
      <c r="AI116" s="15" t="s">
        <v>120</v>
      </c>
      <c r="AJ116" s="18"/>
      <c r="AK116" s="18"/>
      <c r="AL116" s="15" t="s">
        <v>126</v>
      </c>
      <c r="AM116" s="15" t="s">
        <v>156</v>
      </c>
      <c r="AN116" s="15" t="s">
        <v>138</v>
      </c>
      <c r="AO116" s="15" t="s">
        <v>185</v>
      </c>
      <c r="AP116" s="15"/>
    </row>
    <row r="117" ht="22.5" customHeight="1">
      <c r="A117" s="15" t="s">
        <v>2314</v>
      </c>
      <c r="B117" s="15" t="s">
        <v>2315</v>
      </c>
      <c r="C117" s="18"/>
      <c r="D117" s="41">
        <v>41051.0</v>
      </c>
      <c r="E117" s="15" t="s">
        <v>177</v>
      </c>
      <c r="F117" s="15">
        <v>5.532443126E9</v>
      </c>
      <c r="G117" s="15" t="s">
        <v>2316</v>
      </c>
      <c r="H117" s="15" t="s">
        <v>101</v>
      </c>
      <c r="I117" s="18"/>
      <c r="J117" s="15" t="s">
        <v>2318</v>
      </c>
      <c r="K117" s="15" t="s">
        <v>2316</v>
      </c>
      <c r="L117" s="15">
        <v>5.532443126E9</v>
      </c>
      <c r="M117" s="15" t="s">
        <v>2320</v>
      </c>
      <c r="N117" s="15" t="s">
        <v>2322</v>
      </c>
      <c r="O117" s="15">
        <v>5.534000142E9</v>
      </c>
      <c r="P117" s="20">
        <v>13.0</v>
      </c>
      <c r="Q117" s="22">
        <v>46040.938622685186</v>
      </c>
      <c r="R117" s="15" t="s">
        <v>107</v>
      </c>
      <c r="S117" s="15" t="s">
        <v>109</v>
      </c>
      <c r="T117" s="15" t="s">
        <v>192</v>
      </c>
      <c r="U117" s="15" t="s">
        <v>749</v>
      </c>
      <c r="V117" s="15" t="s">
        <v>750</v>
      </c>
      <c r="W117" s="15" t="s">
        <v>751</v>
      </c>
      <c r="X117" s="15" t="s">
        <v>120</v>
      </c>
      <c r="Y117" s="18"/>
      <c r="Z117" s="15" t="s">
        <v>120</v>
      </c>
      <c r="AA117" s="18"/>
      <c r="AB117" s="15" t="s">
        <v>120</v>
      </c>
      <c r="AC117" s="15" t="s">
        <v>120</v>
      </c>
      <c r="AD117" s="18"/>
      <c r="AE117" s="15" t="s">
        <v>120</v>
      </c>
      <c r="AF117" s="18"/>
      <c r="AG117" s="15" t="s">
        <v>120</v>
      </c>
      <c r="AH117" s="18"/>
      <c r="AI117" s="15" t="s">
        <v>120</v>
      </c>
      <c r="AJ117" s="18"/>
      <c r="AK117" s="18"/>
      <c r="AL117" s="15" t="s">
        <v>141</v>
      </c>
      <c r="AM117" s="15" t="s">
        <v>185</v>
      </c>
      <c r="AN117" s="15" t="s">
        <v>124</v>
      </c>
      <c r="AO117" s="15" t="s">
        <v>242</v>
      </c>
      <c r="AP117" s="15"/>
    </row>
    <row r="118" ht="22.5" customHeight="1">
      <c r="A118" s="15" t="s">
        <v>1209</v>
      </c>
      <c r="B118" s="15" t="s">
        <v>1211</v>
      </c>
      <c r="C118" s="15" t="s">
        <v>1212</v>
      </c>
      <c r="D118" s="41">
        <v>40831.0</v>
      </c>
      <c r="E118" s="15" t="s">
        <v>98</v>
      </c>
      <c r="F118" s="15">
        <v>5.615170579E9</v>
      </c>
      <c r="G118" s="15" t="s">
        <v>1216</v>
      </c>
      <c r="H118" s="15" t="s">
        <v>150</v>
      </c>
      <c r="I118" s="18"/>
      <c r="J118" s="15" t="s">
        <v>1221</v>
      </c>
      <c r="K118" s="15" t="s">
        <v>1224</v>
      </c>
      <c r="L118" s="15">
        <v>5.575058233E9</v>
      </c>
      <c r="M118" s="15" t="s">
        <v>1225</v>
      </c>
      <c r="N118" s="15" t="s">
        <v>1227</v>
      </c>
      <c r="O118" s="15">
        <v>5.526102342E9</v>
      </c>
      <c r="P118" s="20">
        <v>14.0</v>
      </c>
      <c r="Q118" s="22">
        <v>46033.4809375</v>
      </c>
      <c r="R118" s="15" t="s">
        <v>107</v>
      </c>
      <c r="S118" s="15" t="s">
        <v>109</v>
      </c>
      <c r="T118" s="15" t="s">
        <v>160</v>
      </c>
      <c r="U118" s="15" t="s">
        <v>329</v>
      </c>
      <c r="V118" s="15" t="s">
        <v>331</v>
      </c>
      <c r="W118" s="15" t="s">
        <v>332</v>
      </c>
      <c r="X118" s="15" t="s">
        <v>120</v>
      </c>
      <c r="Y118" s="18"/>
      <c r="Z118" s="15" t="s">
        <v>120</v>
      </c>
      <c r="AA118" s="18"/>
      <c r="AB118" s="15" t="s">
        <v>120</v>
      </c>
      <c r="AC118" s="18"/>
      <c r="AD118" s="18"/>
      <c r="AE118" s="15" t="s">
        <v>117</v>
      </c>
      <c r="AF118" s="15" t="s">
        <v>807</v>
      </c>
      <c r="AG118" s="15" t="s">
        <v>120</v>
      </c>
      <c r="AH118" s="18"/>
      <c r="AI118" s="15" t="s">
        <v>117</v>
      </c>
      <c r="AJ118" s="15" t="s">
        <v>1243</v>
      </c>
      <c r="AK118" s="18"/>
      <c r="AL118" s="15" t="s">
        <v>216</v>
      </c>
      <c r="AM118" s="15" t="s">
        <v>141</v>
      </c>
      <c r="AN118" s="15" t="s">
        <v>126</v>
      </c>
      <c r="AO118" s="15" t="s">
        <v>242</v>
      </c>
      <c r="AP118" s="15"/>
    </row>
    <row r="119" ht="22.5" customHeight="1">
      <c r="A119" s="15" t="s">
        <v>2344</v>
      </c>
      <c r="B119" s="15" t="s">
        <v>2345</v>
      </c>
      <c r="C119" s="15" t="s">
        <v>2346</v>
      </c>
      <c r="D119" s="41">
        <v>39859.0</v>
      </c>
      <c r="E119" s="15" t="s">
        <v>177</v>
      </c>
      <c r="F119" s="15">
        <v>5.522529017E9</v>
      </c>
      <c r="G119" s="15" t="s">
        <v>2347</v>
      </c>
      <c r="H119" s="15" t="s">
        <v>150</v>
      </c>
      <c r="I119" s="18"/>
      <c r="J119" s="15" t="s">
        <v>2348</v>
      </c>
      <c r="K119" s="15" t="s">
        <v>2350</v>
      </c>
      <c r="L119" s="15">
        <v>5.544160497E9</v>
      </c>
      <c r="M119" s="18"/>
      <c r="N119" s="18"/>
      <c r="O119" s="18"/>
      <c r="P119" s="20">
        <v>17.0</v>
      </c>
      <c r="Q119" s="22">
        <v>46039.749189814815</v>
      </c>
      <c r="R119" s="15" t="s">
        <v>107</v>
      </c>
      <c r="S119" s="15" t="s">
        <v>109</v>
      </c>
      <c r="T119" s="15" t="s">
        <v>160</v>
      </c>
      <c r="U119" s="15" t="s">
        <v>308</v>
      </c>
      <c r="V119" s="15" t="s">
        <v>309</v>
      </c>
      <c r="W119" s="15" t="s">
        <v>310</v>
      </c>
      <c r="X119" s="15" t="s">
        <v>120</v>
      </c>
      <c r="Y119" s="18"/>
      <c r="Z119" s="15" t="s">
        <v>120</v>
      </c>
      <c r="AA119" s="18"/>
      <c r="AB119" s="15" t="s">
        <v>120</v>
      </c>
      <c r="AC119" s="15" t="s">
        <v>120</v>
      </c>
      <c r="AD119" s="18"/>
      <c r="AE119" s="15" t="s">
        <v>120</v>
      </c>
      <c r="AF119" s="18"/>
      <c r="AG119" s="15" t="s">
        <v>120</v>
      </c>
      <c r="AH119" s="18"/>
      <c r="AI119" s="15" t="s">
        <v>120</v>
      </c>
      <c r="AJ119" s="18"/>
      <c r="AK119" s="18"/>
      <c r="AL119" s="15" t="s">
        <v>185</v>
      </c>
      <c r="AM119" s="15" t="s">
        <v>129</v>
      </c>
      <c r="AN119" s="15" t="s">
        <v>126</v>
      </c>
      <c r="AO119" s="15" t="s">
        <v>156</v>
      </c>
      <c r="AP119" s="15"/>
    </row>
    <row r="120" ht="22.5" customHeight="1">
      <c r="A120" s="15" t="s">
        <v>2358</v>
      </c>
      <c r="B120" s="15" t="s">
        <v>2359</v>
      </c>
      <c r="C120" s="15" t="s">
        <v>2361</v>
      </c>
      <c r="D120" s="41">
        <v>40351.0</v>
      </c>
      <c r="E120" s="15" t="s">
        <v>177</v>
      </c>
      <c r="F120" s="15">
        <v>5.583606582E9</v>
      </c>
      <c r="G120" s="15" t="s">
        <v>2363</v>
      </c>
      <c r="H120" s="15" t="s">
        <v>382</v>
      </c>
      <c r="I120" s="23" t="s">
        <v>2365</v>
      </c>
      <c r="J120" s="15" t="s">
        <v>2366</v>
      </c>
      <c r="K120" s="15" t="s">
        <v>2363</v>
      </c>
      <c r="L120" s="15">
        <v>5.632918693E9</v>
      </c>
      <c r="M120" s="18"/>
      <c r="N120" s="18"/>
      <c r="O120" s="18"/>
      <c r="P120" s="20">
        <v>15.0</v>
      </c>
      <c r="Q120" s="22">
        <v>46039.014027777775</v>
      </c>
      <c r="R120" s="15" t="s">
        <v>107</v>
      </c>
      <c r="S120" s="15" t="s">
        <v>109</v>
      </c>
      <c r="T120" s="15" t="s">
        <v>111</v>
      </c>
      <c r="U120" s="15" t="s">
        <v>657</v>
      </c>
      <c r="V120" s="15" t="s">
        <v>659</v>
      </c>
      <c r="W120" s="15" t="s">
        <v>662</v>
      </c>
      <c r="X120" s="15" t="s">
        <v>120</v>
      </c>
      <c r="Y120" s="18"/>
      <c r="Z120" s="15" t="s">
        <v>120</v>
      </c>
      <c r="AA120" s="18"/>
      <c r="AB120" s="15" t="s">
        <v>120</v>
      </c>
      <c r="AC120" s="18"/>
      <c r="AD120" s="18"/>
      <c r="AE120" s="15" t="s">
        <v>120</v>
      </c>
      <c r="AF120" s="18"/>
      <c r="AG120" s="15" t="s">
        <v>120</v>
      </c>
      <c r="AH120" s="18"/>
      <c r="AI120" s="15" t="s">
        <v>120</v>
      </c>
      <c r="AJ120" s="18"/>
      <c r="AK120" s="18"/>
      <c r="AL120" s="15" t="s">
        <v>185</v>
      </c>
      <c r="AM120" s="15" t="s">
        <v>141</v>
      </c>
      <c r="AN120" s="15" t="s">
        <v>240</v>
      </c>
      <c r="AO120" s="15" t="s">
        <v>124</v>
      </c>
      <c r="AP120" s="15"/>
    </row>
    <row r="121" ht="22.5" customHeight="1">
      <c r="A121" s="15" t="s">
        <v>1251</v>
      </c>
      <c r="B121" s="15" t="s">
        <v>1252</v>
      </c>
      <c r="C121" s="15" t="s">
        <v>1253</v>
      </c>
      <c r="D121" s="41">
        <v>40448.0</v>
      </c>
      <c r="E121" s="15" t="s">
        <v>98</v>
      </c>
      <c r="F121" s="15" t="s">
        <v>1257</v>
      </c>
      <c r="G121" s="15" t="s">
        <v>1258</v>
      </c>
      <c r="H121" s="15" t="s">
        <v>101</v>
      </c>
      <c r="I121" s="18"/>
      <c r="J121" s="15" t="s">
        <v>1260</v>
      </c>
      <c r="K121" s="15" t="s">
        <v>1261</v>
      </c>
      <c r="L121" s="15">
        <v>5.614707074E9</v>
      </c>
      <c r="M121" s="15" t="s">
        <v>1262</v>
      </c>
      <c r="N121" s="15" t="s">
        <v>1263</v>
      </c>
      <c r="O121" s="15">
        <v>5.617662662E9</v>
      </c>
      <c r="P121" s="20">
        <v>15.0</v>
      </c>
      <c r="Q121" s="22">
        <v>46026.5165162037</v>
      </c>
      <c r="R121" s="15" t="s">
        <v>107</v>
      </c>
      <c r="S121" s="15" t="s">
        <v>109</v>
      </c>
      <c r="T121" s="15" t="s">
        <v>160</v>
      </c>
      <c r="U121" s="15" t="s">
        <v>1265</v>
      </c>
      <c r="V121" s="15" t="s">
        <v>1267</v>
      </c>
      <c r="W121" s="15" t="s">
        <v>1268</v>
      </c>
      <c r="X121" s="15" t="s">
        <v>120</v>
      </c>
      <c r="Y121" s="18"/>
      <c r="Z121" s="15" t="s">
        <v>120</v>
      </c>
      <c r="AA121" s="18"/>
      <c r="AB121" s="15" t="s">
        <v>120</v>
      </c>
      <c r="AC121" s="18"/>
      <c r="AD121" s="18"/>
      <c r="AE121" s="15" t="s">
        <v>120</v>
      </c>
      <c r="AF121" s="18"/>
      <c r="AG121" s="15" t="s">
        <v>120</v>
      </c>
      <c r="AH121" s="18"/>
      <c r="AI121" s="15" t="s">
        <v>117</v>
      </c>
      <c r="AJ121" s="15" t="s">
        <v>1282</v>
      </c>
      <c r="AK121" s="18"/>
      <c r="AL121" s="15" t="s">
        <v>138</v>
      </c>
      <c r="AM121" s="15" t="s">
        <v>185</v>
      </c>
      <c r="AN121" s="15" t="s">
        <v>156</v>
      </c>
      <c r="AO121" s="15" t="s">
        <v>242</v>
      </c>
      <c r="AP121" s="15"/>
    </row>
    <row r="122" ht="22.5" customHeight="1">
      <c r="A122" s="15" t="s">
        <v>2383</v>
      </c>
      <c r="B122" s="15" t="s">
        <v>2384</v>
      </c>
      <c r="C122" s="15" t="s">
        <v>68</v>
      </c>
      <c r="D122" s="41">
        <v>40010.0</v>
      </c>
      <c r="E122" s="15" t="s">
        <v>98</v>
      </c>
      <c r="F122" s="15">
        <v>5.554763021E9</v>
      </c>
      <c r="G122" s="15" t="s">
        <v>2385</v>
      </c>
      <c r="H122" s="15" t="s">
        <v>140</v>
      </c>
      <c r="I122" s="18"/>
      <c r="J122" s="15" t="s">
        <v>2386</v>
      </c>
      <c r="K122" s="15" t="s">
        <v>2387</v>
      </c>
      <c r="L122" s="15">
        <v>9.5124499E9</v>
      </c>
      <c r="M122" s="18"/>
      <c r="N122" s="18"/>
      <c r="O122" s="18"/>
      <c r="P122" s="20">
        <v>16.0</v>
      </c>
      <c r="Q122" s="22">
        <v>46034.688472222224</v>
      </c>
      <c r="R122" s="15" t="s">
        <v>107</v>
      </c>
      <c r="S122" s="15" t="s">
        <v>109</v>
      </c>
      <c r="T122" s="15" t="s">
        <v>171</v>
      </c>
      <c r="U122" s="15" t="s">
        <v>638</v>
      </c>
      <c r="V122" s="15" t="s">
        <v>639</v>
      </c>
      <c r="W122" s="15" t="s">
        <v>641</v>
      </c>
      <c r="X122" s="15" t="s">
        <v>120</v>
      </c>
      <c r="Y122" s="18"/>
      <c r="Z122" s="15" t="s">
        <v>120</v>
      </c>
      <c r="AA122" s="18"/>
      <c r="AB122" s="15" t="s">
        <v>120</v>
      </c>
      <c r="AC122" s="18"/>
      <c r="AD122" s="18"/>
      <c r="AE122" s="15" t="s">
        <v>120</v>
      </c>
      <c r="AF122" s="18"/>
      <c r="AG122" s="15" t="s">
        <v>120</v>
      </c>
      <c r="AH122" s="18"/>
      <c r="AI122" s="15" t="s">
        <v>120</v>
      </c>
      <c r="AJ122" s="18"/>
      <c r="AK122" s="18"/>
      <c r="AL122" s="15" t="s">
        <v>138</v>
      </c>
      <c r="AM122" s="15" t="s">
        <v>156</v>
      </c>
      <c r="AN122" s="15" t="s">
        <v>242</v>
      </c>
      <c r="AO122" s="15" t="s">
        <v>185</v>
      </c>
      <c r="AP122" s="15"/>
    </row>
    <row r="123" ht="22.5" customHeight="1">
      <c r="A123" s="15" t="s">
        <v>1477</v>
      </c>
      <c r="B123" s="15" t="s">
        <v>1478</v>
      </c>
      <c r="C123" s="15" t="s">
        <v>1479</v>
      </c>
      <c r="D123" s="41">
        <v>41037.0</v>
      </c>
      <c r="E123" s="15" t="s">
        <v>177</v>
      </c>
      <c r="F123" s="15">
        <v>5.547520411E9</v>
      </c>
      <c r="G123" s="15" t="s">
        <v>1480</v>
      </c>
      <c r="H123" s="15" t="s">
        <v>101</v>
      </c>
      <c r="I123" s="23" t="s">
        <v>135</v>
      </c>
      <c r="J123" s="15" t="s">
        <v>1481</v>
      </c>
      <c r="K123" s="15" t="s">
        <v>1482</v>
      </c>
      <c r="L123" s="15">
        <v>5.53714428E9</v>
      </c>
      <c r="M123" s="15" t="s">
        <v>1484</v>
      </c>
      <c r="N123" s="15" t="s">
        <v>1485</v>
      </c>
      <c r="O123" s="15">
        <v>5.53938741E9</v>
      </c>
      <c r="P123" s="20">
        <v>13.0</v>
      </c>
      <c r="Q123" s="22">
        <v>46034.84743055556</v>
      </c>
      <c r="R123" s="15" t="s">
        <v>107</v>
      </c>
      <c r="S123" s="15" t="s">
        <v>109</v>
      </c>
      <c r="T123" s="15" t="s">
        <v>171</v>
      </c>
      <c r="U123" s="15" t="s">
        <v>1048</v>
      </c>
      <c r="V123" s="15" t="s">
        <v>1050</v>
      </c>
      <c r="W123" s="15" t="s">
        <v>1051</v>
      </c>
      <c r="X123" s="15" t="s">
        <v>120</v>
      </c>
      <c r="Y123" s="18"/>
      <c r="Z123" s="15" t="s">
        <v>120</v>
      </c>
      <c r="AA123" s="18"/>
      <c r="AB123" s="15" t="s">
        <v>117</v>
      </c>
      <c r="AC123" s="15" t="s">
        <v>120</v>
      </c>
      <c r="AD123" s="27" t="s">
        <v>1500</v>
      </c>
      <c r="AE123" s="15" t="s">
        <v>120</v>
      </c>
      <c r="AF123" s="18"/>
      <c r="AG123" s="15" t="s">
        <v>120</v>
      </c>
      <c r="AH123" s="18"/>
      <c r="AI123" s="15" t="s">
        <v>120</v>
      </c>
      <c r="AJ123" s="18"/>
      <c r="AK123" s="18"/>
      <c r="AL123" s="15" t="s">
        <v>124</v>
      </c>
      <c r="AM123" s="15" t="s">
        <v>156</v>
      </c>
      <c r="AN123" s="15" t="s">
        <v>242</v>
      </c>
      <c r="AO123" s="15" t="s">
        <v>216</v>
      </c>
      <c r="AP123" s="15"/>
    </row>
    <row r="124" ht="22.5" customHeight="1">
      <c r="A124" s="15" t="s">
        <v>2402</v>
      </c>
      <c r="B124" s="15" t="s">
        <v>2404</v>
      </c>
      <c r="C124" s="15" t="s">
        <v>2405</v>
      </c>
      <c r="D124" s="41">
        <v>40485.0</v>
      </c>
      <c r="E124" s="15" t="s">
        <v>177</v>
      </c>
      <c r="F124" s="15">
        <v>5.544968843E9</v>
      </c>
      <c r="G124" s="15" t="s">
        <v>2408</v>
      </c>
      <c r="H124" s="15" t="s">
        <v>101</v>
      </c>
      <c r="I124" s="18"/>
      <c r="J124" s="15" t="s">
        <v>2410</v>
      </c>
      <c r="K124" s="15" t="s">
        <v>750</v>
      </c>
      <c r="L124" s="15">
        <v>5.520717248E9</v>
      </c>
      <c r="M124" s="18"/>
      <c r="N124" s="18"/>
      <c r="O124" s="18"/>
      <c r="P124" s="20">
        <v>15.0</v>
      </c>
      <c r="Q124" s="22">
        <v>46040.75530092593</v>
      </c>
      <c r="R124" s="15" t="s">
        <v>107</v>
      </c>
      <c r="S124" s="15" t="s">
        <v>109</v>
      </c>
      <c r="T124" s="15" t="s">
        <v>192</v>
      </c>
      <c r="U124" s="15" t="s">
        <v>749</v>
      </c>
      <c r="V124" s="15" t="s">
        <v>750</v>
      </c>
      <c r="W124" s="15" t="s">
        <v>751</v>
      </c>
      <c r="X124" s="15" t="s">
        <v>120</v>
      </c>
      <c r="Y124" s="18"/>
      <c r="Z124" s="15" t="s">
        <v>120</v>
      </c>
      <c r="AA124" s="18"/>
      <c r="AB124" s="15" t="s">
        <v>120</v>
      </c>
      <c r="AC124" s="18"/>
      <c r="AD124" s="18"/>
      <c r="AE124" s="15" t="s">
        <v>120</v>
      </c>
      <c r="AF124" s="18"/>
      <c r="AG124" s="15" t="s">
        <v>120</v>
      </c>
      <c r="AH124" s="18"/>
      <c r="AI124" s="15" t="s">
        <v>120</v>
      </c>
      <c r="AJ124" s="18"/>
      <c r="AK124" s="18"/>
      <c r="AL124" s="15" t="s">
        <v>242</v>
      </c>
      <c r="AM124" s="15" t="s">
        <v>156</v>
      </c>
      <c r="AN124" s="15" t="s">
        <v>138</v>
      </c>
      <c r="AO124" s="15" t="s">
        <v>240</v>
      </c>
      <c r="AP124" s="15"/>
    </row>
    <row r="125" ht="22.5" customHeight="1">
      <c r="A125" s="15" t="s">
        <v>2420</v>
      </c>
      <c r="B125" s="15" t="s">
        <v>2421</v>
      </c>
      <c r="C125" s="15" t="s">
        <v>2422</v>
      </c>
      <c r="D125" s="41">
        <v>40717.0</v>
      </c>
      <c r="E125" s="15" t="s">
        <v>177</v>
      </c>
      <c r="F125" s="15" t="s">
        <v>2424</v>
      </c>
      <c r="G125" s="15" t="s">
        <v>2425</v>
      </c>
      <c r="H125" s="15" t="s">
        <v>101</v>
      </c>
      <c r="I125" s="18"/>
      <c r="J125" s="15" t="s">
        <v>2428</v>
      </c>
      <c r="K125" s="15" t="s">
        <v>2425</v>
      </c>
      <c r="L125" s="15" t="s">
        <v>2424</v>
      </c>
      <c r="M125" s="18"/>
      <c r="N125" s="18"/>
      <c r="O125" s="18"/>
      <c r="P125" s="20">
        <v>14.0</v>
      </c>
      <c r="Q125" s="22">
        <v>46034.7875</v>
      </c>
      <c r="R125" s="15" t="s">
        <v>107</v>
      </c>
      <c r="S125" s="15" t="s">
        <v>109</v>
      </c>
      <c r="T125" s="15" t="s">
        <v>204</v>
      </c>
      <c r="U125" s="15" t="s">
        <v>699</v>
      </c>
      <c r="V125" s="15" t="s">
        <v>700</v>
      </c>
      <c r="W125" s="15" t="s">
        <v>702</v>
      </c>
      <c r="X125" s="15" t="s">
        <v>120</v>
      </c>
      <c r="Y125" s="18"/>
      <c r="Z125" s="15" t="s">
        <v>120</v>
      </c>
      <c r="AA125" s="18"/>
      <c r="AB125" s="15" t="s">
        <v>120</v>
      </c>
      <c r="AC125" s="15" t="s">
        <v>120</v>
      </c>
      <c r="AD125" s="18"/>
      <c r="AE125" s="15" t="s">
        <v>120</v>
      </c>
      <c r="AF125" s="18"/>
      <c r="AG125" s="15" t="s">
        <v>120</v>
      </c>
      <c r="AH125" s="18"/>
      <c r="AI125" s="15" t="s">
        <v>120</v>
      </c>
      <c r="AJ125" s="18"/>
      <c r="AK125" s="15" t="s">
        <v>135</v>
      </c>
      <c r="AL125" s="15" t="s">
        <v>138</v>
      </c>
      <c r="AM125" s="15" t="s">
        <v>242</v>
      </c>
      <c r="AN125" s="15" t="s">
        <v>156</v>
      </c>
      <c r="AO125" s="15" t="s">
        <v>185</v>
      </c>
      <c r="AP125" s="15"/>
    </row>
    <row r="126" ht="22.5" customHeight="1">
      <c r="A126" s="15" t="s">
        <v>2442</v>
      </c>
      <c r="B126" s="15" t="s">
        <v>2443</v>
      </c>
      <c r="C126" s="15" t="s">
        <v>2444</v>
      </c>
      <c r="D126" s="41">
        <v>41018.0</v>
      </c>
      <c r="E126" s="15" t="s">
        <v>98</v>
      </c>
      <c r="F126" s="15">
        <v>5.5230539E9</v>
      </c>
      <c r="G126" s="15" t="s">
        <v>2446</v>
      </c>
      <c r="H126" s="15" t="s">
        <v>101</v>
      </c>
      <c r="I126" s="23" t="s">
        <v>135</v>
      </c>
      <c r="J126" s="15" t="s">
        <v>2447</v>
      </c>
      <c r="K126" s="15" t="s">
        <v>2449</v>
      </c>
      <c r="L126" s="15">
        <v>5.545761494E9</v>
      </c>
      <c r="M126" s="15" t="s">
        <v>2451</v>
      </c>
      <c r="N126" s="15" t="s">
        <v>2453</v>
      </c>
      <c r="O126" s="15">
        <v>5.5230539E9</v>
      </c>
      <c r="P126" s="20">
        <v>13.0</v>
      </c>
      <c r="Q126" s="22">
        <v>46021.80829861111</v>
      </c>
      <c r="R126" s="15" t="s">
        <v>107</v>
      </c>
      <c r="S126" s="15" t="s">
        <v>109</v>
      </c>
      <c r="T126" s="15" t="s">
        <v>127</v>
      </c>
      <c r="U126" s="15" t="s">
        <v>130</v>
      </c>
      <c r="V126" s="15" t="s">
        <v>131</v>
      </c>
      <c r="W126" s="15" t="s">
        <v>132</v>
      </c>
      <c r="X126" s="15" t="s">
        <v>120</v>
      </c>
      <c r="Y126" s="15" t="s">
        <v>135</v>
      </c>
      <c r="Z126" s="15" t="s">
        <v>120</v>
      </c>
      <c r="AA126" s="15" t="s">
        <v>135</v>
      </c>
      <c r="AB126" s="15" t="s">
        <v>120</v>
      </c>
      <c r="AC126" s="15" t="s">
        <v>120</v>
      </c>
      <c r="AD126" s="15" t="s">
        <v>135</v>
      </c>
      <c r="AE126" s="15" t="s">
        <v>120</v>
      </c>
      <c r="AF126" s="15" t="s">
        <v>134</v>
      </c>
      <c r="AG126" s="15" t="s">
        <v>120</v>
      </c>
      <c r="AH126" s="15" t="s">
        <v>135</v>
      </c>
      <c r="AI126" s="15" t="s">
        <v>120</v>
      </c>
      <c r="AJ126" s="15" t="s">
        <v>135</v>
      </c>
      <c r="AK126" s="15" t="s">
        <v>135</v>
      </c>
      <c r="AL126" s="15" t="s">
        <v>129</v>
      </c>
      <c r="AM126" s="15" t="s">
        <v>138</v>
      </c>
      <c r="AN126" s="15" t="s">
        <v>185</v>
      </c>
      <c r="AO126" s="15" t="s">
        <v>156</v>
      </c>
      <c r="AP126" s="15"/>
    </row>
    <row r="127" ht="22.5" customHeight="1">
      <c r="A127" s="15" t="s">
        <v>1802</v>
      </c>
      <c r="B127" s="15" t="s">
        <v>2465</v>
      </c>
      <c r="C127" s="18"/>
      <c r="D127" s="41">
        <v>40527.0</v>
      </c>
      <c r="E127" s="15" t="s">
        <v>177</v>
      </c>
      <c r="F127" s="15">
        <v>5.63981203E9</v>
      </c>
      <c r="G127" s="15" t="s">
        <v>789</v>
      </c>
      <c r="H127" s="15" t="s">
        <v>150</v>
      </c>
      <c r="I127" s="23" t="s">
        <v>696</v>
      </c>
      <c r="J127" s="15" t="s">
        <v>2472</v>
      </c>
      <c r="K127" s="15" t="s">
        <v>789</v>
      </c>
      <c r="L127" s="15">
        <v>5.513605958E9</v>
      </c>
      <c r="M127" s="18"/>
      <c r="N127" s="18"/>
      <c r="O127" s="18"/>
      <c r="P127" s="20">
        <v>15.0</v>
      </c>
      <c r="Q127" s="22">
        <v>46039.79269675926</v>
      </c>
      <c r="R127" s="15" t="s">
        <v>107</v>
      </c>
      <c r="S127" s="15" t="s">
        <v>109</v>
      </c>
      <c r="T127" s="15" t="s">
        <v>208</v>
      </c>
      <c r="U127" s="15" t="s">
        <v>788</v>
      </c>
      <c r="V127" s="15" t="s">
        <v>789</v>
      </c>
      <c r="W127" s="15" t="s">
        <v>790</v>
      </c>
      <c r="X127" s="15" t="s">
        <v>120</v>
      </c>
      <c r="Y127" s="18"/>
      <c r="Z127" s="15" t="s">
        <v>120</v>
      </c>
      <c r="AA127" s="18"/>
      <c r="AB127" s="15" t="s">
        <v>120</v>
      </c>
      <c r="AC127" s="15" t="s">
        <v>120</v>
      </c>
      <c r="AD127" s="18"/>
      <c r="AE127" s="15" t="s">
        <v>120</v>
      </c>
      <c r="AF127" s="18"/>
      <c r="AG127" s="15" t="s">
        <v>120</v>
      </c>
      <c r="AH127" s="18"/>
      <c r="AI127" s="15" t="s">
        <v>120</v>
      </c>
      <c r="AJ127" s="18"/>
      <c r="AK127" s="18"/>
      <c r="AL127" s="15" t="s">
        <v>141</v>
      </c>
      <c r="AM127" s="15" t="s">
        <v>126</v>
      </c>
      <c r="AN127" s="15" t="s">
        <v>156</v>
      </c>
      <c r="AO127" s="15" t="s">
        <v>129</v>
      </c>
      <c r="AP127" s="15"/>
    </row>
    <row r="128" ht="22.5" customHeight="1">
      <c r="A128" s="15" t="s">
        <v>2485</v>
      </c>
      <c r="B128" s="15" t="s">
        <v>2394</v>
      </c>
      <c r="C128" s="15" t="s">
        <v>2487</v>
      </c>
      <c r="D128" s="41">
        <v>39637.0</v>
      </c>
      <c r="E128" s="15" t="s">
        <v>98</v>
      </c>
      <c r="F128" s="15">
        <v>5.524122099E9</v>
      </c>
      <c r="G128" s="15" t="s">
        <v>2489</v>
      </c>
      <c r="H128" s="15" t="s">
        <v>150</v>
      </c>
      <c r="I128" s="18"/>
      <c r="J128" s="15" t="s">
        <v>2490</v>
      </c>
      <c r="K128" s="15" t="s">
        <v>2401</v>
      </c>
      <c r="L128" s="15">
        <v>5.51190073E9</v>
      </c>
      <c r="M128" s="15" t="s">
        <v>2491</v>
      </c>
      <c r="N128" s="15" t="s">
        <v>2399</v>
      </c>
      <c r="O128" s="15">
        <v>5.522060036E9</v>
      </c>
      <c r="P128" s="20">
        <v>17.0</v>
      </c>
      <c r="Q128" s="22">
        <v>46023.48506944445</v>
      </c>
      <c r="R128" s="15" t="s">
        <v>107</v>
      </c>
      <c r="S128" s="15" t="s">
        <v>109</v>
      </c>
      <c r="T128" s="15" t="s">
        <v>111</v>
      </c>
      <c r="U128" s="15" t="s">
        <v>398</v>
      </c>
      <c r="V128" s="15" t="s">
        <v>399</v>
      </c>
      <c r="W128" s="15" t="s">
        <v>400</v>
      </c>
      <c r="X128" s="15" t="s">
        <v>120</v>
      </c>
      <c r="Y128" s="18"/>
      <c r="Z128" s="15" t="s">
        <v>117</v>
      </c>
      <c r="AA128" s="67" t="s">
        <v>285</v>
      </c>
      <c r="AB128" s="15" t="s">
        <v>120</v>
      </c>
      <c r="AC128" s="18"/>
      <c r="AD128" s="18"/>
      <c r="AE128" s="15" t="s">
        <v>120</v>
      </c>
      <c r="AF128" s="18"/>
      <c r="AG128" s="15" t="s">
        <v>120</v>
      </c>
      <c r="AH128" s="18"/>
      <c r="AI128" s="15" t="s">
        <v>117</v>
      </c>
      <c r="AJ128" s="15" t="s">
        <v>2497</v>
      </c>
      <c r="AK128" s="18"/>
      <c r="AL128" s="15" t="s">
        <v>138</v>
      </c>
      <c r="AM128" s="15" t="s">
        <v>185</v>
      </c>
      <c r="AN128" s="15" t="s">
        <v>216</v>
      </c>
      <c r="AO128" s="15" t="s">
        <v>126</v>
      </c>
      <c r="AP128" s="15"/>
    </row>
    <row r="129" ht="22.5" customHeight="1">
      <c r="A129" s="15" t="s">
        <v>1285</v>
      </c>
      <c r="B129" s="15" t="s">
        <v>1286</v>
      </c>
      <c r="C129" s="15" t="s">
        <v>1287</v>
      </c>
      <c r="D129" s="41">
        <v>39963.0</v>
      </c>
      <c r="E129" s="15" t="s">
        <v>98</v>
      </c>
      <c r="F129" s="15">
        <v>5.517126623E9</v>
      </c>
      <c r="G129" s="15" t="s">
        <v>1290</v>
      </c>
      <c r="H129" s="15" t="s">
        <v>140</v>
      </c>
      <c r="I129" s="18"/>
      <c r="J129" s="15" t="s">
        <v>1292</v>
      </c>
      <c r="K129" s="15" t="s">
        <v>1294</v>
      </c>
      <c r="L129" s="15">
        <v>0.0</v>
      </c>
      <c r="M129" s="15" t="s">
        <v>1297</v>
      </c>
      <c r="N129" s="15" t="s">
        <v>1298</v>
      </c>
      <c r="O129" s="15">
        <v>5.548772614E9</v>
      </c>
      <c r="P129" s="20">
        <v>16.0</v>
      </c>
      <c r="Q129" s="22">
        <v>46035.62359953704</v>
      </c>
      <c r="R129" s="15" t="s">
        <v>107</v>
      </c>
      <c r="S129" s="15" t="s">
        <v>109</v>
      </c>
      <c r="T129" s="15" t="s">
        <v>192</v>
      </c>
      <c r="U129" s="15" t="s">
        <v>485</v>
      </c>
      <c r="V129" s="15" t="s">
        <v>486</v>
      </c>
      <c r="W129" s="15" t="s">
        <v>487</v>
      </c>
      <c r="X129" s="15" t="s">
        <v>120</v>
      </c>
      <c r="Y129" s="18"/>
      <c r="Z129" s="15" t="s">
        <v>120</v>
      </c>
      <c r="AA129" s="18"/>
      <c r="AB129" s="15" t="s">
        <v>117</v>
      </c>
      <c r="AC129" s="15" t="s">
        <v>117</v>
      </c>
      <c r="AD129" s="15" t="s">
        <v>2516</v>
      </c>
      <c r="AE129" s="15" t="s">
        <v>117</v>
      </c>
      <c r="AF129" s="15" t="s">
        <v>1309</v>
      </c>
      <c r="AG129" s="15" t="s">
        <v>120</v>
      </c>
      <c r="AH129" s="15" t="s">
        <v>1311</v>
      </c>
      <c r="AI129" s="15" t="s">
        <v>120</v>
      </c>
      <c r="AJ129" s="18"/>
      <c r="AK129" s="15" t="s">
        <v>1311</v>
      </c>
      <c r="AL129" s="15" t="s">
        <v>185</v>
      </c>
      <c r="AM129" s="15" t="s">
        <v>129</v>
      </c>
      <c r="AN129" s="15" t="s">
        <v>216</v>
      </c>
      <c r="AO129" s="15" t="s">
        <v>124</v>
      </c>
      <c r="AP129" s="15"/>
    </row>
    <row r="130" ht="22.5" customHeight="1">
      <c r="A130" s="15" t="s">
        <v>2520</v>
      </c>
      <c r="B130" s="15" t="s">
        <v>2253</v>
      </c>
      <c r="C130" s="15" t="s">
        <v>2521</v>
      </c>
      <c r="D130" s="41">
        <v>41080.0</v>
      </c>
      <c r="E130" s="15" t="s">
        <v>98</v>
      </c>
      <c r="F130" s="15">
        <v>5.626550003E9</v>
      </c>
      <c r="G130" s="15" t="s">
        <v>2523</v>
      </c>
      <c r="H130" s="15" t="s">
        <v>140</v>
      </c>
      <c r="I130" s="18"/>
      <c r="J130" s="15" t="s">
        <v>2258</v>
      </c>
      <c r="K130" s="15" t="s">
        <v>2259</v>
      </c>
      <c r="L130" s="15">
        <v>5.516457551E9</v>
      </c>
      <c r="M130" s="15" t="s">
        <v>2261</v>
      </c>
      <c r="N130" s="15" t="s">
        <v>2262</v>
      </c>
      <c r="O130" s="15">
        <v>5.52686809E9</v>
      </c>
      <c r="P130" s="20">
        <v>13.0</v>
      </c>
      <c r="Q130" s="22">
        <v>46019.790625</v>
      </c>
      <c r="R130" s="15" t="s">
        <v>107</v>
      </c>
      <c r="S130" s="15" t="s">
        <v>109</v>
      </c>
      <c r="T130" s="15" t="s">
        <v>171</v>
      </c>
      <c r="U130" s="15" t="s">
        <v>388</v>
      </c>
      <c r="V130" s="15" t="s">
        <v>389</v>
      </c>
      <c r="W130" s="15" t="s">
        <v>392</v>
      </c>
      <c r="X130" s="15" t="s">
        <v>120</v>
      </c>
      <c r="Y130" s="18"/>
      <c r="Z130" s="15" t="s">
        <v>120</v>
      </c>
      <c r="AA130" s="18"/>
      <c r="AB130" s="15" t="s">
        <v>120</v>
      </c>
      <c r="AC130" s="18"/>
      <c r="AD130" s="18"/>
      <c r="AE130" s="15" t="s">
        <v>120</v>
      </c>
      <c r="AF130" s="18"/>
      <c r="AG130" s="15" t="s">
        <v>120</v>
      </c>
      <c r="AH130" s="18"/>
      <c r="AI130" s="15" t="s">
        <v>120</v>
      </c>
      <c r="AJ130" s="18"/>
      <c r="AK130" s="18"/>
      <c r="AL130" s="15" t="s">
        <v>156</v>
      </c>
      <c r="AM130" s="15" t="s">
        <v>216</v>
      </c>
      <c r="AN130" s="15" t="s">
        <v>128</v>
      </c>
      <c r="AO130" s="15" t="s">
        <v>138</v>
      </c>
      <c r="AP130" s="15"/>
    </row>
    <row r="131" ht="22.5" customHeight="1">
      <c r="A131" s="15" t="s">
        <v>2539</v>
      </c>
      <c r="B131" s="15" t="s">
        <v>2542</v>
      </c>
      <c r="C131" s="15" t="s">
        <v>2543</v>
      </c>
      <c r="D131" s="41">
        <v>39893.0</v>
      </c>
      <c r="E131" s="15" t="s">
        <v>177</v>
      </c>
      <c r="F131" s="15">
        <v>5.510935196E9</v>
      </c>
      <c r="G131" s="15" t="s">
        <v>2545</v>
      </c>
      <c r="H131" s="15" t="s">
        <v>101</v>
      </c>
      <c r="I131" s="23" t="s">
        <v>135</v>
      </c>
      <c r="J131" s="15" t="s">
        <v>2551</v>
      </c>
      <c r="K131" s="15" t="s">
        <v>2553</v>
      </c>
      <c r="L131" s="15">
        <v>5.538108561E9</v>
      </c>
      <c r="M131" s="18"/>
      <c r="N131" s="18"/>
      <c r="O131" s="18"/>
      <c r="P131" s="20">
        <v>16.0</v>
      </c>
      <c r="Q131" s="22">
        <v>46033.78953703704</v>
      </c>
      <c r="R131" s="15" t="s">
        <v>107</v>
      </c>
      <c r="S131" s="15" t="s">
        <v>109</v>
      </c>
      <c r="T131" s="15" t="s">
        <v>160</v>
      </c>
      <c r="U131" s="15" t="s">
        <v>279</v>
      </c>
      <c r="V131" s="15" t="s">
        <v>280</v>
      </c>
      <c r="W131" s="15" t="s">
        <v>282</v>
      </c>
      <c r="X131" s="15" t="s">
        <v>120</v>
      </c>
      <c r="Y131" s="18"/>
      <c r="Z131" s="15" t="s">
        <v>120</v>
      </c>
      <c r="AA131" s="18"/>
      <c r="AB131" s="15" t="s">
        <v>120</v>
      </c>
      <c r="AC131" s="15" t="s">
        <v>120</v>
      </c>
      <c r="AD131" s="18"/>
      <c r="AE131" s="15" t="s">
        <v>120</v>
      </c>
      <c r="AF131" s="18"/>
      <c r="AG131" s="15" t="s">
        <v>120</v>
      </c>
      <c r="AH131" s="18"/>
      <c r="AI131" s="15" t="s">
        <v>120</v>
      </c>
      <c r="AJ131" s="18"/>
      <c r="AK131" s="18"/>
      <c r="AL131" s="15" t="s">
        <v>141</v>
      </c>
      <c r="AM131" s="15" t="s">
        <v>126</v>
      </c>
      <c r="AN131" s="15" t="s">
        <v>124</v>
      </c>
      <c r="AO131" s="15" t="s">
        <v>216</v>
      </c>
      <c r="AP131" s="15"/>
    </row>
    <row r="132" ht="22.5" customHeight="1">
      <c r="A132" s="15" t="s">
        <v>2573</v>
      </c>
      <c r="B132" s="15" t="s">
        <v>2575</v>
      </c>
      <c r="C132" s="15" t="s">
        <v>2576</v>
      </c>
      <c r="D132" s="41">
        <v>39581.0</v>
      </c>
      <c r="E132" s="15" t="s">
        <v>98</v>
      </c>
      <c r="F132" s="15">
        <v>5.538078668E9</v>
      </c>
      <c r="G132" s="15" t="s">
        <v>2577</v>
      </c>
      <c r="H132" s="15" t="s">
        <v>101</v>
      </c>
      <c r="I132" s="18"/>
      <c r="J132" s="15" t="s">
        <v>2578</v>
      </c>
      <c r="K132" s="15" t="s">
        <v>2580</v>
      </c>
      <c r="L132" s="15">
        <v>5.540421512E9</v>
      </c>
      <c r="M132" s="15" t="s">
        <v>2585</v>
      </c>
      <c r="N132" s="15" t="s">
        <v>2586</v>
      </c>
      <c r="O132" s="15">
        <v>5.51263198E9</v>
      </c>
      <c r="P132" s="20">
        <v>17.0</v>
      </c>
      <c r="Q132" s="22">
        <v>46031.53086805555</v>
      </c>
      <c r="R132" s="15" t="s">
        <v>107</v>
      </c>
      <c r="S132" s="15" t="s">
        <v>109</v>
      </c>
      <c r="T132" s="15" t="s">
        <v>127</v>
      </c>
      <c r="U132" s="15" t="s">
        <v>234</v>
      </c>
      <c r="V132" s="15" t="s">
        <v>227</v>
      </c>
      <c r="W132" s="15" t="s">
        <v>236</v>
      </c>
      <c r="X132" s="15" t="s">
        <v>120</v>
      </c>
      <c r="Y132" s="18"/>
      <c r="Z132" s="15" t="s">
        <v>120</v>
      </c>
      <c r="AA132" s="18"/>
      <c r="AB132" s="15" t="s">
        <v>120</v>
      </c>
      <c r="AC132" s="18"/>
      <c r="AD132" s="18"/>
      <c r="AE132" s="15" t="s">
        <v>120</v>
      </c>
      <c r="AF132" s="18"/>
      <c r="AG132" s="15" t="s">
        <v>120</v>
      </c>
      <c r="AH132" s="18"/>
      <c r="AI132" s="15" t="s">
        <v>120</v>
      </c>
      <c r="AJ132" s="18"/>
      <c r="AK132" s="18"/>
      <c r="AL132" s="15" t="s">
        <v>126</v>
      </c>
      <c r="AM132" s="15" t="s">
        <v>185</v>
      </c>
      <c r="AN132" s="15" t="s">
        <v>141</v>
      </c>
      <c r="AO132" s="15" t="s">
        <v>124</v>
      </c>
      <c r="AP132" s="15"/>
    </row>
    <row r="133" ht="22.5" customHeight="1">
      <c r="A133" s="15" t="s">
        <v>2593</v>
      </c>
      <c r="B133" s="15" t="s">
        <v>2594</v>
      </c>
      <c r="C133" s="15" t="s">
        <v>2595</v>
      </c>
      <c r="D133" s="41">
        <v>40538.0</v>
      </c>
      <c r="E133" s="15" t="s">
        <v>177</v>
      </c>
      <c r="F133" s="15" t="s">
        <v>2596</v>
      </c>
      <c r="G133" s="15" t="s">
        <v>2597</v>
      </c>
      <c r="H133" s="15" t="s">
        <v>101</v>
      </c>
      <c r="I133" s="23" t="s">
        <v>2397</v>
      </c>
      <c r="J133" s="15" t="s">
        <v>2598</v>
      </c>
      <c r="K133" s="15" t="s">
        <v>2599</v>
      </c>
      <c r="L133" s="15">
        <v>5.52339068E9</v>
      </c>
      <c r="M133" s="18"/>
      <c r="N133" s="18"/>
      <c r="O133" s="18"/>
      <c r="P133" s="20">
        <v>15.0</v>
      </c>
      <c r="Q133" s="22">
        <v>46036.95107638889</v>
      </c>
      <c r="R133" s="15" t="s">
        <v>107</v>
      </c>
      <c r="S133" s="15" t="s">
        <v>109</v>
      </c>
      <c r="T133" s="15" t="s">
        <v>127</v>
      </c>
      <c r="U133" s="15" t="s">
        <v>234</v>
      </c>
      <c r="V133" s="15" t="s">
        <v>227</v>
      </c>
      <c r="W133" s="15" t="s">
        <v>236</v>
      </c>
      <c r="X133" s="15" t="s">
        <v>120</v>
      </c>
      <c r="Y133" s="18"/>
      <c r="Z133" s="15" t="s">
        <v>120</v>
      </c>
      <c r="AA133" s="18"/>
      <c r="AB133" s="15" t="s">
        <v>120</v>
      </c>
      <c r="AC133" s="18"/>
      <c r="AD133" s="18"/>
      <c r="AE133" s="15" t="s">
        <v>120</v>
      </c>
      <c r="AF133" s="18"/>
      <c r="AG133" s="15" t="s">
        <v>120</v>
      </c>
      <c r="AH133" s="18"/>
      <c r="AI133" s="15" t="s">
        <v>120</v>
      </c>
      <c r="AJ133" s="18"/>
      <c r="AK133" s="18"/>
      <c r="AL133" s="15" t="s">
        <v>216</v>
      </c>
      <c r="AM133" s="15" t="s">
        <v>141</v>
      </c>
      <c r="AN133" s="15" t="s">
        <v>185</v>
      </c>
      <c r="AO133" s="15" t="s">
        <v>124</v>
      </c>
      <c r="AP133" s="15"/>
    </row>
    <row r="134" ht="22.5" customHeight="1">
      <c r="A134" s="15" t="s">
        <v>2605</v>
      </c>
      <c r="B134" s="15" t="s">
        <v>2606</v>
      </c>
      <c r="C134" s="18"/>
      <c r="D134" s="41">
        <v>40923.0</v>
      </c>
      <c r="E134" s="15" t="s">
        <v>177</v>
      </c>
      <c r="F134" s="15">
        <v>5.542410554E9</v>
      </c>
      <c r="G134" s="15" t="s">
        <v>1600</v>
      </c>
      <c r="H134" s="15" t="s">
        <v>382</v>
      </c>
      <c r="I134" s="18"/>
      <c r="J134" s="15" t="s">
        <v>2607</v>
      </c>
      <c r="K134" s="15" t="s">
        <v>1600</v>
      </c>
      <c r="L134" s="15">
        <v>5.633625614E9</v>
      </c>
      <c r="M134" s="18"/>
      <c r="N134" s="18"/>
      <c r="O134" s="18"/>
      <c r="P134" s="20">
        <v>14.0</v>
      </c>
      <c r="Q134" s="22">
        <v>46039.66328703704</v>
      </c>
      <c r="R134" s="15" t="s">
        <v>107</v>
      </c>
      <c r="S134" s="15" t="s">
        <v>109</v>
      </c>
      <c r="T134" s="15" t="s">
        <v>208</v>
      </c>
      <c r="U134" s="15" t="s">
        <v>1599</v>
      </c>
      <c r="V134" s="15" t="s">
        <v>1600</v>
      </c>
      <c r="W134" s="15" t="s">
        <v>1602</v>
      </c>
      <c r="X134" s="15" t="s">
        <v>120</v>
      </c>
      <c r="Y134" s="18"/>
      <c r="Z134" s="15" t="s">
        <v>120</v>
      </c>
      <c r="AA134" s="18"/>
      <c r="AB134" s="15" t="s">
        <v>120</v>
      </c>
      <c r="AC134" s="15" t="s">
        <v>120</v>
      </c>
      <c r="AD134" s="18"/>
      <c r="AE134" s="15" t="s">
        <v>120</v>
      </c>
      <c r="AF134" s="18"/>
      <c r="AG134" s="15" t="s">
        <v>120</v>
      </c>
      <c r="AH134" s="18"/>
      <c r="AI134" s="15" t="s">
        <v>120</v>
      </c>
      <c r="AJ134" s="18"/>
      <c r="AK134" s="18"/>
      <c r="AL134" s="15" t="s">
        <v>156</v>
      </c>
      <c r="AM134" s="15" t="s">
        <v>185</v>
      </c>
      <c r="AN134" s="15" t="s">
        <v>124</v>
      </c>
      <c r="AO134" s="15" t="s">
        <v>240</v>
      </c>
      <c r="AP134" s="15"/>
    </row>
    <row r="135" ht="22.5" customHeight="1">
      <c r="A135" s="15" t="s">
        <v>2620</v>
      </c>
      <c r="B135" s="15" t="s">
        <v>2621</v>
      </c>
      <c r="C135" s="15" t="s">
        <v>2623</v>
      </c>
      <c r="D135" s="41">
        <v>39492.0</v>
      </c>
      <c r="E135" s="15" t="s">
        <v>177</v>
      </c>
      <c r="F135" s="15">
        <v>5.514843371E9</v>
      </c>
      <c r="G135" s="15" t="s">
        <v>2626</v>
      </c>
      <c r="H135" s="15" t="s">
        <v>150</v>
      </c>
      <c r="I135" s="18"/>
      <c r="J135" s="15" t="s">
        <v>2631</v>
      </c>
      <c r="K135" s="15" t="s">
        <v>2632</v>
      </c>
      <c r="L135" s="15">
        <v>5.53569494E9</v>
      </c>
      <c r="M135" s="18"/>
      <c r="N135" s="18"/>
      <c r="O135" s="18"/>
      <c r="P135" s="20">
        <v>18.0</v>
      </c>
      <c r="Q135" s="22">
        <v>46022.65048611111</v>
      </c>
      <c r="R135" s="15" t="s">
        <v>107</v>
      </c>
      <c r="S135" s="15" t="s">
        <v>109</v>
      </c>
      <c r="T135" s="15" t="s">
        <v>111</v>
      </c>
      <c r="U135" s="15" t="s">
        <v>112</v>
      </c>
      <c r="V135" s="15" t="s">
        <v>114</v>
      </c>
      <c r="W135" s="15" t="s">
        <v>115</v>
      </c>
      <c r="X135" s="15" t="s">
        <v>120</v>
      </c>
      <c r="Y135" s="18"/>
      <c r="Z135" s="15" t="s">
        <v>120</v>
      </c>
      <c r="AA135" s="18"/>
      <c r="AB135" s="15" t="s">
        <v>120</v>
      </c>
      <c r="AC135" s="18"/>
      <c r="AD135" s="18"/>
      <c r="AE135" s="15" t="s">
        <v>120</v>
      </c>
      <c r="AF135" s="18"/>
      <c r="AG135" s="15" t="s">
        <v>120</v>
      </c>
      <c r="AH135" s="18"/>
      <c r="AI135" s="15" t="s">
        <v>120</v>
      </c>
      <c r="AJ135" s="18"/>
      <c r="AK135" s="18"/>
      <c r="AL135" s="15" t="s">
        <v>138</v>
      </c>
      <c r="AM135" s="15" t="s">
        <v>128</v>
      </c>
      <c r="AN135" s="15" t="s">
        <v>156</v>
      </c>
      <c r="AO135" s="15" t="s">
        <v>216</v>
      </c>
      <c r="AP135" s="15"/>
    </row>
    <row r="136" ht="22.5" customHeight="1">
      <c r="A136" s="15" t="s">
        <v>2367</v>
      </c>
      <c r="B136" s="15" t="s">
        <v>2638</v>
      </c>
      <c r="C136" s="15" t="s">
        <v>2640</v>
      </c>
      <c r="D136" s="41">
        <v>39947.0</v>
      </c>
      <c r="E136" s="15" t="s">
        <v>177</v>
      </c>
      <c r="F136" s="15">
        <v>5.532162021E9</v>
      </c>
      <c r="G136" s="15" t="s">
        <v>2645</v>
      </c>
      <c r="H136" s="15" t="s">
        <v>101</v>
      </c>
      <c r="I136" s="18"/>
      <c r="J136" s="15" t="s">
        <v>2647</v>
      </c>
      <c r="K136" s="15" t="s">
        <v>2645</v>
      </c>
      <c r="L136" s="15">
        <v>5.532866221E9</v>
      </c>
      <c r="M136" s="15" t="s">
        <v>2649</v>
      </c>
      <c r="N136" s="15" t="s">
        <v>2651</v>
      </c>
      <c r="O136" s="15">
        <v>5.515218788E9</v>
      </c>
      <c r="P136" s="20">
        <v>16.0</v>
      </c>
      <c r="Q136" s="22">
        <v>46039.722766203704</v>
      </c>
      <c r="R136" s="15" t="s">
        <v>107</v>
      </c>
      <c r="S136" s="15" t="s">
        <v>109</v>
      </c>
      <c r="T136" s="15" t="s">
        <v>111</v>
      </c>
      <c r="U136" s="15" t="s">
        <v>2283</v>
      </c>
      <c r="V136" s="15" t="s">
        <v>2285</v>
      </c>
      <c r="W136" s="15" t="s">
        <v>2286</v>
      </c>
      <c r="X136" s="15" t="s">
        <v>120</v>
      </c>
      <c r="Y136" s="18"/>
      <c r="Z136" s="15" t="s">
        <v>120</v>
      </c>
      <c r="AA136" s="18"/>
      <c r="AB136" s="15" t="s">
        <v>120</v>
      </c>
      <c r="AC136" s="18"/>
      <c r="AD136" s="18"/>
      <c r="AE136" s="15" t="s">
        <v>120</v>
      </c>
      <c r="AF136" s="18"/>
      <c r="AG136" s="15" t="s">
        <v>120</v>
      </c>
      <c r="AH136" s="18"/>
      <c r="AI136" s="15" t="s">
        <v>120</v>
      </c>
      <c r="AJ136" s="18"/>
      <c r="AK136" s="18"/>
      <c r="AL136" s="15" t="s">
        <v>129</v>
      </c>
      <c r="AM136" s="15" t="s">
        <v>138</v>
      </c>
      <c r="AN136" s="15" t="s">
        <v>124</v>
      </c>
      <c r="AO136" s="15" t="s">
        <v>240</v>
      </c>
      <c r="AP136" s="15"/>
    </row>
    <row r="137" ht="22.5" customHeight="1">
      <c r="A137" s="15" t="s">
        <v>2271</v>
      </c>
      <c r="B137" s="15" t="s">
        <v>2657</v>
      </c>
      <c r="C137" s="18"/>
      <c r="D137" s="41">
        <v>41260.0</v>
      </c>
      <c r="E137" s="15" t="s">
        <v>177</v>
      </c>
      <c r="F137" s="15">
        <v>5.510074937E9</v>
      </c>
      <c r="G137" s="15" t="s">
        <v>2662</v>
      </c>
      <c r="H137" s="15" t="s">
        <v>101</v>
      </c>
      <c r="I137" s="18"/>
      <c r="J137" s="15" t="s">
        <v>2664</v>
      </c>
      <c r="K137" s="15" t="s">
        <v>2666</v>
      </c>
      <c r="L137" s="15">
        <v>5.540934708E9</v>
      </c>
      <c r="M137" s="18"/>
      <c r="N137" s="18"/>
      <c r="O137" s="18"/>
      <c r="P137" s="20">
        <v>13.0</v>
      </c>
      <c r="Q137" s="22">
        <v>46034.88416666666</v>
      </c>
      <c r="R137" s="15" t="s">
        <v>107</v>
      </c>
      <c r="S137" s="15" t="s">
        <v>109</v>
      </c>
      <c r="T137" s="15" t="s">
        <v>171</v>
      </c>
      <c r="U137" s="15" t="s">
        <v>262</v>
      </c>
      <c r="V137" s="15" t="s">
        <v>263</v>
      </c>
      <c r="W137" s="15" t="s">
        <v>264</v>
      </c>
      <c r="X137" s="15" t="s">
        <v>120</v>
      </c>
      <c r="Y137" s="18"/>
      <c r="Z137" s="15" t="s">
        <v>120</v>
      </c>
      <c r="AA137" s="18"/>
      <c r="AB137" s="15" t="s">
        <v>120</v>
      </c>
      <c r="AC137" s="15" t="s">
        <v>120</v>
      </c>
      <c r="AD137" s="18"/>
      <c r="AE137" s="15" t="s">
        <v>120</v>
      </c>
      <c r="AF137" s="18"/>
      <c r="AG137" s="15" t="s">
        <v>120</v>
      </c>
      <c r="AH137" s="18"/>
      <c r="AI137" s="15" t="s">
        <v>117</v>
      </c>
      <c r="AJ137" s="18"/>
      <c r="AK137" s="18"/>
      <c r="AL137" s="15" t="s">
        <v>141</v>
      </c>
      <c r="AM137" s="15" t="s">
        <v>242</v>
      </c>
      <c r="AN137" s="15" t="s">
        <v>126</v>
      </c>
      <c r="AO137" s="15" t="s">
        <v>185</v>
      </c>
      <c r="AP137" s="15"/>
    </row>
    <row r="138" ht="22.5" customHeight="1">
      <c r="A138" s="15" t="s">
        <v>1526</v>
      </c>
      <c r="B138" s="15" t="s">
        <v>1527</v>
      </c>
      <c r="C138" s="15" t="s">
        <v>1528</v>
      </c>
      <c r="D138" s="41">
        <v>40304.0</v>
      </c>
      <c r="E138" s="15" t="s">
        <v>177</v>
      </c>
      <c r="F138" s="15">
        <v>5.537488846E9</v>
      </c>
      <c r="G138" s="15" t="s">
        <v>1529</v>
      </c>
      <c r="H138" s="15" t="s">
        <v>101</v>
      </c>
      <c r="I138" s="23" t="s">
        <v>1530</v>
      </c>
      <c r="J138" s="15" t="s">
        <v>1531</v>
      </c>
      <c r="K138" s="15" t="s">
        <v>1532</v>
      </c>
      <c r="L138" s="15">
        <v>5.591084594E9</v>
      </c>
      <c r="M138" s="18"/>
      <c r="N138" s="18"/>
      <c r="O138" s="18"/>
      <c r="P138" s="20">
        <v>15.0</v>
      </c>
      <c r="Q138" s="22">
        <v>46025.90515046296</v>
      </c>
      <c r="R138" s="15" t="s">
        <v>107</v>
      </c>
      <c r="S138" s="15" t="s">
        <v>109</v>
      </c>
      <c r="T138" s="15" t="s">
        <v>204</v>
      </c>
      <c r="U138" s="15" t="s">
        <v>311</v>
      </c>
      <c r="V138" s="15" t="s">
        <v>312</v>
      </c>
      <c r="W138" s="15" t="s">
        <v>313</v>
      </c>
      <c r="X138" s="15" t="s">
        <v>120</v>
      </c>
      <c r="Y138" s="18"/>
      <c r="Z138" s="15" t="s">
        <v>117</v>
      </c>
      <c r="AA138" s="52" t="s">
        <v>1541</v>
      </c>
      <c r="AB138" s="15" t="s">
        <v>117</v>
      </c>
      <c r="AC138" s="15" t="s">
        <v>117</v>
      </c>
      <c r="AD138" s="15" t="s">
        <v>365</v>
      </c>
      <c r="AE138" s="15" t="s">
        <v>117</v>
      </c>
      <c r="AF138" s="15" t="s">
        <v>366</v>
      </c>
      <c r="AG138" s="15" t="s">
        <v>120</v>
      </c>
      <c r="AH138" s="18"/>
      <c r="AI138" s="15" t="s">
        <v>120</v>
      </c>
      <c r="AJ138" s="18"/>
      <c r="AK138" s="18"/>
      <c r="AL138" s="15" t="s">
        <v>129</v>
      </c>
      <c r="AM138" s="15" t="s">
        <v>138</v>
      </c>
      <c r="AN138" s="15" t="s">
        <v>126</v>
      </c>
      <c r="AO138" s="15" t="s">
        <v>242</v>
      </c>
      <c r="AP138" s="15"/>
    </row>
    <row r="139" ht="22.5" customHeight="1">
      <c r="A139" s="15" t="s">
        <v>2692</v>
      </c>
      <c r="B139" s="15" t="s">
        <v>2693</v>
      </c>
      <c r="C139" s="15" t="s">
        <v>2694</v>
      </c>
      <c r="D139" s="41">
        <v>39678.0</v>
      </c>
      <c r="E139" s="15" t="s">
        <v>177</v>
      </c>
      <c r="F139" s="15">
        <v>5.626789983E9</v>
      </c>
      <c r="G139" s="15" t="s">
        <v>2695</v>
      </c>
      <c r="H139" s="15" t="s">
        <v>101</v>
      </c>
      <c r="I139" s="18"/>
      <c r="J139" s="15" t="s">
        <v>2697</v>
      </c>
      <c r="K139" s="15" t="s">
        <v>2698</v>
      </c>
      <c r="L139" s="15">
        <v>5.633435445E9</v>
      </c>
      <c r="M139" s="18"/>
      <c r="N139" s="18"/>
      <c r="O139" s="18"/>
      <c r="P139" s="20">
        <v>17.0</v>
      </c>
      <c r="Q139" s="22">
        <v>46026.57733796296</v>
      </c>
      <c r="R139" s="15" t="s">
        <v>107</v>
      </c>
      <c r="S139" s="15" t="s">
        <v>109</v>
      </c>
      <c r="T139" s="15" t="s">
        <v>204</v>
      </c>
      <c r="U139" s="15" t="s">
        <v>295</v>
      </c>
      <c r="V139" s="15" t="s">
        <v>298</v>
      </c>
      <c r="W139" s="15" t="s">
        <v>299</v>
      </c>
      <c r="X139" s="15" t="s">
        <v>120</v>
      </c>
      <c r="Y139" s="18"/>
      <c r="Z139" s="15" t="s">
        <v>120</v>
      </c>
      <c r="AA139" s="18"/>
      <c r="AB139" s="15" t="s">
        <v>120</v>
      </c>
      <c r="AC139" s="15" t="s">
        <v>120</v>
      </c>
      <c r="AD139" s="18"/>
      <c r="AE139" s="15" t="s">
        <v>120</v>
      </c>
      <c r="AF139" s="18"/>
      <c r="AG139" s="15" t="s">
        <v>120</v>
      </c>
      <c r="AH139" s="18"/>
      <c r="AI139" s="15" t="s">
        <v>120</v>
      </c>
      <c r="AJ139" s="18"/>
      <c r="AK139" s="18"/>
      <c r="AL139" s="15" t="s">
        <v>141</v>
      </c>
      <c r="AM139" s="15" t="s">
        <v>138</v>
      </c>
      <c r="AN139" s="15" t="s">
        <v>242</v>
      </c>
      <c r="AO139" s="15" t="s">
        <v>156</v>
      </c>
      <c r="AP139" s="15"/>
    </row>
    <row r="140" ht="22.5" customHeight="1">
      <c r="A140" s="15" t="s">
        <v>1328</v>
      </c>
      <c r="B140" s="15" t="s">
        <v>1330</v>
      </c>
      <c r="C140" s="15" t="s">
        <v>1331</v>
      </c>
      <c r="D140" s="41">
        <v>40046.0</v>
      </c>
      <c r="E140" s="15" t="s">
        <v>98</v>
      </c>
      <c r="F140" s="15">
        <v>5.577109241E9</v>
      </c>
      <c r="G140" s="15" t="s">
        <v>1333</v>
      </c>
      <c r="H140" s="15" t="s">
        <v>140</v>
      </c>
      <c r="I140" s="23" t="s">
        <v>135</v>
      </c>
      <c r="J140" s="15" t="s">
        <v>1336</v>
      </c>
      <c r="K140" s="15" t="s">
        <v>1338</v>
      </c>
      <c r="L140" s="15">
        <v>5.585591381E9</v>
      </c>
      <c r="M140" s="18"/>
      <c r="N140" s="18"/>
      <c r="O140" s="18"/>
      <c r="P140" s="20">
        <v>16.0</v>
      </c>
      <c r="Q140" s="22">
        <v>46033.80489583333</v>
      </c>
      <c r="R140" s="15" t="s">
        <v>107</v>
      </c>
      <c r="S140" s="15" t="s">
        <v>109</v>
      </c>
      <c r="T140" s="15" t="s">
        <v>160</v>
      </c>
      <c r="U140" s="15" t="s">
        <v>279</v>
      </c>
      <c r="V140" s="15" t="s">
        <v>280</v>
      </c>
      <c r="W140" s="15" t="s">
        <v>282</v>
      </c>
      <c r="X140" s="15" t="s">
        <v>120</v>
      </c>
      <c r="Y140" s="18"/>
      <c r="Z140" s="15" t="s">
        <v>120</v>
      </c>
      <c r="AA140" s="18"/>
      <c r="AB140" s="15" t="s">
        <v>120</v>
      </c>
      <c r="AC140" s="15" t="s">
        <v>120</v>
      </c>
      <c r="AD140" s="18"/>
      <c r="AE140" s="15" t="s">
        <v>120</v>
      </c>
      <c r="AF140" s="18"/>
      <c r="AG140" s="15" t="s">
        <v>120</v>
      </c>
      <c r="AH140" s="18"/>
      <c r="AI140" s="15" t="s">
        <v>117</v>
      </c>
      <c r="AJ140" s="15" t="s">
        <v>1360</v>
      </c>
      <c r="AK140" s="15" t="s">
        <v>1362</v>
      </c>
      <c r="AL140" s="15" t="s">
        <v>216</v>
      </c>
      <c r="AM140" s="15" t="s">
        <v>240</v>
      </c>
      <c r="AN140" s="15" t="s">
        <v>126</v>
      </c>
      <c r="AO140" s="15" t="s">
        <v>156</v>
      </c>
      <c r="AP140" s="15"/>
    </row>
    <row r="141" ht="22.5" customHeight="1">
      <c r="A141" s="15" t="s">
        <v>2722</v>
      </c>
      <c r="B141" s="15" t="s">
        <v>2723</v>
      </c>
      <c r="C141" s="15" t="s">
        <v>2725</v>
      </c>
      <c r="D141" s="41">
        <v>40923.0</v>
      </c>
      <c r="E141" s="15" t="s">
        <v>177</v>
      </c>
      <c r="F141" s="15">
        <v>5.542410554E9</v>
      </c>
      <c r="G141" s="15" t="s">
        <v>2730</v>
      </c>
      <c r="H141" s="15" t="s">
        <v>382</v>
      </c>
      <c r="I141" s="18"/>
      <c r="J141" s="15" t="s">
        <v>2607</v>
      </c>
      <c r="K141" s="15" t="s">
        <v>2732</v>
      </c>
      <c r="L141" s="15">
        <v>5.633625614E9</v>
      </c>
      <c r="M141" s="18"/>
      <c r="N141" s="18"/>
      <c r="O141" s="18"/>
      <c r="P141" s="20">
        <v>14.0</v>
      </c>
      <c r="Q141" s="22">
        <v>46039.94428240741</v>
      </c>
      <c r="R141" s="15" t="s">
        <v>107</v>
      </c>
      <c r="S141" s="15" t="s">
        <v>109</v>
      </c>
      <c r="T141" s="15" t="s">
        <v>208</v>
      </c>
      <c r="U141" s="15" t="s">
        <v>1599</v>
      </c>
      <c r="V141" s="15" t="s">
        <v>1600</v>
      </c>
      <c r="W141" s="15" t="s">
        <v>1602</v>
      </c>
      <c r="X141" s="15" t="s">
        <v>120</v>
      </c>
      <c r="Y141" s="18"/>
      <c r="Z141" s="15" t="s">
        <v>120</v>
      </c>
      <c r="AA141" s="18"/>
      <c r="AB141" s="15" t="s">
        <v>120</v>
      </c>
      <c r="AC141" s="15" t="s">
        <v>120</v>
      </c>
      <c r="AD141" s="18"/>
      <c r="AE141" s="15" t="s">
        <v>120</v>
      </c>
      <c r="AF141" s="18"/>
      <c r="AG141" s="15" t="s">
        <v>120</v>
      </c>
      <c r="AH141" s="18"/>
      <c r="AI141" s="15" t="s">
        <v>120</v>
      </c>
      <c r="AJ141" s="18"/>
      <c r="AK141" s="18"/>
      <c r="AL141" s="15" t="s">
        <v>129</v>
      </c>
      <c r="AM141" s="15" t="s">
        <v>185</v>
      </c>
      <c r="AN141" s="15" t="s">
        <v>156</v>
      </c>
      <c r="AO141" s="15" t="s">
        <v>242</v>
      </c>
      <c r="AP141" s="15"/>
    </row>
    <row r="142" ht="22.5" customHeight="1">
      <c r="A142" s="15" t="s">
        <v>2739</v>
      </c>
      <c r="B142" s="15" t="s">
        <v>2740</v>
      </c>
      <c r="C142" s="15" t="s">
        <v>2741</v>
      </c>
      <c r="D142" s="41">
        <v>39488.0</v>
      </c>
      <c r="E142" s="15" t="s">
        <v>98</v>
      </c>
      <c r="F142" s="15">
        <v>5.528562045E9</v>
      </c>
      <c r="G142" s="15" t="s">
        <v>2747</v>
      </c>
      <c r="H142" s="15" t="s">
        <v>101</v>
      </c>
      <c r="I142" s="18"/>
      <c r="J142" s="15" t="s">
        <v>2750</v>
      </c>
      <c r="K142" s="15" t="s">
        <v>2751</v>
      </c>
      <c r="L142" s="15">
        <v>5.631139685E9</v>
      </c>
      <c r="M142" s="18"/>
      <c r="N142" s="18"/>
      <c r="O142" s="18"/>
      <c r="P142" s="20">
        <v>18.0</v>
      </c>
      <c r="Q142" s="22">
        <v>46033.47006944445</v>
      </c>
      <c r="R142" s="15" t="s">
        <v>107</v>
      </c>
      <c r="S142" s="15" t="s">
        <v>109</v>
      </c>
      <c r="T142" s="15" t="s">
        <v>160</v>
      </c>
      <c r="U142" s="15" t="s">
        <v>329</v>
      </c>
      <c r="V142" s="15" t="s">
        <v>331</v>
      </c>
      <c r="W142" s="15" t="s">
        <v>332</v>
      </c>
      <c r="X142" s="15" t="s">
        <v>120</v>
      </c>
      <c r="Y142" s="18"/>
      <c r="Z142" s="15" t="s">
        <v>120</v>
      </c>
      <c r="AA142" s="18"/>
      <c r="AB142" s="15" t="s">
        <v>120</v>
      </c>
      <c r="AC142" s="18"/>
      <c r="AD142" s="18"/>
      <c r="AE142" s="15" t="s">
        <v>120</v>
      </c>
      <c r="AF142" s="18"/>
      <c r="AG142" s="15" t="s">
        <v>120</v>
      </c>
      <c r="AH142" s="18"/>
      <c r="AI142" s="15" t="s">
        <v>120</v>
      </c>
      <c r="AJ142" s="18"/>
      <c r="AK142" s="18"/>
      <c r="AL142" s="15" t="s">
        <v>138</v>
      </c>
      <c r="AM142" s="15" t="s">
        <v>129</v>
      </c>
      <c r="AN142" s="15" t="s">
        <v>141</v>
      </c>
      <c r="AO142" s="15" t="s">
        <v>156</v>
      </c>
      <c r="AP142" s="15"/>
    </row>
    <row r="143" ht="22.5" customHeight="1">
      <c r="A143" s="15" t="s">
        <v>2763</v>
      </c>
      <c r="B143" s="15" t="s">
        <v>2764</v>
      </c>
      <c r="C143" s="15" t="s">
        <v>2766</v>
      </c>
      <c r="D143" s="41">
        <v>40642.0</v>
      </c>
      <c r="E143" s="15" t="s">
        <v>98</v>
      </c>
      <c r="F143" s="15">
        <v>5.56494955E9</v>
      </c>
      <c r="G143" s="15" t="s">
        <v>2768</v>
      </c>
      <c r="H143" s="15" t="s">
        <v>140</v>
      </c>
      <c r="I143" s="18"/>
      <c r="J143" s="15" t="s">
        <v>2769</v>
      </c>
      <c r="K143" s="15" t="s">
        <v>2770</v>
      </c>
      <c r="L143" s="15">
        <v>5.56494955E9</v>
      </c>
      <c r="M143" s="18"/>
      <c r="N143" s="18"/>
      <c r="O143" s="18"/>
      <c r="P143" s="20">
        <v>14.0</v>
      </c>
      <c r="Q143" s="22">
        <v>46033.53197916667</v>
      </c>
      <c r="R143" s="15" t="s">
        <v>107</v>
      </c>
      <c r="S143" s="15" t="s">
        <v>109</v>
      </c>
      <c r="T143" s="15" t="s">
        <v>171</v>
      </c>
      <c r="U143" s="15" t="s">
        <v>173</v>
      </c>
      <c r="V143" s="15" t="s">
        <v>167</v>
      </c>
      <c r="W143" s="15" t="s">
        <v>175</v>
      </c>
      <c r="X143" s="15" t="s">
        <v>120</v>
      </c>
      <c r="Y143" s="18"/>
      <c r="Z143" s="15" t="s">
        <v>120</v>
      </c>
      <c r="AA143" s="18"/>
      <c r="AB143" s="15" t="s">
        <v>120</v>
      </c>
      <c r="AC143" s="18"/>
      <c r="AD143" s="18"/>
      <c r="AE143" s="15" t="s">
        <v>120</v>
      </c>
      <c r="AF143" s="18"/>
      <c r="AG143" s="15" t="s">
        <v>120</v>
      </c>
      <c r="AH143" s="18"/>
      <c r="AI143" s="15" t="s">
        <v>120</v>
      </c>
      <c r="AJ143" s="18"/>
      <c r="AK143" s="18"/>
      <c r="AL143" s="15" t="s">
        <v>156</v>
      </c>
      <c r="AM143" s="15" t="s">
        <v>185</v>
      </c>
      <c r="AN143" s="15" t="s">
        <v>242</v>
      </c>
      <c r="AO143" s="15" t="s">
        <v>240</v>
      </c>
      <c r="AP143" s="15"/>
    </row>
    <row r="144" ht="22.5" customHeight="1">
      <c r="A144" s="15" t="s">
        <v>2775</v>
      </c>
      <c r="B144" s="15" t="s">
        <v>2776</v>
      </c>
      <c r="C144" s="15" t="s">
        <v>2778</v>
      </c>
      <c r="D144" s="41">
        <v>40810.0</v>
      </c>
      <c r="E144" s="15" t="s">
        <v>98</v>
      </c>
      <c r="F144" s="15">
        <v>5.647828766E9</v>
      </c>
      <c r="G144" s="15" t="s">
        <v>2779</v>
      </c>
      <c r="H144" s="15" t="s">
        <v>140</v>
      </c>
      <c r="I144" s="18"/>
      <c r="J144" s="15" t="s">
        <v>2780</v>
      </c>
      <c r="K144" s="15" t="s">
        <v>2781</v>
      </c>
      <c r="L144" s="15">
        <v>5.567356696E9</v>
      </c>
      <c r="M144" s="18"/>
      <c r="N144" s="18"/>
      <c r="O144" s="18"/>
      <c r="P144" s="20">
        <v>14.0</v>
      </c>
      <c r="Q144" s="22">
        <v>46033.48365740741</v>
      </c>
      <c r="R144" s="15" t="s">
        <v>107</v>
      </c>
      <c r="S144" s="15" t="s">
        <v>109</v>
      </c>
      <c r="T144" s="15" t="s">
        <v>160</v>
      </c>
      <c r="U144" s="15" t="s">
        <v>329</v>
      </c>
      <c r="V144" s="15" t="s">
        <v>331</v>
      </c>
      <c r="W144" s="15" t="s">
        <v>332</v>
      </c>
      <c r="X144" s="15" t="s">
        <v>120</v>
      </c>
      <c r="Y144" s="18"/>
      <c r="Z144" s="15" t="s">
        <v>120</v>
      </c>
      <c r="AA144" s="18"/>
      <c r="AB144" s="15" t="s">
        <v>120</v>
      </c>
      <c r="AC144" s="18"/>
      <c r="AD144" s="18"/>
      <c r="AE144" s="15" t="s">
        <v>120</v>
      </c>
      <c r="AF144" s="18"/>
      <c r="AG144" s="15" t="s">
        <v>120</v>
      </c>
      <c r="AH144" s="18"/>
      <c r="AI144" s="15" t="s">
        <v>120</v>
      </c>
      <c r="AJ144" s="18"/>
      <c r="AK144" s="18"/>
      <c r="AL144" s="15" t="s">
        <v>138</v>
      </c>
      <c r="AM144" s="15" t="s">
        <v>126</v>
      </c>
      <c r="AN144" s="15" t="s">
        <v>124</v>
      </c>
      <c r="AO144" s="15" t="s">
        <v>242</v>
      </c>
      <c r="AP144" s="15"/>
    </row>
    <row r="145" ht="22.5" customHeight="1">
      <c r="A145" s="15" t="s">
        <v>2789</v>
      </c>
      <c r="B145" s="15" t="s">
        <v>2790</v>
      </c>
      <c r="C145" s="15" t="s">
        <v>2791</v>
      </c>
      <c r="D145" s="41">
        <v>40816.0</v>
      </c>
      <c r="E145" s="15" t="s">
        <v>177</v>
      </c>
      <c r="F145" s="15">
        <v>5.62202466E9</v>
      </c>
      <c r="G145" s="15" t="s">
        <v>2792</v>
      </c>
      <c r="H145" s="15" t="s">
        <v>101</v>
      </c>
      <c r="I145" s="18"/>
      <c r="J145" s="15" t="s">
        <v>2793</v>
      </c>
      <c r="K145" s="15" t="s">
        <v>2794</v>
      </c>
      <c r="L145" s="15">
        <v>5.566114768E9</v>
      </c>
      <c r="M145" s="15" t="s">
        <v>2795</v>
      </c>
      <c r="N145" s="15" t="s">
        <v>2797</v>
      </c>
      <c r="O145" s="15">
        <v>5.585486764E9</v>
      </c>
      <c r="P145" s="20">
        <v>14.0</v>
      </c>
      <c r="Q145" s="22">
        <v>46040.48505787037</v>
      </c>
      <c r="R145" s="15" t="s">
        <v>107</v>
      </c>
      <c r="S145" s="15" t="s">
        <v>109</v>
      </c>
      <c r="T145" s="15" t="s">
        <v>192</v>
      </c>
      <c r="U145" s="15" t="s">
        <v>195</v>
      </c>
      <c r="V145" s="15" t="s">
        <v>198</v>
      </c>
      <c r="W145" s="15" t="s">
        <v>200</v>
      </c>
      <c r="X145" s="15" t="s">
        <v>120</v>
      </c>
      <c r="Y145" s="18"/>
      <c r="Z145" s="15" t="s">
        <v>120</v>
      </c>
      <c r="AA145" s="18"/>
      <c r="AB145" s="15" t="s">
        <v>120</v>
      </c>
      <c r="AC145" s="18"/>
      <c r="AD145" s="18"/>
      <c r="AE145" s="15" t="s">
        <v>120</v>
      </c>
      <c r="AF145" s="18"/>
      <c r="AG145" s="15" t="s">
        <v>120</v>
      </c>
      <c r="AH145" s="18"/>
      <c r="AI145" s="15" t="s">
        <v>120</v>
      </c>
      <c r="AJ145" s="18"/>
      <c r="AK145" s="18"/>
      <c r="AL145" s="15" t="s">
        <v>126</v>
      </c>
      <c r="AM145" s="15" t="s">
        <v>128</v>
      </c>
      <c r="AN145" s="15" t="s">
        <v>185</v>
      </c>
      <c r="AO145" s="15" t="s">
        <v>138</v>
      </c>
      <c r="AP145" s="15"/>
    </row>
    <row r="146" ht="22.5" customHeight="1">
      <c r="A146" s="15" t="s">
        <v>2803</v>
      </c>
      <c r="B146" s="15" t="s">
        <v>2804</v>
      </c>
      <c r="C146" s="15" t="s">
        <v>2805</v>
      </c>
      <c r="D146" s="41">
        <v>41264.0</v>
      </c>
      <c r="E146" s="15" t="s">
        <v>177</v>
      </c>
      <c r="F146" s="15">
        <v>5.574535977E9</v>
      </c>
      <c r="G146" s="15" t="s">
        <v>2580</v>
      </c>
      <c r="H146" s="15" t="s">
        <v>150</v>
      </c>
      <c r="I146" s="18"/>
      <c r="J146" s="15" t="s">
        <v>2578</v>
      </c>
      <c r="K146" s="15" t="s">
        <v>2580</v>
      </c>
      <c r="L146" s="15">
        <v>5.540421512E9</v>
      </c>
      <c r="M146" s="15" t="s">
        <v>2585</v>
      </c>
      <c r="N146" s="15" t="s">
        <v>2586</v>
      </c>
      <c r="O146" s="15">
        <v>5.51263198E9</v>
      </c>
      <c r="P146" s="20">
        <v>13.0</v>
      </c>
      <c r="Q146" s="22">
        <v>46031.537407407406</v>
      </c>
      <c r="R146" s="15" t="s">
        <v>107</v>
      </c>
      <c r="S146" s="15" t="s">
        <v>109</v>
      </c>
      <c r="T146" s="15" t="s">
        <v>127</v>
      </c>
      <c r="U146" s="15" t="s">
        <v>234</v>
      </c>
      <c r="V146" s="15" t="s">
        <v>227</v>
      </c>
      <c r="W146" s="15" t="s">
        <v>236</v>
      </c>
      <c r="X146" s="15" t="s">
        <v>120</v>
      </c>
      <c r="Y146" s="18"/>
      <c r="Z146" s="15" t="s">
        <v>120</v>
      </c>
      <c r="AA146" s="18"/>
      <c r="AB146" s="15" t="s">
        <v>120</v>
      </c>
      <c r="AC146" s="15" t="s">
        <v>120</v>
      </c>
      <c r="AD146" s="18"/>
      <c r="AE146" s="15" t="s">
        <v>120</v>
      </c>
      <c r="AF146" s="18"/>
      <c r="AG146" s="15" t="s">
        <v>120</v>
      </c>
      <c r="AH146" s="18"/>
      <c r="AI146" s="15" t="s">
        <v>120</v>
      </c>
      <c r="AJ146" s="18"/>
      <c r="AK146" s="18"/>
      <c r="AL146" s="15" t="s">
        <v>242</v>
      </c>
      <c r="AM146" s="15" t="s">
        <v>138</v>
      </c>
      <c r="AN146" s="15" t="s">
        <v>124</v>
      </c>
      <c r="AO146" s="15" t="s">
        <v>185</v>
      </c>
      <c r="AP146" s="15"/>
    </row>
    <row r="147" ht="22.5" customHeight="1">
      <c r="A147" s="15" t="s">
        <v>1545</v>
      </c>
      <c r="B147" s="15" t="s">
        <v>1546</v>
      </c>
      <c r="C147" s="18"/>
      <c r="D147" s="41">
        <v>41241.0</v>
      </c>
      <c r="E147" s="15" t="s">
        <v>98</v>
      </c>
      <c r="F147" s="15">
        <v>7.295119155E9</v>
      </c>
      <c r="G147" s="15" t="s">
        <v>1553</v>
      </c>
      <c r="H147" s="15" t="s">
        <v>140</v>
      </c>
      <c r="I147" s="18"/>
      <c r="J147" s="15" t="s">
        <v>1558</v>
      </c>
      <c r="K147" s="15" t="s">
        <v>1553</v>
      </c>
      <c r="L147" s="15">
        <v>7.295119155E9</v>
      </c>
      <c r="M147" s="18"/>
      <c r="N147" s="18"/>
      <c r="O147" s="18"/>
      <c r="P147" s="20">
        <v>13.0</v>
      </c>
      <c r="Q147" s="22">
        <v>46029.49931712963</v>
      </c>
      <c r="R147" s="15" t="s">
        <v>107</v>
      </c>
      <c r="S147" s="15" t="s">
        <v>109</v>
      </c>
      <c r="T147" s="15" t="s">
        <v>204</v>
      </c>
      <c r="U147" s="15" t="s">
        <v>205</v>
      </c>
      <c r="V147" s="15" t="s">
        <v>206</v>
      </c>
      <c r="W147" s="15" t="s">
        <v>207</v>
      </c>
      <c r="X147" s="15" t="s">
        <v>120</v>
      </c>
      <c r="Y147" s="18"/>
      <c r="Z147" s="15" t="s">
        <v>117</v>
      </c>
      <c r="AA147" s="52" t="s">
        <v>1565</v>
      </c>
      <c r="AB147" s="15" t="s">
        <v>117</v>
      </c>
      <c r="AC147" s="15" t="s">
        <v>117</v>
      </c>
      <c r="AD147" s="15" t="s">
        <v>886</v>
      </c>
      <c r="AE147" s="15" t="s">
        <v>120</v>
      </c>
      <c r="AF147" s="18"/>
      <c r="AG147" s="15" t="s">
        <v>120</v>
      </c>
      <c r="AH147" s="18"/>
      <c r="AI147" s="15" t="s">
        <v>120</v>
      </c>
      <c r="AJ147" s="18"/>
      <c r="AK147" s="18"/>
      <c r="AL147" s="15" t="s">
        <v>216</v>
      </c>
      <c r="AM147" s="15" t="s">
        <v>138</v>
      </c>
      <c r="AN147" s="15" t="s">
        <v>156</v>
      </c>
      <c r="AO147" s="15" t="s">
        <v>126</v>
      </c>
      <c r="AP147" s="15"/>
    </row>
    <row r="148" ht="22.5" customHeight="1">
      <c r="A148" s="15" t="s">
        <v>2816</v>
      </c>
      <c r="B148" s="15" t="s">
        <v>2817</v>
      </c>
      <c r="C148" s="15" t="s">
        <v>2819</v>
      </c>
      <c r="D148" s="41">
        <v>39861.0</v>
      </c>
      <c r="E148" s="15" t="s">
        <v>98</v>
      </c>
      <c r="F148" s="15" t="s">
        <v>2820</v>
      </c>
      <c r="G148" s="15" t="s">
        <v>2821</v>
      </c>
      <c r="H148" s="15" t="s">
        <v>140</v>
      </c>
      <c r="I148" s="23" t="s">
        <v>135</v>
      </c>
      <c r="J148" s="15" t="s">
        <v>2822</v>
      </c>
      <c r="K148" s="15" t="s">
        <v>2823</v>
      </c>
      <c r="L148" s="15">
        <v>5.534354016E9</v>
      </c>
      <c r="M148" s="18"/>
      <c r="N148" s="18"/>
      <c r="O148" s="18"/>
      <c r="P148" s="20">
        <v>17.0</v>
      </c>
      <c r="Q148" s="22">
        <v>46039.51677083333</v>
      </c>
      <c r="R148" s="15" t="s">
        <v>107</v>
      </c>
      <c r="S148" s="15" t="s">
        <v>109</v>
      </c>
      <c r="T148" s="15" t="s">
        <v>204</v>
      </c>
      <c r="U148" s="15" t="s">
        <v>699</v>
      </c>
      <c r="V148" s="15" t="s">
        <v>700</v>
      </c>
      <c r="W148" s="15" t="s">
        <v>702</v>
      </c>
      <c r="X148" s="15" t="s">
        <v>120</v>
      </c>
      <c r="Y148" s="18"/>
      <c r="Z148" s="15" t="s">
        <v>120</v>
      </c>
      <c r="AA148" s="18"/>
      <c r="AB148" s="15" t="s">
        <v>120</v>
      </c>
      <c r="AC148" s="15" t="s">
        <v>120</v>
      </c>
      <c r="AD148" s="18"/>
      <c r="AE148" s="15" t="s">
        <v>120</v>
      </c>
      <c r="AF148" s="18"/>
      <c r="AG148" s="15" t="s">
        <v>120</v>
      </c>
      <c r="AH148" s="18"/>
      <c r="AI148" s="15" t="s">
        <v>120</v>
      </c>
      <c r="AJ148" s="18"/>
      <c r="AK148" s="18"/>
      <c r="AL148" s="15" t="s">
        <v>138</v>
      </c>
      <c r="AM148" s="15" t="s">
        <v>242</v>
      </c>
      <c r="AN148" s="15" t="s">
        <v>156</v>
      </c>
      <c r="AO148" s="15" t="s">
        <v>216</v>
      </c>
      <c r="AP148" s="15"/>
    </row>
    <row r="149" ht="22.5" customHeight="1">
      <c r="A149" s="15" t="s">
        <v>2826</v>
      </c>
      <c r="B149" s="15" t="s">
        <v>2827</v>
      </c>
      <c r="C149" s="15" t="s">
        <v>2829</v>
      </c>
      <c r="D149" s="41">
        <v>40988.0</v>
      </c>
      <c r="E149" s="15" t="s">
        <v>98</v>
      </c>
      <c r="F149" s="15">
        <v>5.53486464E9</v>
      </c>
      <c r="G149" s="15" t="s">
        <v>2830</v>
      </c>
      <c r="H149" s="15" t="s">
        <v>140</v>
      </c>
      <c r="I149" s="23" t="s">
        <v>2831</v>
      </c>
      <c r="J149" s="15" t="s">
        <v>2833</v>
      </c>
      <c r="K149" s="15" t="s">
        <v>2830</v>
      </c>
      <c r="L149" s="15">
        <v>5.53486464E9</v>
      </c>
      <c r="M149" s="18"/>
      <c r="N149" s="18"/>
      <c r="O149" s="18"/>
      <c r="P149" s="20">
        <v>13.0</v>
      </c>
      <c r="Q149" s="22">
        <v>46033.468506944446</v>
      </c>
      <c r="R149" s="15" t="s">
        <v>107</v>
      </c>
      <c r="S149" s="15" t="s">
        <v>109</v>
      </c>
      <c r="T149" s="15" t="s">
        <v>111</v>
      </c>
      <c r="U149" s="15" t="s">
        <v>1979</v>
      </c>
      <c r="V149" s="15" t="s">
        <v>1980</v>
      </c>
      <c r="W149" s="15" t="s">
        <v>1981</v>
      </c>
      <c r="X149" s="15" t="s">
        <v>120</v>
      </c>
      <c r="Y149" s="18"/>
      <c r="Z149" s="15" t="s">
        <v>120</v>
      </c>
      <c r="AA149" s="18"/>
      <c r="AB149" s="15" t="s">
        <v>120</v>
      </c>
      <c r="AC149" s="18"/>
      <c r="AD149" s="18"/>
      <c r="AE149" s="15" t="s">
        <v>120</v>
      </c>
      <c r="AF149" s="18"/>
      <c r="AG149" s="15" t="s">
        <v>120</v>
      </c>
      <c r="AH149" s="18"/>
      <c r="AI149" s="15" t="s">
        <v>120</v>
      </c>
      <c r="AJ149" s="18"/>
      <c r="AK149" s="18"/>
      <c r="AL149" s="15" t="s">
        <v>242</v>
      </c>
      <c r="AM149" s="15" t="s">
        <v>156</v>
      </c>
      <c r="AN149" s="15" t="s">
        <v>126</v>
      </c>
      <c r="AO149" s="15" t="s">
        <v>124</v>
      </c>
      <c r="AP149" s="15"/>
    </row>
    <row r="150" ht="22.5" customHeight="1">
      <c r="A150" s="15" t="s">
        <v>2843</v>
      </c>
      <c r="B150" s="15" t="s">
        <v>2844</v>
      </c>
      <c r="C150" s="15" t="s">
        <v>2845</v>
      </c>
      <c r="D150" s="41">
        <v>40316.0</v>
      </c>
      <c r="E150" s="15" t="s">
        <v>98</v>
      </c>
      <c r="F150" s="15">
        <v>5.542634262E9</v>
      </c>
      <c r="G150" s="15" t="s">
        <v>2846</v>
      </c>
      <c r="H150" s="15" t="s">
        <v>140</v>
      </c>
      <c r="I150" s="23" t="s">
        <v>2870</v>
      </c>
      <c r="J150" s="15" t="s">
        <v>2847</v>
      </c>
      <c r="K150" s="15" t="s">
        <v>167</v>
      </c>
      <c r="L150" s="15">
        <v>5.516251047E9</v>
      </c>
      <c r="M150" s="18"/>
      <c r="N150" s="18"/>
      <c r="O150" s="18"/>
      <c r="P150" s="20">
        <v>15.0</v>
      </c>
      <c r="Q150" s="22">
        <v>46033.56857638889</v>
      </c>
      <c r="R150" s="15" t="s">
        <v>107</v>
      </c>
      <c r="S150" s="15" t="s">
        <v>109</v>
      </c>
      <c r="T150" s="15" t="s">
        <v>171</v>
      </c>
      <c r="U150" s="15" t="s">
        <v>173</v>
      </c>
      <c r="V150" s="15" t="s">
        <v>167</v>
      </c>
      <c r="W150" s="15" t="s">
        <v>175</v>
      </c>
      <c r="X150" s="15" t="s">
        <v>120</v>
      </c>
      <c r="Y150" s="18"/>
      <c r="Z150" s="15" t="s">
        <v>120</v>
      </c>
      <c r="AA150" s="18"/>
      <c r="AB150" s="15" t="s">
        <v>120</v>
      </c>
      <c r="AC150" s="15" t="s">
        <v>120</v>
      </c>
      <c r="AD150" s="18"/>
      <c r="AE150" s="15" t="s">
        <v>120</v>
      </c>
      <c r="AF150" s="18"/>
      <c r="AG150" s="15" t="s">
        <v>120</v>
      </c>
      <c r="AH150" s="18"/>
      <c r="AI150" s="15" t="s">
        <v>120</v>
      </c>
      <c r="AJ150" s="18"/>
      <c r="AK150" s="18"/>
      <c r="AL150" s="15" t="s">
        <v>185</v>
      </c>
      <c r="AM150" s="15" t="s">
        <v>156</v>
      </c>
      <c r="AN150" s="15" t="s">
        <v>156</v>
      </c>
      <c r="AO150" s="15" t="s">
        <v>156</v>
      </c>
      <c r="AP150" s="15"/>
    </row>
    <row r="151" ht="22.5" customHeight="1">
      <c r="A151" s="15" t="s">
        <v>2880</v>
      </c>
      <c r="B151" s="15" t="s">
        <v>1696</v>
      </c>
      <c r="C151" s="15" t="s">
        <v>2884</v>
      </c>
      <c r="D151" s="41">
        <v>40772.0</v>
      </c>
      <c r="E151" s="15" t="s">
        <v>98</v>
      </c>
      <c r="F151" s="15">
        <v>5.64829996E9</v>
      </c>
      <c r="G151" s="15" t="s">
        <v>2886</v>
      </c>
      <c r="H151" s="15" t="s">
        <v>101</v>
      </c>
      <c r="I151" s="18"/>
      <c r="J151" s="15" t="s">
        <v>1702</v>
      </c>
      <c r="K151" s="15" t="s">
        <v>2889</v>
      </c>
      <c r="L151" s="15">
        <v>5.581784097E9</v>
      </c>
      <c r="M151" s="18"/>
      <c r="N151" s="18"/>
      <c r="O151" s="18"/>
      <c r="P151" s="20">
        <v>14.0</v>
      </c>
      <c r="Q151" s="22">
        <v>46033.55341435185</v>
      </c>
      <c r="R151" s="15" t="s">
        <v>107</v>
      </c>
      <c r="S151" s="15" t="s">
        <v>109</v>
      </c>
      <c r="T151" s="15" t="s">
        <v>171</v>
      </c>
      <c r="U151" s="15" t="s">
        <v>262</v>
      </c>
      <c r="V151" s="15" t="s">
        <v>263</v>
      </c>
      <c r="W151" s="15" t="s">
        <v>264</v>
      </c>
      <c r="X151" s="15" t="s">
        <v>120</v>
      </c>
      <c r="Y151" s="18"/>
      <c r="Z151" s="15" t="s">
        <v>117</v>
      </c>
      <c r="AA151" s="58" t="s">
        <v>2891</v>
      </c>
      <c r="AB151" s="15" t="s">
        <v>120</v>
      </c>
      <c r="AC151" s="18"/>
      <c r="AD151" s="18"/>
      <c r="AE151" s="15" t="s">
        <v>120</v>
      </c>
      <c r="AF151" s="18"/>
      <c r="AG151" s="15" t="s">
        <v>120</v>
      </c>
      <c r="AH151" s="18"/>
      <c r="AI151" s="15" t="s">
        <v>120</v>
      </c>
      <c r="AJ151" s="18"/>
      <c r="AK151" s="18"/>
      <c r="AL151" s="15" t="s">
        <v>156</v>
      </c>
      <c r="AM151" s="15" t="s">
        <v>128</v>
      </c>
      <c r="AN151" s="15" t="s">
        <v>141</v>
      </c>
      <c r="AO151" s="15" t="s">
        <v>129</v>
      </c>
      <c r="AP151" s="15"/>
    </row>
    <row r="152" ht="22.5" customHeight="1">
      <c r="A152" s="15" t="s">
        <v>2893</v>
      </c>
      <c r="B152" s="15" t="s">
        <v>2894</v>
      </c>
      <c r="C152" s="15" t="s">
        <v>76</v>
      </c>
      <c r="D152" s="41">
        <v>41107.0</v>
      </c>
      <c r="E152" s="15" t="s">
        <v>177</v>
      </c>
      <c r="F152" s="15">
        <v>5.510064088E9</v>
      </c>
      <c r="G152" s="15" t="s">
        <v>2898</v>
      </c>
      <c r="H152" s="15" t="s">
        <v>150</v>
      </c>
      <c r="I152" s="18"/>
      <c r="J152" s="15" t="s">
        <v>2900</v>
      </c>
      <c r="K152" s="15" t="s">
        <v>2898</v>
      </c>
      <c r="L152" s="15">
        <v>5.510064088E9</v>
      </c>
      <c r="M152" s="15" t="s">
        <v>2902</v>
      </c>
      <c r="N152" s="15" t="s">
        <v>2903</v>
      </c>
      <c r="O152" s="15">
        <v>5.580135352E9</v>
      </c>
      <c r="P152" s="20">
        <v>13.0</v>
      </c>
      <c r="Q152" s="22">
        <v>46033.48180555556</v>
      </c>
      <c r="R152" s="15" t="s">
        <v>107</v>
      </c>
      <c r="S152" s="15" t="s">
        <v>109</v>
      </c>
      <c r="T152" s="15" t="s">
        <v>204</v>
      </c>
      <c r="U152" s="15" t="s">
        <v>357</v>
      </c>
      <c r="V152" s="15" t="s">
        <v>359</v>
      </c>
      <c r="W152" s="15" t="s">
        <v>362</v>
      </c>
      <c r="X152" s="15" t="s">
        <v>120</v>
      </c>
      <c r="Y152" s="18"/>
      <c r="Z152" s="15" t="s">
        <v>120</v>
      </c>
      <c r="AA152" s="18"/>
      <c r="AB152" s="15" t="s">
        <v>120</v>
      </c>
      <c r="AC152" s="18"/>
      <c r="AD152" s="18"/>
      <c r="AE152" s="15" t="s">
        <v>120</v>
      </c>
      <c r="AF152" s="18"/>
      <c r="AG152" s="15" t="s">
        <v>120</v>
      </c>
      <c r="AH152" s="18"/>
      <c r="AI152" s="15" t="s">
        <v>120</v>
      </c>
      <c r="AJ152" s="18"/>
      <c r="AK152" s="18"/>
      <c r="AL152" s="15" t="s">
        <v>156</v>
      </c>
      <c r="AM152" s="15" t="s">
        <v>185</v>
      </c>
      <c r="AN152" s="15" t="s">
        <v>240</v>
      </c>
      <c r="AO152" s="15" t="s">
        <v>126</v>
      </c>
      <c r="AP152" s="15"/>
    </row>
    <row r="153" ht="22.5" customHeight="1">
      <c r="A153" s="15" t="s">
        <v>2904</v>
      </c>
      <c r="B153" s="15" t="s">
        <v>939</v>
      </c>
      <c r="C153" s="15" t="s">
        <v>2908</v>
      </c>
      <c r="D153" s="41">
        <v>39470.0</v>
      </c>
      <c r="E153" s="15" t="s">
        <v>177</v>
      </c>
      <c r="F153" s="15">
        <v>5.665991501E9</v>
      </c>
      <c r="G153" s="15" t="s">
        <v>944</v>
      </c>
      <c r="H153" s="15" t="s">
        <v>101</v>
      </c>
      <c r="I153" s="23" t="s">
        <v>2910</v>
      </c>
      <c r="J153" s="15" t="s">
        <v>948</v>
      </c>
      <c r="K153" s="15" t="s">
        <v>944</v>
      </c>
      <c r="L153" s="15">
        <v>2.202344935E9</v>
      </c>
      <c r="M153" s="18"/>
      <c r="N153" s="18"/>
      <c r="O153" s="18"/>
      <c r="P153" s="20">
        <v>18.0</v>
      </c>
      <c r="Q153" s="22">
        <v>46040.80626157407</v>
      </c>
      <c r="R153" s="15" t="s">
        <v>107</v>
      </c>
      <c r="S153" s="15" t="s">
        <v>109</v>
      </c>
      <c r="T153" s="15" t="s">
        <v>192</v>
      </c>
      <c r="U153" s="15" t="s">
        <v>195</v>
      </c>
      <c r="V153" s="15" t="s">
        <v>198</v>
      </c>
      <c r="W153" s="15" t="s">
        <v>200</v>
      </c>
      <c r="X153" s="15" t="s">
        <v>120</v>
      </c>
      <c r="Y153" s="18"/>
      <c r="Z153" s="15" t="s">
        <v>120</v>
      </c>
      <c r="AA153" s="18"/>
      <c r="AB153" s="15" t="s">
        <v>120</v>
      </c>
      <c r="AC153" s="15" t="s">
        <v>120</v>
      </c>
      <c r="AD153" s="18"/>
      <c r="AE153" s="15" t="s">
        <v>120</v>
      </c>
      <c r="AF153" s="18"/>
      <c r="AG153" s="15" t="s">
        <v>120</v>
      </c>
      <c r="AH153" s="18"/>
      <c r="AI153" s="15" t="s">
        <v>120</v>
      </c>
      <c r="AJ153" s="18"/>
      <c r="AK153" s="18"/>
      <c r="AL153" s="15" t="s">
        <v>185</v>
      </c>
      <c r="AM153" s="15" t="s">
        <v>124</v>
      </c>
      <c r="AN153" s="15" t="s">
        <v>156</v>
      </c>
      <c r="AO153" s="15" t="s">
        <v>240</v>
      </c>
      <c r="AP153" s="15"/>
    </row>
    <row r="154" ht="22.5" customHeight="1">
      <c r="A154" s="15" t="s">
        <v>1366</v>
      </c>
      <c r="B154" s="15" t="s">
        <v>1367</v>
      </c>
      <c r="C154" s="15" t="s">
        <v>1369</v>
      </c>
      <c r="D154" s="41">
        <v>39785.0</v>
      </c>
      <c r="E154" s="15" t="s">
        <v>98</v>
      </c>
      <c r="F154" s="15">
        <v>5.620687961E9</v>
      </c>
      <c r="G154" s="15" t="s">
        <v>1380</v>
      </c>
      <c r="H154" s="15" t="s">
        <v>101</v>
      </c>
      <c r="I154" s="18"/>
      <c r="J154" s="15" t="s">
        <v>1383</v>
      </c>
      <c r="K154" s="15" t="s">
        <v>1386</v>
      </c>
      <c r="L154" s="15">
        <v>5.518388891E9</v>
      </c>
      <c r="M154" s="18"/>
      <c r="N154" s="18"/>
      <c r="O154" s="18"/>
      <c r="P154" s="20">
        <v>17.0</v>
      </c>
      <c r="Q154" s="22">
        <v>46033.51119212963</v>
      </c>
      <c r="R154" s="15" t="s">
        <v>107</v>
      </c>
      <c r="S154" s="15" t="s">
        <v>109</v>
      </c>
      <c r="T154" s="15" t="s">
        <v>160</v>
      </c>
      <c r="U154" s="15" t="s">
        <v>1265</v>
      </c>
      <c r="V154" s="15" t="s">
        <v>1267</v>
      </c>
      <c r="W154" s="15" t="s">
        <v>1268</v>
      </c>
      <c r="X154" s="15" t="s">
        <v>120</v>
      </c>
      <c r="Y154" s="18"/>
      <c r="Z154" s="15" t="s">
        <v>117</v>
      </c>
      <c r="AA154" s="58" t="s">
        <v>1398</v>
      </c>
      <c r="AB154" s="15" t="s">
        <v>120</v>
      </c>
      <c r="AC154" s="18"/>
      <c r="AD154" s="18"/>
      <c r="AE154" s="15" t="s">
        <v>120</v>
      </c>
      <c r="AF154" s="18"/>
      <c r="AG154" s="15" t="s">
        <v>120</v>
      </c>
      <c r="AH154" s="18"/>
      <c r="AI154" s="15" t="s">
        <v>117</v>
      </c>
      <c r="AJ154" s="15" t="s">
        <v>1402</v>
      </c>
      <c r="AK154" s="18"/>
      <c r="AL154" s="15" t="s">
        <v>129</v>
      </c>
      <c r="AM154" s="15" t="s">
        <v>216</v>
      </c>
      <c r="AN154" s="15" t="s">
        <v>124</v>
      </c>
      <c r="AO154" s="15" t="s">
        <v>240</v>
      </c>
      <c r="AP154" s="15"/>
    </row>
    <row r="155" ht="22.5" customHeight="1">
      <c r="A155" s="15" t="s">
        <v>2930</v>
      </c>
      <c r="B155" s="15" t="s">
        <v>2932</v>
      </c>
      <c r="C155" s="15" t="s">
        <v>2933</v>
      </c>
      <c r="D155" s="41">
        <v>39563.0</v>
      </c>
      <c r="E155" s="15" t="s">
        <v>177</v>
      </c>
      <c r="F155" s="15">
        <v>5.541397582E9</v>
      </c>
      <c r="G155" s="15" t="s">
        <v>2936</v>
      </c>
      <c r="H155" s="15" t="s">
        <v>101</v>
      </c>
      <c r="I155" s="18"/>
      <c r="J155" s="15" t="s">
        <v>534</v>
      </c>
      <c r="K155" s="15" t="s">
        <v>532</v>
      </c>
      <c r="L155" s="15">
        <v>5.541397582E9</v>
      </c>
      <c r="M155" s="18"/>
      <c r="N155" s="18"/>
      <c r="O155" s="18"/>
      <c r="P155" s="20">
        <v>17.0</v>
      </c>
      <c r="Q155" s="22">
        <v>46028.972453703704</v>
      </c>
      <c r="R155" s="15" t="s">
        <v>107</v>
      </c>
      <c r="S155" s="15" t="s">
        <v>109</v>
      </c>
      <c r="T155" s="15" t="s">
        <v>127</v>
      </c>
      <c r="U155" s="15" t="s">
        <v>531</v>
      </c>
      <c r="V155" s="15" t="s">
        <v>532</v>
      </c>
      <c r="W155" s="15" t="s">
        <v>534</v>
      </c>
      <c r="X155" s="15" t="s">
        <v>120</v>
      </c>
      <c r="Y155" s="18"/>
      <c r="Z155" s="15" t="s">
        <v>120</v>
      </c>
      <c r="AA155" s="18"/>
      <c r="AB155" s="15" t="s">
        <v>120</v>
      </c>
      <c r="AC155" s="18"/>
      <c r="AD155" s="18"/>
      <c r="AE155" s="15" t="s">
        <v>120</v>
      </c>
      <c r="AF155" s="18"/>
      <c r="AG155" s="15" t="s">
        <v>120</v>
      </c>
      <c r="AH155" s="18"/>
      <c r="AI155" s="15" t="s">
        <v>120</v>
      </c>
      <c r="AJ155" s="18"/>
      <c r="AK155" s="18"/>
      <c r="AL155" s="15" t="s">
        <v>126</v>
      </c>
      <c r="AM155" s="15" t="s">
        <v>185</v>
      </c>
      <c r="AN155" s="15" t="s">
        <v>128</v>
      </c>
      <c r="AO155" s="15" t="s">
        <v>242</v>
      </c>
      <c r="AP155" s="15"/>
    </row>
    <row r="156" ht="22.5" customHeight="1">
      <c r="A156" s="15" t="s">
        <v>2944</v>
      </c>
      <c r="B156" s="15" t="s">
        <v>2945</v>
      </c>
      <c r="C156" s="15" t="s">
        <v>2947</v>
      </c>
      <c r="D156" s="41">
        <v>40812.0</v>
      </c>
      <c r="E156" s="15" t="s">
        <v>98</v>
      </c>
      <c r="F156" s="15" t="s">
        <v>2948</v>
      </c>
      <c r="G156" s="15" t="s">
        <v>2949</v>
      </c>
      <c r="H156" s="15" t="s">
        <v>101</v>
      </c>
      <c r="I156" s="23" t="s">
        <v>135</v>
      </c>
      <c r="J156" s="15" t="s">
        <v>2950</v>
      </c>
      <c r="K156" s="15" t="s">
        <v>2951</v>
      </c>
      <c r="L156" s="15">
        <v>5.543952296E9</v>
      </c>
      <c r="M156" s="18"/>
      <c r="N156" s="18"/>
      <c r="O156" s="18"/>
      <c r="P156" s="20">
        <v>14.0</v>
      </c>
      <c r="Q156" s="22">
        <v>46024.80842592593</v>
      </c>
      <c r="R156" s="15" t="s">
        <v>107</v>
      </c>
      <c r="S156" s="15" t="s">
        <v>109</v>
      </c>
      <c r="T156" s="15" t="s">
        <v>204</v>
      </c>
      <c r="U156" s="15" t="s">
        <v>699</v>
      </c>
      <c r="V156" s="15" t="s">
        <v>700</v>
      </c>
      <c r="W156" s="15" t="s">
        <v>702</v>
      </c>
      <c r="X156" s="15" t="s">
        <v>120</v>
      </c>
      <c r="Y156" s="15" t="s">
        <v>120</v>
      </c>
      <c r="Z156" s="15" t="s">
        <v>120</v>
      </c>
      <c r="AA156" s="15" t="s">
        <v>120</v>
      </c>
      <c r="AB156" s="15" t="s">
        <v>120</v>
      </c>
      <c r="AC156" s="15" t="s">
        <v>120</v>
      </c>
      <c r="AD156" s="15" t="s">
        <v>120</v>
      </c>
      <c r="AE156" s="15" t="s">
        <v>120</v>
      </c>
      <c r="AF156" s="15" t="s">
        <v>120</v>
      </c>
      <c r="AG156" s="15" t="s">
        <v>120</v>
      </c>
      <c r="AH156" s="15" t="s">
        <v>120</v>
      </c>
      <c r="AI156" s="15" t="s">
        <v>120</v>
      </c>
      <c r="AJ156" s="15" t="s">
        <v>120</v>
      </c>
      <c r="AK156" s="15" t="s">
        <v>120</v>
      </c>
      <c r="AL156" s="15" t="s">
        <v>138</v>
      </c>
      <c r="AM156" s="15" t="s">
        <v>126</v>
      </c>
      <c r="AN156" s="15" t="s">
        <v>242</v>
      </c>
      <c r="AO156" s="15" t="s">
        <v>156</v>
      </c>
      <c r="AP156" s="15"/>
    </row>
    <row r="157" ht="22.5" customHeight="1">
      <c r="A157" s="15" t="s">
        <v>2956</v>
      </c>
      <c r="B157" s="15" t="s">
        <v>2957</v>
      </c>
      <c r="C157" s="15" t="s">
        <v>2958</v>
      </c>
      <c r="D157" s="41">
        <v>40813.0</v>
      </c>
      <c r="E157" s="15" t="s">
        <v>98</v>
      </c>
      <c r="F157" s="15">
        <v>5.514435949E9</v>
      </c>
      <c r="G157" s="15" t="s">
        <v>2961</v>
      </c>
      <c r="H157" s="15" t="s">
        <v>101</v>
      </c>
      <c r="I157" s="18"/>
      <c r="J157" s="15" t="s">
        <v>2963</v>
      </c>
      <c r="K157" s="15" t="s">
        <v>2964</v>
      </c>
      <c r="L157" s="15">
        <v>5.514435949E9</v>
      </c>
      <c r="M157" s="18"/>
      <c r="N157" s="18"/>
      <c r="O157" s="18"/>
      <c r="P157" s="20">
        <v>14.0</v>
      </c>
      <c r="Q157" s="22">
        <v>46038.99265046296</v>
      </c>
      <c r="R157" s="15" t="s">
        <v>107</v>
      </c>
      <c r="S157" s="15" t="s">
        <v>109</v>
      </c>
      <c r="T157" s="15" t="s">
        <v>204</v>
      </c>
      <c r="U157" s="15" t="s">
        <v>699</v>
      </c>
      <c r="V157" s="15" t="s">
        <v>700</v>
      </c>
      <c r="W157" s="15" t="s">
        <v>702</v>
      </c>
      <c r="X157" s="15" t="s">
        <v>120</v>
      </c>
      <c r="Y157" s="18"/>
      <c r="Z157" s="15" t="s">
        <v>120</v>
      </c>
      <c r="AA157" s="18"/>
      <c r="AB157" s="15" t="s">
        <v>120</v>
      </c>
      <c r="AC157" s="15" t="s">
        <v>120</v>
      </c>
      <c r="AD157" s="18"/>
      <c r="AE157" s="15" t="s">
        <v>120</v>
      </c>
      <c r="AF157" s="18"/>
      <c r="AG157" s="15" t="s">
        <v>120</v>
      </c>
      <c r="AH157" s="18"/>
      <c r="AI157" s="15" t="s">
        <v>120</v>
      </c>
      <c r="AJ157" s="18"/>
      <c r="AK157" s="15" t="s">
        <v>135</v>
      </c>
      <c r="AL157" s="15" t="s">
        <v>138</v>
      </c>
      <c r="AM157" s="15" t="s">
        <v>128</v>
      </c>
      <c r="AN157" s="15" t="s">
        <v>242</v>
      </c>
      <c r="AO157" s="15" t="s">
        <v>156</v>
      </c>
      <c r="AP157" s="15"/>
    </row>
    <row r="158" ht="22.5" customHeight="1">
      <c r="A158" s="15" t="s">
        <v>2971</v>
      </c>
      <c r="B158" s="15" t="s">
        <v>2058</v>
      </c>
      <c r="C158" s="15" t="s">
        <v>2973</v>
      </c>
      <c r="D158" s="41">
        <v>40847.0</v>
      </c>
      <c r="E158" s="15" t="s">
        <v>98</v>
      </c>
      <c r="F158" s="15">
        <v>5.57286959E9</v>
      </c>
      <c r="G158" s="15" t="s">
        <v>2976</v>
      </c>
      <c r="H158" s="15" t="s">
        <v>140</v>
      </c>
      <c r="I158" s="18"/>
      <c r="J158" s="15" t="s">
        <v>2066</v>
      </c>
      <c r="K158" s="15" t="s">
        <v>2067</v>
      </c>
      <c r="L158" s="15">
        <v>5.561477191E9</v>
      </c>
      <c r="M158" s="18"/>
      <c r="N158" s="18"/>
      <c r="O158" s="18"/>
      <c r="P158" s="20">
        <v>14.0</v>
      </c>
      <c r="Q158" s="22">
        <v>46033.62173611111</v>
      </c>
      <c r="R158" s="15" t="s">
        <v>107</v>
      </c>
      <c r="S158" s="15" t="s">
        <v>109</v>
      </c>
      <c r="T158" s="15" t="s">
        <v>171</v>
      </c>
      <c r="U158" s="15" t="s">
        <v>1048</v>
      </c>
      <c r="V158" s="15" t="s">
        <v>1050</v>
      </c>
      <c r="W158" s="15" t="s">
        <v>1051</v>
      </c>
      <c r="X158" s="15" t="s">
        <v>120</v>
      </c>
      <c r="Y158" s="18"/>
      <c r="Z158" s="15" t="s">
        <v>120</v>
      </c>
      <c r="AA158" s="18"/>
      <c r="AB158" s="15" t="s">
        <v>120</v>
      </c>
      <c r="AC158" s="15" t="s">
        <v>120</v>
      </c>
      <c r="AD158" s="18"/>
      <c r="AE158" s="15" t="s">
        <v>120</v>
      </c>
      <c r="AF158" s="18"/>
      <c r="AG158" s="15" t="s">
        <v>120</v>
      </c>
      <c r="AH158" s="18"/>
      <c r="AI158" s="15" t="s">
        <v>120</v>
      </c>
      <c r="AJ158" s="18"/>
      <c r="AK158" s="18"/>
      <c r="AL158" s="15" t="s">
        <v>185</v>
      </c>
      <c r="AM158" s="15" t="s">
        <v>128</v>
      </c>
      <c r="AN158" s="15" t="s">
        <v>156</v>
      </c>
      <c r="AO158" s="15" t="s">
        <v>240</v>
      </c>
      <c r="AP158" s="15"/>
    </row>
    <row r="159" ht="22.5" customHeight="1">
      <c r="A159" s="15" t="s">
        <v>2981</v>
      </c>
      <c r="B159" s="15" t="s">
        <v>2982</v>
      </c>
      <c r="C159" s="15" t="s">
        <v>2984</v>
      </c>
      <c r="D159" s="41">
        <v>40615.0</v>
      </c>
      <c r="E159" s="15" t="s">
        <v>177</v>
      </c>
      <c r="F159" s="15">
        <v>5.574708778E9</v>
      </c>
      <c r="G159" s="15" t="s">
        <v>2986</v>
      </c>
      <c r="H159" s="15" t="s">
        <v>140</v>
      </c>
      <c r="I159" s="18"/>
      <c r="J159" s="15" t="s">
        <v>2987</v>
      </c>
      <c r="K159" s="15" t="s">
        <v>2988</v>
      </c>
      <c r="L159" s="15">
        <v>5.540748263E9</v>
      </c>
      <c r="M159" s="18"/>
      <c r="N159" s="18"/>
      <c r="O159" s="18"/>
      <c r="P159" s="20">
        <v>14.0</v>
      </c>
      <c r="Q159" s="22">
        <v>46040.4841087963</v>
      </c>
      <c r="R159" s="15" t="s">
        <v>107</v>
      </c>
      <c r="S159" s="15" t="s">
        <v>109</v>
      </c>
      <c r="T159" s="15" t="s">
        <v>192</v>
      </c>
      <c r="U159" s="15" t="s">
        <v>505</v>
      </c>
      <c r="V159" s="15" t="s">
        <v>506</v>
      </c>
      <c r="W159" s="15" t="s">
        <v>507</v>
      </c>
      <c r="X159" s="15" t="s">
        <v>120</v>
      </c>
      <c r="Y159" s="18"/>
      <c r="Z159" s="15" t="s">
        <v>120</v>
      </c>
      <c r="AA159" s="18"/>
      <c r="AB159" s="15" t="s">
        <v>120</v>
      </c>
      <c r="AC159" s="18"/>
      <c r="AD159" s="18"/>
      <c r="AE159" s="15" t="s">
        <v>120</v>
      </c>
      <c r="AF159" s="18"/>
      <c r="AG159" s="15" t="s">
        <v>120</v>
      </c>
      <c r="AH159" s="18"/>
      <c r="AI159" s="15" t="s">
        <v>120</v>
      </c>
      <c r="AJ159" s="18"/>
      <c r="AK159" s="18"/>
      <c r="AL159" s="15" t="s">
        <v>240</v>
      </c>
      <c r="AM159" s="15" t="s">
        <v>242</v>
      </c>
      <c r="AN159" s="15" t="s">
        <v>185</v>
      </c>
      <c r="AO159" s="15" t="s">
        <v>126</v>
      </c>
      <c r="AP159" s="15"/>
    </row>
    <row r="160" ht="22.5" customHeight="1">
      <c r="A160" s="15" t="s">
        <v>2992</v>
      </c>
      <c r="B160" s="15" t="s">
        <v>2993</v>
      </c>
      <c r="C160" s="15" t="s">
        <v>2994</v>
      </c>
      <c r="D160" s="41">
        <v>40091.0</v>
      </c>
      <c r="E160" s="15" t="s">
        <v>177</v>
      </c>
      <c r="F160" s="15">
        <v>5.513797836E9</v>
      </c>
      <c r="G160" s="15" t="s">
        <v>2996</v>
      </c>
      <c r="H160" s="15" t="s">
        <v>150</v>
      </c>
      <c r="I160" s="18"/>
      <c r="J160" s="15" t="s">
        <v>2997</v>
      </c>
      <c r="K160" s="15" t="s">
        <v>2996</v>
      </c>
      <c r="L160" s="15">
        <v>5.561796067E9</v>
      </c>
      <c r="M160" s="18"/>
      <c r="N160" s="18"/>
      <c r="O160" s="18"/>
      <c r="P160" s="20">
        <v>16.0</v>
      </c>
      <c r="Q160" s="22">
        <v>46037.809641203705</v>
      </c>
      <c r="R160" s="15" t="s">
        <v>107</v>
      </c>
      <c r="S160" s="15" t="s">
        <v>109</v>
      </c>
      <c r="T160" s="15" t="s">
        <v>160</v>
      </c>
      <c r="U160" s="15" t="s">
        <v>161</v>
      </c>
      <c r="V160" s="15" t="s">
        <v>163</v>
      </c>
      <c r="W160" s="15" t="s">
        <v>165</v>
      </c>
      <c r="X160" s="15" t="s">
        <v>120</v>
      </c>
      <c r="Y160" s="18"/>
      <c r="Z160" s="15" t="s">
        <v>120</v>
      </c>
      <c r="AA160" s="18"/>
      <c r="AB160" s="15" t="s">
        <v>120</v>
      </c>
      <c r="AC160" s="15" t="s">
        <v>120</v>
      </c>
      <c r="AD160" s="18"/>
      <c r="AE160" s="15" t="s">
        <v>120</v>
      </c>
      <c r="AF160" s="18"/>
      <c r="AG160" s="15" t="s">
        <v>120</v>
      </c>
      <c r="AH160" s="18"/>
      <c r="AI160" s="15" t="s">
        <v>120</v>
      </c>
      <c r="AJ160" s="18"/>
      <c r="AK160" s="18"/>
      <c r="AL160" s="15" t="s">
        <v>240</v>
      </c>
      <c r="AM160" s="15" t="s">
        <v>185</v>
      </c>
      <c r="AN160" s="15" t="s">
        <v>216</v>
      </c>
      <c r="AO160" s="15" t="s">
        <v>185</v>
      </c>
      <c r="AP160" s="15"/>
    </row>
    <row r="161" ht="22.5" customHeight="1">
      <c r="A161" s="15" t="s">
        <v>3002</v>
      </c>
      <c r="B161" s="15" t="s">
        <v>1231</v>
      </c>
      <c r="C161" s="15" t="s">
        <v>3003</v>
      </c>
      <c r="D161" s="41">
        <v>39812.0</v>
      </c>
      <c r="E161" s="15" t="s">
        <v>98</v>
      </c>
      <c r="F161" s="15">
        <v>9.511910926E9</v>
      </c>
      <c r="G161" s="15" t="s">
        <v>3004</v>
      </c>
      <c r="H161" s="15" t="s">
        <v>101</v>
      </c>
      <c r="I161" s="23" t="s">
        <v>3005</v>
      </c>
      <c r="J161" s="15" t="s">
        <v>3006</v>
      </c>
      <c r="K161" s="15" t="s">
        <v>3004</v>
      </c>
      <c r="L161" s="15">
        <v>9.511910926E9</v>
      </c>
      <c r="M161" s="18"/>
      <c r="N161" s="18"/>
      <c r="O161" s="18"/>
      <c r="P161" s="20">
        <v>17.0</v>
      </c>
      <c r="Q161" s="22">
        <v>46040.61274305556</v>
      </c>
      <c r="R161" s="15" t="s">
        <v>107</v>
      </c>
      <c r="S161" s="15" t="s">
        <v>109</v>
      </c>
      <c r="T161" s="15" t="s">
        <v>127</v>
      </c>
      <c r="U161" s="15" t="s">
        <v>234</v>
      </c>
      <c r="V161" s="15" t="s">
        <v>227</v>
      </c>
      <c r="W161" s="15" t="s">
        <v>236</v>
      </c>
      <c r="X161" s="15" t="s">
        <v>120</v>
      </c>
      <c r="Y161" s="18"/>
      <c r="Z161" s="15" t="s">
        <v>120</v>
      </c>
      <c r="AA161" s="18"/>
      <c r="AB161" s="15" t="s">
        <v>120</v>
      </c>
      <c r="AC161" s="18"/>
      <c r="AD161" s="18"/>
      <c r="AE161" s="15" t="s">
        <v>120</v>
      </c>
      <c r="AF161" s="18"/>
      <c r="AG161" s="15" t="s">
        <v>120</v>
      </c>
      <c r="AH161" s="18"/>
      <c r="AI161" s="15" t="s">
        <v>120</v>
      </c>
      <c r="AJ161" s="18"/>
      <c r="AK161" s="18"/>
      <c r="AL161" s="15" t="s">
        <v>185</v>
      </c>
      <c r="AM161" s="15" t="s">
        <v>126</v>
      </c>
      <c r="AN161" s="15" t="s">
        <v>242</v>
      </c>
      <c r="AO161" s="15" t="s">
        <v>138</v>
      </c>
      <c r="AP161" s="15"/>
    </row>
    <row r="162" ht="22.5" customHeight="1">
      <c r="A162" s="15" t="s">
        <v>2403</v>
      </c>
      <c r="B162" s="15" t="s">
        <v>2406</v>
      </c>
      <c r="C162" s="15" t="s">
        <v>2407</v>
      </c>
      <c r="D162" s="41">
        <v>39948.0</v>
      </c>
      <c r="E162" s="15" t="s">
        <v>98</v>
      </c>
      <c r="F162" s="15">
        <v>5.615632529E9</v>
      </c>
      <c r="G162" s="15" t="s">
        <v>2409</v>
      </c>
      <c r="H162" s="15" t="s">
        <v>101</v>
      </c>
      <c r="I162" s="18"/>
      <c r="J162" s="15" t="s">
        <v>2411</v>
      </c>
      <c r="K162" s="15" t="s">
        <v>2412</v>
      </c>
      <c r="L162" s="15">
        <v>5.511234392E9</v>
      </c>
      <c r="M162" s="18"/>
      <c r="N162" s="18"/>
      <c r="O162" s="18"/>
      <c r="P162" s="20">
        <v>16.0</v>
      </c>
      <c r="Q162" s="22">
        <v>46033.46265046296</v>
      </c>
      <c r="R162" s="15" t="s">
        <v>107</v>
      </c>
      <c r="S162" s="15" t="s">
        <v>109</v>
      </c>
      <c r="T162" s="15" t="s">
        <v>160</v>
      </c>
      <c r="U162" s="15" t="s">
        <v>329</v>
      </c>
      <c r="V162" s="15" t="s">
        <v>331</v>
      </c>
      <c r="W162" s="15" t="s">
        <v>332</v>
      </c>
      <c r="X162" s="15" t="s">
        <v>120</v>
      </c>
      <c r="Y162" s="18"/>
      <c r="Z162" s="15" t="s">
        <v>120</v>
      </c>
      <c r="AA162" s="18"/>
      <c r="AB162" s="15" t="s">
        <v>120</v>
      </c>
      <c r="AC162" s="18"/>
      <c r="AD162" s="18"/>
      <c r="AE162" s="15" t="s">
        <v>117</v>
      </c>
      <c r="AF162" s="15" t="s">
        <v>2419</v>
      </c>
      <c r="AG162" s="15" t="s">
        <v>120</v>
      </c>
      <c r="AH162" s="18"/>
      <c r="AI162" s="15" t="s">
        <v>120</v>
      </c>
      <c r="AJ162" s="18"/>
      <c r="AK162" s="18"/>
      <c r="AL162" s="15" t="s">
        <v>129</v>
      </c>
      <c r="AM162" s="15" t="s">
        <v>156</v>
      </c>
      <c r="AN162" s="15" t="s">
        <v>138</v>
      </c>
      <c r="AO162" s="15" t="s">
        <v>185</v>
      </c>
      <c r="AP162" s="15"/>
    </row>
    <row r="163" ht="22.5" customHeight="1">
      <c r="A163" s="15" t="s">
        <v>3007</v>
      </c>
      <c r="B163" s="15" t="s">
        <v>3008</v>
      </c>
      <c r="C163" s="15" t="s">
        <v>3009</v>
      </c>
      <c r="D163" s="41">
        <v>39947.0</v>
      </c>
      <c r="E163" s="15" t="s">
        <v>177</v>
      </c>
      <c r="F163" s="15">
        <v>5.625550885E9</v>
      </c>
      <c r="G163" s="15" t="s">
        <v>3010</v>
      </c>
      <c r="H163" s="15" t="s">
        <v>101</v>
      </c>
      <c r="I163" s="18"/>
      <c r="J163" s="15" t="s">
        <v>3011</v>
      </c>
      <c r="K163" s="15" t="s">
        <v>3012</v>
      </c>
      <c r="L163" s="15">
        <v>5.532222684E9</v>
      </c>
      <c r="M163" s="15" t="s">
        <v>3013</v>
      </c>
      <c r="N163" s="15" t="s">
        <v>3014</v>
      </c>
      <c r="O163" s="15">
        <v>5.543554131E9</v>
      </c>
      <c r="P163" s="20">
        <v>16.0</v>
      </c>
      <c r="Q163" s="22">
        <v>46019.511030092595</v>
      </c>
      <c r="R163" s="15" t="s">
        <v>107</v>
      </c>
      <c r="S163" s="15" t="s">
        <v>109</v>
      </c>
      <c r="T163" s="15" t="s">
        <v>171</v>
      </c>
      <c r="U163" s="15" t="s">
        <v>388</v>
      </c>
      <c r="V163" s="15" t="s">
        <v>389</v>
      </c>
      <c r="W163" s="15" t="s">
        <v>392</v>
      </c>
      <c r="X163" s="15" t="s">
        <v>120</v>
      </c>
      <c r="Y163" s="18"/>
      <c r="Z163" s="15" t="s">
        <v>120</v>
      </c>
      <c r="AA163" s="18"/>
      <c r="AB163" s="15" t="s">
        <v>120</v>
      </c>
      <c r="AC163" s="18"/>
      <c r="AD163" s="18"/>
      <c r="AE163" s="15" t="s">
        <v>120</v>
      </c>
      <c r="AF163" s="18"/>
      <c r="AG163" s="15" t="s">
        <v>120</v>
      </c>
      <c r="AH163" s="18"/>
      <c r="AI163" s="15" t="s">
        <v>120</v>
      </c>
      <c r="AJ163" s="18"/>
      <c r="AK163" s="18"/>
      <c r="AL163" s="15" t="s">
        <v>126</v>
      </c>
      <c r="AM163" s="15" t="s">
        <v>128</v>
      </c>
      <c r="AN163" s="15" t="s">
        <v>124</v>
      </c>
      <c r="AO163" s="15" t="s">
        <v>141</v>
      </c>
      <c r="AP163" s="15"/>
    </row>
    <row r="164" ht="22.5" customHeight="1">
      <c r="A164" s="15" t="s">
        <v>3015</v>
      </c>
      <c r="B164" s="15" t="s">
        <v>3016</v>
      </c>
      <c r="C164" s="15" t="s">
        <v>3017</v>
      </c>
      <c r="D164" s="41">
        <v>39881.0</v>
      </c>
      <c r="E164" s="15" t="s">
        <v>177</v>
      </c>
      <c r="F164" s="15">
        <v>5.514586519E9</v>
      </c>
      <c r="G164" s="15" t="s">
        <v>3018</v>
      </c>
      <c r="H164" s="15" t="s">
        <v>110</v>
      </c>
      <c r="I164" s="23" t="s">
        <v>1636</v>
      </c>
      <c r="J164" s="15" t="s">
        <v>3019</v>
      </c>
      <c r="K164" s="15" t="s">
        <v>3018</v>
      </c>
      <c r="L164" s="15">
        <v>5.625837749E9</v>
      </c>
      <c r="M164" s="18"/>
      <c r="N164" s="18"/>
      <c r="O164" s="18"/>
      <c r="P164" s="20">
        <v>16.0</v>
      </c>
      <c r="Q164" s="22">
        <v>46033.50506944444</v>
      </c>
      <c r="R164" s="15" t="s">
        <v>107</v>
      </c>
      <c r="S164" s="15" t="s">
        <v>109</v>
      </c>
      <c r="T164" s="15" t="s">
        <v>111</v>
      </c>
      <c r="U164" s="15" t="s">
        <v>657</v>
      </c>
      <c r="V164" s="15" t="s">
        <v>659</v>
      </c>
      <c r="W164" s="15" t="s">
        <v>662</v>
      </c>
      <c r="X164" s="15" t="s">
        <v>120</v>
      </c>
      <c r="Y164" s="15" t="s">
        <v>667</v>
      </c>
      <c r="Z164" s="15" t="s">
        <v>120</v>
      </c>
      <c r="AA164" s="15" t="s">
        <v>667</v>
      </c>
      <c r="AB164" s="15" t="s">
        <v>120</v>
      </c>
      <c r="AC164" s="15" t="s">
        <v>120</v>
      </c>
      <c r="AD164" s="15" t="s">
        <v>667</v>
      </c>
      <c r="AE164" s="15" t="s">
        <v>120</v>
      </c>
      <c r="AF164" s="15" t="s">
        <v>667</v>
      </c>
      <c r="AG164" s="15" t="s">
        <v>120</v>
      </c>
      <c r="AH164" s="15" t="s">
        <v>667</v>
      </c>
      <c r="AI164" s="15" t="s">
        <v>120</v>
      </c>
      <c r="AJ164" s="15" t="s">
        <v>667</v>
      </c>
      <c r="AK164" s="15" t="s">
        <v>1325</v>
      </c>
      <c r="AL164" s="15" t="s">
        <v>129</v>
      </c>
      <c r="AM164" s="15" t="s">
        <v>141</v>
      </c>
      <c r="AN164" s="15" t="s">
        <v>185</v>
      </c>
      <c r="AO164" s="15" t="s">
        <v>156</v>
      </c>
      <c r="AP164" s="15"/>
    </row>
    <row r="165" ht="22.5" customHeight="1">
      <c r="A165" s="15" t="s">
        <v>3026</v>
      </c>
      <c r="B165" s="15" t="s">
        <v>3027</v>
      </c>
      <c r="C165" s="15" t="s">
        <v>3028</v>
      </c>
      <c r="D165" s="41">
        <v>41125.0</v>
      </c>
      <c r="E165" s="15" t="s">
        <v>98</v>
      </c>
      <c r="F165" s="15">
        <v>5.533310371E9</v>
      </c>
      <c r="G165" s="15" t="s">
        <v>3029</v>
      </c>
      <c r="H165" s="15" t="s">
        <v>140</v>
      </c>
      <c r="I165" s="18"/>
      <c r="J165" s="15" t="s">
        <v>3030</v>
      </c>
      <c r="K165" s="15" t="s">
        <v>3029</v>
      </c>
      <c r="L165" s="15">
        <v>5.533310371E9</v>
      </c>
      <c r="M165" s="18"/>
      <c r="N165" s="18"/>
      <c r="O165" s="18"/>
      <c r="P165" s="20">
        <v>13.0</v>
      </c>
      <c r="Q165" s="22">
        <v>46026.72994212963</v>
      </c>
      <c r="R165" s="15" t="s">
        <v>107</v>
      </c>
      <c r="S165" s="15" t="s">
        <v>109</v>
      </c>
      <c r="T165" s="15" t="s">
        <v>208</v>
      </c>
      <c r="U165" s="15" t="s">
        <v>228</v>
      </c>
      <c r="V165" s="15" t="s">
        <v>229</v>
      </c>
      <c r="W165" s="15" t="s">
        <v>230</v>
      </c>
      <c r="X165" s="15" t="s">
        <v>120</v>
      </c>
      <c r="Y165" s="18"/>
      <c r="Z165" s="15" t="s">
        <v>117</v>
      </c>
      <c r="AA165" s="58" t="s">
        <v>3031</v>
      </c>
      <c r="AB165" s="15" t="s">
        <v>120</v>
      </c>
      <c r="AC165" s="15" t="s">
        <v>120</v>
      </c>
      <c r="AD165" s="18"/>
      <c r="AE165" s="15" t="s">
        <v>120</v>
      </c>
      <c r="AF165" s="18"/>
      <c r="AG165" s="15" t="s">
        <v>120</v>
      </c>
      <c r="AH165" s="18"/>
      <c r="AI165" s="15" t="s">
        <v>120</v>
      </c>
      <c r="AJ165" s="18"/>
      <c r="AK165" s="18"/>
      <c r="AL165" s="15" t="s">
        <v>242</v>
      </c>
      <c r="AM165" s="15" t="s">
        <v>156</v>
      </c>
      <c r="AN165" s="15" t="s">
        <v>216</v>
      </c>
      <c r="AO165" s="15" t="s">
        <v>185</v>
      </c>
      <c r="AP165" s="15"/>
    </row>
    <row r="166" ht="22.5" customHeight="1">
      <c r="A166" s="15" t="s">
        <v>3032</v>
      </c>
      <c r="B166" s="15" t="s">
        <v>3033</v>
      </c>
      <c r="C166" s="15" t="s">
        <v>3034</v>
      </c>
      <c r="D166" s="41">
        <v>40101.0</v>
      </c>
      <c r="E166" s="15" t="s">
        <v>177</v>
      </c>
      <c r="F166" s="15">
        <v>5.531614338E9</v>
      </c>
      <c r="G166" s="15" t="s">
        <v>3035</v>
      </c>
      <c r="H166" s="15" t="s">
        <v>150</v>
      </c>
      <c r="I166" s="18"/>
      <c r="J166" s="15" t="s">
        <v>3036</v>
      </c>
      <c r="K166" s="15" t="s">
        <v>3037</v>
      </c>
      <c r="L166" s="15">
        <v>5.531614338E9</v>
      </c>
      <c r="M166" s="18"/>
      <c r="N166" s="18"/>
      <c r="O166" s="18"/>
      <c r="P166" s="20">
        <v>16.0</v>
      </c>
      <c r="Q166" s="22">
        <v>46033.497349537036</v>
      </c>
      <c r="R166" s="15" t="s">
        <v>107</v>
      </c>
      <c r="S166" s="15" t="s">
        <v>109</v>
      </c>
      <c r="T166" s="15" t="s">
        <v>160</v>
      </c>
      <c r="U166" s="15" t="s">
        <v>329</v>
      </c>
      <c r="V166" s="15" t="s">
        <v>331</v>
      </c>
      <c r="W166" s="15" t="s">
        <v>332</v>
      </c>
      <c r="X166" s="15" t="s">
        <v>120</v>
      </c>
      <c r="Y166" s="18"/>
      <c r="Z166" s="15" t="s">
        <v>117</v>
      </c>
      <c r="AA166" s="58" t="s">
        <v>3038</v>
      </c>
      <c r="AB166" s="15" t="s">
        <v>120</v>
      </c>
      <c r="AC166" s="18"/>
      <c r="AD166" s="18"/>
      <c r="AE166" s="15" t="s">
        <v>120</v>
      </c>
      <c r="AF166" s="18"/>
      <c r="AG166" s="15" t="s">
        <v>120</v>
      </c>
      <c r="AH166" s="18"/>
      <c r="AI166" s="15" t="s">
        <v>120</v>
      </c>
      <c r="AJ166" s="18"/>
      <c r="AK166" s="18"/>
      <c r="AL166" s="15" t="s">
        <v>128</v>
      </c>
      <c r="AM166" s="15" t="s">
        <v>185</v>
      </c>
      <c r="AN166" s="15" t="s">
        <v>240</v>
      </c>
      <c r="AO166" s="15" t="s">
        <v>156</v>
      </c>
      <c r="AP166" s="15"/>
    </row>
    <row r="167" ht="22.5" customHeight="1">
      <c r="A167" s="15" t="s">
        <v>1577</v>
      </c>
      <c r="B167" s="15" t="s">
        <v>1579</v>
      </c>
      <c r="C167" s="15" t="s">
        <v>1581</v>
      </c>
      <c r="D167" s="41">
        <v>40022.0</v>
      </c>
      <c r="E167" s="15" t="s">
        <v>98</v>
      </c>
      <c r="F167" s="15">
        <v>2.202773459E9</v>
      </c>
      <c r="G167" s="15" t="s">
        <v>1583</v>
      </c>
      <c r="H167" s="15" t="s">
        <v>150</v>
      </c>
      <c r="I167" s="23" t="s">
        <v>135</v>
      </c>
      <c r="J167" s="15" t="s">
        <v>1585</v>
      </c>
      <c r="K167" s="15" t="s">
        <v>1587</v>
      </c>
      <c r="L167" s="15">
        <v>5.581232117E9</v>
      </c>
      <c r="M167" s="15" t="s">
        <v>1589</v>
      </c>
      <c r="N167" s="15" t="s">
        <v>1590</v>
      </c>
      <c r="O167" s="15">
        <v>5.585680312E9</v>
      </c>
      <c r="P167" s="20">
        <v>16.0</v>
      </c>
      <c r="Q167" s="22">
        <v>46025.83627314815</v>
      </c>
      <c r="R167" s="15" t="s">
        <v>107</v>
      </c>
      <c r="S167" s="15" t="s">
        <v>109</v>
      </c>
      <c r="T167" s="15" t="s">
        <v>127</v>
      </c>
      <c r="U167" s="15" t="s">
        <v>234</v>
      </c>
      <c r="V167" s="15" t="s">
        <v>227</v>
      </c>
      <c r="W167" s="15" t="s">
        <v>236</v>
      </c>
      <c r="X167" s="15" t="s">
        <v>120</v>
      </c>
      <c r="Y167" s="18"/>
      <c r="Z167" s="15" t="s">
        <v>120</v>
      </c>
      <c r="AA167" s="18"/>
      <c r="AB167" s="15" t="s">
        <v>117</v>
      </c>
      <c r="AC167" s="15" t="s">
        <v>117</v>
      </c>
      <c r="AD167" s="15" t="s">
        <v>334</v>
      </c>
      <c r="AE167" s="15" t="s">
        <v>120</v>
      </c>
      <c r="AF167" s="18"/>
      <c r="AG167" s="15" t="s">
        <v>117</v>
      </c>
      <c r="AH167" s="15" t="s">
        <v>1598</v>
      </c>
      <c r="AI167" s="15" t="s">
        <v>120</v>
      </c>
      <c r="AJ167" s="18"/>
      <c r="AK167" s="15" t="s">
        <v>135</v>
      </c>
      <c r="AL167" s="15" t="s">
        <v>185</v>
      </c>
      <c r="AM167" s="15" t="s">
        <v>124</v>
      </c>
      <c r="AN167" s="15" t="s">
        <v>240</v>
      </c>
      <c r="AO167" s="15" t="s">
        <v>128</v>
      </c>
      <c r="AP167" s="15"/>
    </row>
    <row r="168" ht="22.5" customHeight="1">
      <c r="A168" s="15" t="s">
        <v>3052</v>
      </c>
      <c r="B168" s="15" t="s">
        <v>3053</v>
      </c>
      <c r="C168" s="15" t="s">
        <v>3054</v>
      </c>
      <c r="D168" s="41">
        <v>41256.0</v>
      </c>
      <c r="E168" s="15" t="s">
        <v>177</v>
      </c>
      <c r="F168" s="15">
        <v>2.203307633E9</v>
      </c>
      <c r="G168" s="15" t="s">
        <v>3055</v>
      </c>
      <c r="H168" s="15" t="s">
        <v>140</v>
      </c>
      <c r="I168" s="23" t="s">
        <v>135</v>
      </c>
      <c r="J168" s="15" t="s">
        <v>3056</v>
      </c>
      <c r="K168" s="15" t="s">
        <v>3057</v>
      </c>
      <c r="L168" s="15" t="s">
        <v>3058</v>
      </c>
      <c r="M168" s="15" t="s">
        <v>3059</v>
      </c>
      <c r="N168" s="15" t="s">
        <v>3057</v>
      </c>
      <c r="O168" s="15" t="s">
        <v>3060</v>
      </c>
      <c r="P168" s="20">
        <v>13.0</v>
      </c>
      <c r="Q168" s="22">
        <v>46035.620833333334</v>
      </c>
      <c r="R168" s="15" t="s">
        <v>107</v>
      </c>
      <c r="S168" s="15" t="s">
        <v>109</v>
      </c>
      <c r="T168" s="15" t="s">
        <v>204</v>
      </c>
      <c r="U168" s="15" t="s">
        <v>367</v>
      </c>
      <c r="V168" s="15" t="s">
        <v>368</v>
      </c>
      <c r="W168" s="15" t="s">
        <v>369</v>
      </c>
      <c r="X168" s="15" t="s">
        <v>120</v>
      </c>
      <c r="Y168" s="18"/>
      <c r="Z168" s="15" t="s">
        <v>120</v>
      </c>
      <c r="AA168" s="18"/>
      <c r="AB168" s="15" t="s">
        <v>120</v>
      </c>
      <c r="AC168" s="15" t="s">
        <v>120</v>
      </c>
      <c r="AD168" s="18"/>
      <c r="AE168" s="15" t="s">
        <v>120</v>
      </c>
      <c r="AF168" s="18"/>
      <c r="AG168" s="15" t="s">
        <v>120</v>
      </c>
      <c r="AH168" s="18"/>
      <c r="AI168" s="15" t="s">
        <v>120</v>
      </c>
      <c r="AJ168" s="18"/>
      <c r="AK168" s="18"/>
      <c r="AL168" s="15" t="s">
        <v>240</v>
      </c>
      <c r="AM168" s="15" t="s">
        <v>128</v>
      </c>
      <c r="AN168" s="15" t="s">
        <v>156</v>
      </c>
      <c r="AO168" s="15" t="s">
        <v>185</v>
      </c>
      <c r="AP168" s="15"/>
    </row>
    <row r="169" ht="22.5" customHeight="1">
      <c r="A169" s="15" t="s">
        <v>3061</v>
      </c>
      <c r="B169" s="15" t="s">
        <v>2109</v>
      </c>
      <c r="C169" s="15" t="s">
        <v>3062</v>
      </c>
      <c r="D169" s="41">
        <v>40415.0</v>
      </c>
      <c r="E169" s="15" t="s">
        <v>98</v>
      </c>
      <c r="F169" s="15">
        <v>0.0</v>
      </c>
      <c r="G169" s="15" t="s">
        <v>3063</v>
      </c>
      <c r="H169" s="15" t="s">
        <v>140</v>
      </c>
      <c r="I169" s="18"/>
      <c r="J169" s="15" t="s">
        <v>2113</v>
      </c>
      <c r="K169" s="15" t="s">
        <v>2114</v>
      </c>
      <c r="L169" s="15">
        <v>5.531576762E9</v>
      </c>
      <c r="M169" s="18"/>
      <c r="N169" s="18"/>
      <c r="O169" s="18"/>
      <c r="P169" s="20">
        <v>15.0</v>
      </c>
      <c r="Q169" s="22">
        <v>46033.534733796296</v>
      </c>
      <c r="R169" s="15" t="s">
        <v>107</v>
      </c>
      <c r="S169" s="15" t="s">
        <v>109</v>
      </c>
      <c r="T169" s="15" t="s">
        <v>127</v>
      </c>
      <c r="U169" s="15" t="s">
        <v>130</v>
      </c>
      <c r="V169" s="15" t="s">
        <v>131</v>
      </c>
      <c r="W169" s="15" t="s">
        <v>132</v>
      </c>
      <c r="X169" s="15" t="s">
        <v>120</v>
      </c>
      <c r="Y169" s="18"/>
      <c r="Z169" s="15" t="s">
        <v>120</v>
      </c>
      <c r="AA169" s="18"/>
      <c r="AB169" s="15" t="s">
        <v>120</v>
      </c>
      <c r="AC169" s="15" t="s">
        <v>120</v>
      </c>
      <c r="AD169" s="18"/>
      <c r="AE169" s="15" t="s">
        <v>120</v>
      </c>
      <c r="AF169" s="18"/>
      <c r="AG169" s="15" t="s">
        <v>120</v>
      </c>
      <c r="AH169" s="18"/>
      <c r="AI169" s="15" t="s">
        <v>120</v>
      </c>
      <c r="AJ169" s="18"/>
      <c r="AK169" s="18"/>
      <c r="AL169" s="15" t="s">
        <v>129</v>
      </c>
      <c r="AM169" s="15" t="s">
        <v>242</v>
      </c>
      <c r="AN169" s="15" t="s">
        <v>185</v>
      </c>
      <c r="AO169" s="15" t="s">
        <v>128</v>
      </c>
      <c r="AP169" s="15"/>
    </row>
    <row r="170" ht="22.5" customHeight="1">
      <c r="A170" s="15" t="s">
        <v>3064</v>
      </c>
      <c r="B170" s="15" t="s">
        <v>3065</v>
      </c>
      <c r="C170" s="15" t="s">
        <v>3066</v>
      </c>
      <c r="D170" s="41">
        <v>40819.0</v>
      </c>
      <c r="E170" s="15" t="s">
        <v>98</v>
      </c>
      <c r="F170" s="15">
        <v>5.551056321E9</v>
      </c>
      <c r="G170" s="15" t="s">
        <v>3067</v>
      </c>
      <c r="H170" s="15" t="s">
        <v>140</v>
      </c>
      <c r="I170" s="23" t="s">
        <v>1537</v>
      </c>
      <c r="J170" s="15" t="s">
        <v>3068</v>
      </c>
      <c r="K170" s="15" t="s">
        <v>3067</v>
      </c>
      <c r="L170" s="15">
        <v>5.66088389E9</v>
      </c>
      <c r="M170" s="18"/>
      <c r="N170" s="18"/>
      <c r="O170" s="18"/>
      <c r="P170" s="20">
        <v>14.0</v>
      </c>
      <c r="Q170" s="22">
        <v>46040.55395833333</v>
      </c>
      <c r="R170" s="15" t="s">
        <v>107</v>
      </c>
      <c r="S170" s="15" t="s">
        <v>109</v>
      </c>
      <c r="T170" s="15" t="s">
        <v>160</v>
      </c>
      <c r="U170" s="15" t="s">
        <v>1265</v>
      </c>
      <c r="V170" s="15" t="s">
        <v>1267</v>
      </c>
      <c r="W170" s="15" t="s">
        <v>1268</v>
      </c>
      <c r="X170" s="15" t="s">
        <v>120</v>
      </c>
      <c r="Y170" s="18"/>
      <c r="Z170" s="15" t="s">
        <v>117</v>
      </c>
      <c r="AA170" s="58" t="s">
        <v>1729</v>
      </c>
      <c r="AB170" s="15" t="s">
        <v>120</v>
      </c>
      <c r="AC170" s="18"/>
      <c r="AD170" s="18"/>
      <c r="AE170" s="15" t="s">
        <v>120</v>
      </c>
      <c r="AF170" s="18"/>
      <c r="AG170" s="15" t="s">
        <v>120</v>
      </c>
      <c r="AH170" s="18"/>
      <c r="AI170" s="15" t="s">
        <v>120</v>
      </c>
      <c r="AJ170" s="18"/>
      <c r="AK170" s="18"/>
      <c r="AL170" s="15" t="s">
        <v>156</v>
      </c>
      <c r="AM170" s="15" t="s">
        <v>141</v>
      </c>
      <c r="AN170" s="15" t="s">
        <v>128</v>
      </c>
      <c r="AO170" s="15" t="s">
        <v>240</v>
      </c>
      <c r="AP170" s="15"/>
    </row>
    <row r="171" ht="22.5" customHeight="1">
      <c r="A171" s="15" t="s">
        <v>3071</v>
      </c>
      <c r="B171" s="15" t="s">
        <v>3072</v>
      </c>
      <c r="C171" s="15" t="s">
        <v>3073</v>
      </c>
      <c r="D171" s="41">
        <v>40906.0</v>
      </c>
      <c r="E171" s="15" t="s">
        <v>98</v>
      </c>
      <c r="F171" s="15">
        <v>5.579632973E9</v>
      </c>
      <c r="G171" s="15" t="s">
        <v>3074</v>
      </c>
      <c r="H171" s="15" t="s">
        <v>140</v>
      </c>
      <c r="I171" s="18"/>
      <c r="J171" s="15" t="s">
        <v>3075</v>
      </c>
      <c r="K171" s="15" t="s">
        <v>3074</v>
      </c>
      <c r="L171" s="15" t="s">
        <v>3076</v>
      </c>
      <c r="M171" s="15" t="s">
        <v>3078</v>
      </c>
      <c r="N171" s="15" t="s">
        <v>3074</v>
      </c>
      <c r="O171" s="15" t="s">
        <v>3076</v>
      </c>
      <c r="P171" s="20">
        <v>14.0</v>
      </c>
      <c r="Q171" s="22">
        <v>46046.964155092595</v>
      </c>
      <c r="R171" s="15" t="s">
        <v>107</v>
      </c>
      <c r="S171" s="15" t="s">
        <v>109</v>
      </c>
      <c r="T171" s="15" t="s">
        <v>208</v>
      </c>
      <c r="U171" s="15" t="s">
        <v>209</v>
      </c>
      <c r="V171" s="15" t="s">
        <v>210</v>
      </c>
      <c r="W171" s="15" t="s">
        <v>211</v>
      </c>
      <c r="X171" s="15" t="s">
        <v>120</v>
      </c>
      <c r="Y171" s="18"/>
      <c r="Z171" s="15" t="s">
        <v>120</v>
      </c>
      <c r="AA171" s="18"/>
      <c r="AB171" s="15" t="s">
        <v>120</v>
      </c>
      <c r="AC171" s="15" t="s">
        <v>120</v>
      </c>
      <c r="AD171" s="18"/>
      <c r="AE171" s="15" t="s">
        <v>120</v>
      </c>
      <c r="AF171" s="18"/>
      <c r="AG171" s="15" t="s">
        <v>120</v>
      </c>
      <c r="AH171" s="18"/>
      <c r="AI171" s="15" t="s">
        <v>120</v>
      </c>
      <c r="AJ171" s="18"/>
      <c r="AK171" s="18"/>
      <c r="AL171" s="15" t="s">
        <v>128</v>
      </c>
      <c r="AM171" s="15" t="s">
        <v>138</v>
      </c>
      <c r="AN171" s="15" t="s">
        <v>124</v>
      </c>
      <c r="AO171" s="15" t="s">
        <v>185</v>
      </c>
      <c r="AP171" s="15"/>
    </row>
    <row r="172" ht="22.5" customHeight="1">
      <c r="A172" s="15" t="s">
        <v>3079</v>
      </c>
      <c r="B172" s="15" t="s">
        <v>3080</v>
      </c>
      <c r="C172" s="15" t="s">
        <v>3081</v>
      </c>
      <c r="D172" s="41">
        <v>40559.0</v>
      </c>
      <c r="E172" s="15" t="s">
        <v>98</v>
      </c>
      <c r="F172" s="15">
        <v>5.613677581E9</v>
      </c>
      <c r="G172" s="15" t="s">
        <v>3082</v>
      </c>
      <c r="H172" s="15" t="s">
        <v>140</v>
      </c>
      <c r="I172" s="18"/>
      <c r="J172" s="15" t="s">
        <v>3083</v>
      </c>
      <c r="K172" s="15" t="s">
        <v>3084</v>
      </c>
      <c r="L172" s="15">
        <v>5.519486655E9</v>
      </c>
      <c r="M172" s="15" t="s">
        <v>3085</v>
      </c>
      <c r="N172" s="15" t="s">
        <v>3086</v>
      </c>
      <c r="O172" s="15">
        <v>5.581003759E9</v>
      </c>
      <c r="P172" s="20">
        <v>15.0</v>
      </c>
      <c r="Q172" s="22">
        <v>46026.37946759259</v>
      </c>
      <c r="R172" s="15" t="s">
        <v>107</v>
      </c>
      <c r="S172" s="15" t="s">
        <v>109</v>
      </c>
      <c r="T172" s="15" t="s">
        <v>208</v>
      </c>
      <c r="U172" s="15" t="s">
        <v>209</v>
      </c>
      <c r="V172" s="15" t="s">
        <v>210</v>
      </c>
      <c r="W172" s="15" t="s">
        <v>211</v>
      </c>
      <c r="X172" s="15" t="s">
        <v>120</v>
      </c>
      <c r="Y172" s="18"/>
      <c r="Z172" s="15" t="s">
        <v>120</v>
      </c>
      <c r="AA172" s="18"/>
      <c r="AB172" s="15" t="s">
        <v>120</v>
      </c>
      <c r="AC172" s="18"/>
      <c r="AD172" s="18"/>
      <c r="AE172" s="15" t="s">
        <v>120</v>
      </c>
      <c r="AF172" s="18"/>
      <c r="AG172" s="15" t="s">
        <v>120</v>
      </c>
      <c r="AH172" s="18"/>
      <c r="AI172" s="15" t="s">
        <v>120</v>
      </c>
      <c r="AJ172" s="18"/>
      <c r="AK172" s="18"/>
      <c r="AL172" s="15" t="s">
        <v>124</v>
      </c>
      <c r="AM172" s="15" t="s">
        <v>141</v>
      </c>
      <c r="AN172" s="15" t="s">
        <v>185</v>
      </c>
      <c r="AO172" s="15" t="s">
        <v>156</v>
      </c>
      <c r="AP172" s="15"/>
    </row>
    <row r="173" ht="22.5" customHeight="1">
      <c r="A173" s="15" t="s">
        <v>3090</v>
      </c>
      <c r="B173" s="15" t="s">
        <v>3091</v>
      </c>
      <c r="C173" s="15" t="s">
        <v>3092</v>
      </c>
      <c r="D173" s="41">
        <v>39802.0</v>
      </c>
      <c r="E173" s="15" t="s">
        <v>177</v>
      </c>
      <c r="F173" s="15">
        <v>5.611171893E9</v>
      </c>
      <c r="G173" s="15" t="s">
        <v>3093</v>
      </c>
      <c r="H173" s="15" t="s">
        <v>150</v>
      </c>
      <c r="I173" s="23" t="s">
        <v>525</v>
      </c>
      <c r="J173" s="15" t="s">
        <v>3094</v>
      </c>
      <c r="K173" s="15" t="s">
        <v>3095</v>
      </c>
      <c r="L173" s="15">
        <v>5.542536473E9</v>
      </c>
      <c r="M173" s="18"/>
      <c r="N173" s="18"/>
      <c r="O173" s="18"/>
      <c r="P173" s="20">
        <v>17.0</v>
      </c>
      <c r="Q173" s="22">
        <v>46026.5515625</v>
      </c>
      <c r="R173" s="15" t="s">
        <v>107</v>
      </c>
      <c r="S173" s="15" t="s">
        <v>109</v>
      </c>
      <c r="T173" s="15" t="s">
        <v>208</v>
      </c>
      <c r="U173" s="15" t="s">
        <v>601</v>
      </c>
      <c r="V173" s="15" t="s">
        <v>602</v>
      </c>
      <c r="W173" s="15" t="s">
        <v>603</v>
      </c>
      <c r="X173" s="15" t="s">
        <v>120</v>
      </c>
      <c r="Y173" s="18"/>
      <c r="Z173" s="15" t="s">
        <v>120</v>
      </c>
      <c r="AA173" s="18"/>
      <c r="AB173" s="15" t="s">
        <v>120</v>
      </c>
      <c r="AC173" s="15" t="s">
        <v>120</v>
      </c>
      <c r="AD173" s="18"/>
      <c r="AE173" s="15" t="s">
        <v>120</v>
      </c>
      <c r="AF173" s="18"/>
      <c r="AG173" s="15" t="s">
        <v>120</v>
      </c>
      <c r="AH173" s="18"/>
      <c r="AI173" s="15" t="s">
        <v>120</v>
      </c>
      <c r="AJ173" s="18"/>
      <c r="AK173" s="18"/>
      <c r="AL173" s="15" t="s">
        <v>216</v>
      </c>
      <c r="AM173" s="15" t="s">
        <v>156</v>
      </c>
      <c r="AN173" s="15" t="s">
        <v>185</v>
      </c>
      <c r="AO173" s="15" t="s">
        <v>129</v>
      </c>
      <c r="AP173" s="15"/>
    </row>
    <row r="174" ht="22.5" customHeight="1">
      <c r="A174" s="15" t="s">
        <v>3096</v>
      </c>
      <c r="B174" s="15" t="s">
        <v>3097</v>
      </c>
      <c r="C174" s="15" t="s">
        <v>3098</v>
      </c>
      <c r="D174" s="41">
        <v>40770.0</v>
      </c>
      <c r="E174" s="15" t="s">
        <v>98</v>
      </c>
      <c r="F174" s="15">
        <v>5.511833444E9</v>
      </c>
      <c r="G174" s="15" t="s">
        <v>3099</v>
      </c>
      <c r="H174" s="15" t="s">
        <v>101</v>
      </c>
      <c r="I174" s="18"/>
      <c r="J174" s="15" t="s">
        <v>3100</v>
      </c>
      <c r="K174" s="15" t="s">
        <v>3101</v>
      </c>
      <c r="L174" s="15">
        <v>5.612225391E9</v>
      </c>
      <c r="M174" s="15" t="s">
        <v>3102</v>
      </c>
      <c r="N174" s="15" t="s">
        <v>3104</v>
      </c>
      <c r="O174" s="15">
        <v>5.639058171E9</v>
      </c>
      <c r="P174" s="20">
        <v>14.0</v>
      </c>
      <c r="Q174" s="22">
        <v>46021.92649305556</v>
      </c>
      <c r="R174" s="15" t="s">
        <v>260</v>
      </c>
      <c r="S174" s="15" t="s">
        <v>109</v>
      </c>
      <c r="T174" s="15" t="s">
        <v>111</v>
      </c>
      <c r="U174" s="15" t="s">
        <v>112</v>
      </c>
      <c r="V174" s="15" t="s">
        <v>114</v>
      </c>
      <c r="W174" s="15" t="s">
        <v>115</v>
      </c>
      <c r="X174" s="15" t="s">
        <v>120</v>
      </c>
      <c r="Y174" s="18"/>
      <c r="Z174" s="15" t="s">
        <v>117</v>
      </c>
      <c r="AA174" s="58" t="s">
        <v>1729</v>
      </c>
      <c r="AB174" s="15" t="s">
        <v>120</v>
      </c>
      <c r="AC174" s="18"/>
      <c r="AD174" s="18"/>
      <c r="AE174" s="15" t="s">
        <v>120</v>
      </c>
      <c r="AF174" s="18"/>
      <c r="AG174" s="15" t="s">
        <v>120</v>
      </c>
      <c r="AH174" s="18"/>
      <c r="AI174" s="15" t="s">
        <v>120</v>
      </c>
      <c r="AJ174" s="18"/>
      <c r="AK174" s="18"/>
      <c r="AL174" s="15" t="s">
        <v>240</v>
      </c>
      <c r="AM174" s="15" t="s">
        <v>156</v>
      </c>
      <c r="AN174" s="15" t="s">
        <v>216</v>
      </c>
      <c r="AO174" s="15" t="s">
        <v>128</v>
      </c>
      <c r="AP174" s="15"/>
    </row>
    <row r="175" ht="22.5" customHeight="1">
      <c r="A175" s="15" t="s">
        <v>2763</v>
      </c>
      <c r="B175" s="15" t="s">
        <v>2132</v>
      </c>
      <c r="C175" s="15" t="s">
        <v>3107</v>
      </c>
      <c r="D175" s="41">
        <v>39946.0</v>
      </c>
      <c r="E175" s="15" t="s">
        <v>98</v>
      </c>
      <c r="F175" s="15">
        <v>5.523723156E9</v>
      </c>
      <c r="G175" s="15" t="s">
        <v>3108</v>
      </c>
      <c r="H175" s="15" t="s">
        <v>140</v>
      </c>
      <c r="I175" s="23" t="s">
        <v>1325</v>
      </c>
      <c r="J175" s="15" t="s">
        <v>1794</v>
      </c>
      <c r="K175" s="15" t="s">
        <v>1796</v>
      </c>
      <c r="L175" s="15">
        <v>5.559632729E9</v>
      </c>
      <c r="M175" s="18"/>
      <c r="N175" s="18"/>
      <c r="O175" s="18"/>
      <c r="P175" s="20">
        <v>16.0</v>
      </c>
      <c r="Q175" s="22">
        <v>46039.86887731482</v>
      </c>
      <c r="R175" s="15" t="s">
        <v>107</v>
      </c>
      <c r="S175" s="15" t="s">
        <v>109</v>
      </c>
      <c r="T175" s="15" t="s">
        <v>204</v>
      </c>
      <c r="U175" s="15" t="s">
        <v>295</v>
      </c>
      <c r="V175" s="15" t="s">
        <v>298</v>
      </c>
      <c r="W175" s="15" t="s">
        <v>299</v>
      </c>
      <c r="X175" s="15" t="s">
        <v>120</v>
      </c>
      <c r="Y175" s="18"/>
      <c r="Z175" s="15" t="s">
        <v>120</v>
      </c>
      <c r="AA175" s="18"/>
      <c r="AB175" s="15" t="s">
        <v>120</v>
      </c>
      <c r="AC175" s="18"/>
      <c r="AD175" s="18"/>
      <c r="AE175" s="15" t="s">
        <v>120</v>
      </c>
      <c r="AF175" s="18"/>
      <c r="AG175" s="15" t="s">
        <v>120</v>
      </c>
      <c r="AH175" s="18"/>
      <c r="AI175" s="15" t="s">
        <v>120</v>
      </c>
      <c r="AJ175" s="18"/>
      <c r="AK175" s="15" t="s">
        <v>3111</v>
      </c>
      <c r="AL175" s="15" t="s">
        <v>138</v>
      </c>
      <c r="AM175" s="15" t="s">
        <v>216</v>
      </c>
      <c r="AN175" s="15" t="s">
        <v>124</v>
      </c>
      <c r="AO175" s="15" t="s">
        <v>242</v>
      </c>
      <c r="AP175" s="15"/>
    </row>
    <row r="176" ht="22.5" customHeight="1">
      <c r="A176" s="15" t="s">
        <v>157</v>
      </c>
      <c r="B176" s="15" t="s">
        <v>3112</v>
      </c>
      <c r="C176" s="15" t="s">
        <v>3113</v>
      </c>
      <c r="D176" s="41">
        <v>41179.0</v>
      </c>
      <c r="E176" s="15" t="s">
        <v>98</v>
      </c>
      <c r="F176" s="15">
        <v>5.583790021E9</v>
      </c>
      <c r="G176" s="15" t="s">
        <v>3114</v>
      </c>
      <c r="H176" s="15" t="s">
        <v>140</v>
      </c>
      <c r="I176" s="18"/>
      <c r="J176" s="15" t="s">
        <v>3116</v>
      </c>
      <c r="K176" s="15" t="s">
        <v>3114</v>
      </c>
      <c r="L176" s="15">
        <v>5.583790021E9</v>
      </c>
      <c r="M176" s="18"/>
      <c r="N176" s="18"/>
      <c r="O176" s="18"/>
      <c r="P176" s="20">
        <v>13.0</v>
      </c>
      <c r="Q176" s="22">
        <v>46033.58572916667</v>
      </c>
      <c r="R176" s="15" t="s">
        <v>107</v>
      </c>
      <c r="S176" s="15" t="s">
        <v>109</v>
      </c>
      <c r="T176" s="15" t="s">
        <v>171</v>
      </c>
      <c r="U176" s="15" t="s">
        <v>173</v>
      </c>
      <c r="V176" s="15" t="s">
        <v>167</v>
      </c>
      <c r="W176" s="15" t="s">
        <v>175</v>
      </c>
      <c r="X176" s="15" t="s">
        <v>120</v>
      </c>
      <c r="Y176" s="18"/>
      <c r="Z176" s="15" t="s">
        <v>120</v>
      </c>
      <c r="AA176" s="18"/>
      <c r="AB176" s="15" t="s">
        <v>120</v>
      </c>
      <c r="AC176" s="15" t="s">
        <v>120</v>
      </c>
      <c r="AD176" s="18"/>
      <c r="AE176" s="15" t="s">
        <v>120</v>
      </c>
      <c r="AF176" s="18"/>
      <c r="AG176" s="15" t="s">
        <v>120</v>
      </c>
      <c r="AH176" s="18"/>
      <c r="AI176" s="15" t="s">
        <v>120</v>
      </c>
      <c r="AJ176" s="18"/>
      <c r="AK176" s="18"/>
      <c r="AL176" s="15" t="s">
        <v>156</v>
      </c>
      <c r="AM176" s="15" t="s">
        <v>128</v>
      </c>
      <c r="AN176" s="15" t="s">
        <v>129</v>
      </c>
      <c r="AO176" s="15" t="s">
        <v>129</v>
      </c>
      <c r="AP176" s="15"/>
    </row>
    <row r="177" ht="22.5" customHeight="1">
      <c r="A177" s="15" t="s">
        <v>3126</v>
      </c>
      <c r="B177" s="15" t="s">
        <v>3127</v>
      </c>
      <c r="C177" s="15" t="s">
        <v>3128</v>
      </c>
      <c r="D177" s="41">
        <v>40967.0</v>
      </c>
      <c r="E177" s="15" t="s">
        <v>177</v>
      </c>
      <c r="F177" s="15">
        <v>5.641120442E9</v>
      </c>
      <c r="G177" s="15" t="s">
        <v>3129</v>
      </c>
      <c r="H177" s="15" t="s">
        <v>140</v>
      </c>
      <c r="I177" s="23" t="s">
        <v>1325</v>
      </c>
      <c r="J177" s="15" t="s">
        <v>3130</v>
      </c>
      <c r="K177" s="15" t="s">
        <v>3131</v>
      </c>
      <c r="L177" s="15">
        <v>5.611708495E9</v>
      </c>
      <c r="M177" s="18"/>
      <c r="N177" s="18"/>
      <c r="O177" s="18"/>
      <c r="P177" s="20">
        <v>14.0</v>
      </c>
      <c r="Q177" s="22">
        <v>46035.737974537034</v>
      </c>
      <c r="R177" s="15" t="s">
        <v>107</v>
      </c>
      <c r="S177" s="15" t="s">
        <v>109</v>
      </c>
      <c r="T177" s="15" t="s">
        <v>204</v>
      </c>
      <c r="U177" s="15" t="s">
        <v>357</v>
      </c>
      <c r="V177" s="15" t="s">
        <v>359</v>
      </c>
      <c r="W177" s="15" t="s">
        <v>362</v>
      </c>
      <c r="X177" s="15" t="s">
        <v>120</v>
      </c>
      <c r="Y177" s="18"/>
      <c r="Z177" s="15" t="s">
        <v>120</v>
      </c>
      <c r="AA177" s="18"/>
      <c r="AB177" s="15" t="s">
        <v>120</v>
      </c>
      <c r="AC177" s="15" t="s">
        <v>120</v>
      </c>
      <c r="AD177" s="18"/>
      <c r="AE177" s="15" t="s">
        <v>120</v>
      </c>
      <c r="AF177" s="18"/>
      <c r="AG177" s="15" t="s">
        <v>120</v>
      </c>
      <c r="AH177" s="18"/>
      <c r="AI177" s="15" t="s">
        <v>120</v>
      </c>
      <c r="AJ177" s="18"/>
      <c r="AK177" s="18"/>
      <c r="AL177" s="15" t="s">
        <v>156</v>
      </c>
      <c r="AM177" s="15" t="s">
        <v>185</v>
      </c>
      <c r="AN177" s="15" t="s">
        <v>124</v>
      </c>
      <c r="AO177" s="15" t="s">
        <v>216</v>
      </c>
      <c r="AP177" s="15"/>
    </row>
    <row r="178" ht="22.5" customHeight="1">
      <c r="A178" s="15" t="s">
        <v>3136</v>
      </c>
      <c r="B178" s="15" t="s">
        <v>3137</v>
      </c>
      <c r="C178" s="15" t="s">
        <v>3138</v>
      </c>
      <c r="D178" s="41">
        <v>41174.0</v>
      </c>
      <c r="E178" s="15" t="s">
        <v>177</v>
      </c>
      <c r="F178" s="15">
        <v>5.523170309E9</v>
      </c>
      <c r="G178" s="15" t="s">
        <v>3139</v>
      </c>
      <c r="H178" s="15" t="s">
        <v>101</v>
      </c>
      <c r="I178" s="18"/>
      <c r="J178" s="15" t="s">
        <v>3140</v>
      </c>
      <c r="K178" s="15" t="s">
        <v>3141</v>
      </c>
      <c r="L178" s="15">
        <v>5.544817532E9</v>
      </c>
      <c r="M178" s="18"/>
      <c r="N178" s="18"/>
      <c r="O178" s="18"/>
      <c r="P178" s="20">
        <v>13.0</v>
      </c>
      <c r="Q178" s="22">
        <v>46024.939247685186</v>
      </c>
      <c r="R178" s="15" t="s">
        <v>107</v>
      </c>
      <c r="S178" s="15" t="s">
        <v>109</v>
      </c>
      <c r="T178" s="15" t="s">
        <v>204</v>
      </c>
      <c r="U178" s="15" t="s">
        <v>295</v>
      </c>
      <c r="V178" s="15" t="s">
        <v>298</v>
      </c>
      <c r="W178" s="15" t="s">
        <v>299</v>
      </c>
      <c r="X178" s="15" t="s">
        <v>120</v>
      </c>
      <c r="Y178" s="18"/>
      <c r="Z178" s="15" t="s">
        <v>117</v>
      </c>
      <c r="AA178" s="58" t="s">
        <v>3142</v>
      </c>
      <c r="AB178" s="15" t="s">
        <v>120</v>
      </c>
      <c r="AC178" s="18"/>
      <c r="AD178" s="18"/>
      <c r="AE178" s="15" t="s">
        <v>120</v>
      </c>
      <c r="AF178" s="18"/>
      <c r="AG178" s="15" t="s">
        <v>120</v>
      </c>
      <c r="AH178" s="18"/>
      <c r="AI178" s="15" t="s">
        <v>120</v>
      </c>
      <c r="AJ178" s="18"/>
      <c r="AK178" s="18"/>
      <c r="AL178" s="15" t="s">
        <v>141</v>
      </c>
      <c r="AM178" s="15" t="s">
        <v>185</v>
      </c>
      <c r="AN178" s="15" t="s">
        <v>156</v>
      </c>
      <c r="AO178" s="15" t="s">
        <v>216</v>
      </c>
      <c r="AP178" s="15"/>
    </row>
    <row r="179" ht="22.5" customHeight="1">
      <c r="A179" s="15" t="s">
        <v>3144</v>
      </c>
      <c r="B179" s="15" t="s">
        <v>3145</v>
      </c>
      <c r="C179" s="15" t="s">
        <v>3146</v>
      </c>
      <c r="D179" s="41">
        <v>39825.0</v>
      </c>
      <c r="E179" s="15" t="s">
        <v>98</v>
      </c>
      <c r="F179" s="15">
        <v>5.658985982E9</v>
      </c>
      <c r="G179" s="15" t="s">
        <v>3148</v>
      </c>
      <c r="H179" s="15" t="s">
        <v>101</v>
      </c>
      <c r="I179" s="18"/>
      <c r="J179" s="15" t="s">
        <v>3149</v>
      </c>
      <c r="K179" s="15" t="s">
        <v>3148</v>
      </c>
      <c r="L179" s="15">
        <v>5.658985982E9</v>
      </c>
      <c r="M179" s="18"/>
      <c r="N179" s="18"/>
      <c r="O179" s="18"/>
      <c r="P179" s="20">
        <v>17.0</v>
      </c>
      <c r="Q179" s="22">
        <v>46036.79752314815</v>
      </c>
      <c r="R179" s="15" t="s">
        <v>107</v>
      </c>
      <c r="S179" s="15" t="s">
        <v>109</v>
      </c>
      <c r="T179" s="15" t="s">
        <v>171</v>
      </c>
      <c r="U179" s="15" t="s">
        <v>2149</v>
      </c>
      <c r="V179" s="15" t="s">
        <v>2141</v>
      </c>
      <c r="W179" s="15" t="s">
        <v>2151</v>
      </c>
      <c r="X179" s="15" t="s">
        <v>120</v>
      </c>
      <c r="Y179" s="18"/>
      <c r="Z179" s="15" t="s">
        <v>120</v>
      </c>
      <c r="AA179" s="18"/>
      <c r="AB179" s="15" t="s">
        <v>120</v>
      </c>
      <c r="AC179" s="18"/>
      <c r="AD179" s="18"/>
      <c r="AE179" s="15" t="s">
        <v>120</v>
      </c>
      <c r="AF179" s="18"/>
      <c r="AG179" s="15" t="s">
        <v>120</v>
      </c>
      <c r="AH179" s="18"/>
      <c r="AI179" s="15" t="s">
        <v>120</v>
      </c>
      <c r="AJ179" s="18"/>
      <c r="AK179" s="18"/>
      <c r="AL179" s="15" t="s">
        <v>141</v>
      </c>
      <c r="AM179" s="15" t="s">
        <v>129</v>
      </c>
      <c r="AN179" s="15" t="s">
        <v>128</v>
      </c>
      <c r="AO179" s="15" t="s">
        <v>185</v>
      </c>
      <c r="AP179" s="15"/>
    </row>
    <row r="180" ht="22.5" customHeight="1">
      <c r="A180" s="15" t="s">
        <v>3150</v>
      </c>
      <c r="B180" s="15" t="s">
        <v>1916</v>
      </c>
      <c r="C180" s="15" t="s">
        <v>3151</v>
      </c>
      <c r="D180" s="41">
        <v>39689.0</v>
      </c>
      <c r="E180" s="15" t="s">
        <v>177</v>
      </c>
      <c r="F180" s="15" t="s">
        <v>3152</v>
      </c>
      <c r="G180" s="15" t="s">
        <v>3153</v>
      </c>
      <c r="H180" s="15" t="s">
        <v>101</v>
      </c>
      <c r="I180" s="18"/>
      <c r="J180" s="15" t="s">
        <v>1926</v>
      </c>
      <c r="K180" s="15" t="s">
        <v>1927</v>
      </c>
      <c r="L180" s="15">
        <v>5.526562276E9</v>
      </c>
      <c r="M180" s="15" t="s">
        <v>1930</v>
      </c>
      <c r="N180" s="15" t="s">
        <v>1931</v>
      </c>
      <c r="O180" s="15">
        <v>5.548543468E9</v>
      </c>
      <c r="P180" s="20">
        <v>17.0</v>
      </c>
      <c r="Q180" s="22">
        <v>46030.61108796296</v>
      </c>
      <c r="R180" s="15" t="s">
        <v>107</v>
      </c>
      <c r="S180" s="15" t="s">
        <v>109</v>
      </c>
      <c r="T180" s="15" t="s">
        <v>208</v>
      </c>
      <c r="U180" s="15" t="s">
        <v>1599</v>
      </c>
      <c r="V180" s="15" t="s">
        <v>1600</v>
      </c>
      <c r="W180" s="15" t="s">
        <v>1602</v>
      </c>
      <c r="X180" s="15" t="s">
        <v>120</v>
      </c>
      <c r="Y180" s="18"/>
      <c r="Z180" s="15" t="s">
        <v>120</v>
      </c>
      <c r="AA180" s="18"/>
      <c r="AB180" s="15" t="s">
        <v>120</v>
      </c>
      <c r="AC180" s="15" t="s">
        <v>120</v>
      </c>
      <c r="AD180" s="18"/>
      <c r="AE180" s="15" t="s">
        <v>120</v>
      </c>
      <c r="AF180" s="18"/>
      <c r="AG180" s="15" t="s">
        <v>120</v>
      </c>
      <c r="AH180" s="18"/>
      <c r="AI180" s="15" t="s">
        <v>120</v>
      </c>
      <c r="AJ180" s="18"/>
      <c r="AK180" s="18"/>
      <c r="AL180" s="15" t="s">
        <v>156</v>
      </c>
      <c r="AM180" s="15" t="s">
        <v>185</v>
      </c>
      <c r="AN180" s="15" t="s">
        <v>126</v>
      </c>
      <c r="AO180" s="15" t="s">
        <v>124</v>
      </c>
      <c r="AP180" s="15"/>
    </row>
    <row r="181" ht="22.5" customHeight="1">
      <c r="A181" s="15" t="s">
        <v>3157</v>
      </c>
      <c r="B181" s="15" t="s">
        <v>3158</v>
      </c>
      <c r="C181" s="15" t="s">
        <v>3159</v>
      </c>
      <c r="D181" s="41">
        <v>39864.0</v>
      </c>
      <c r="E181" s="15" t="s">
        <v>98</v>
      </c>
      <c r="F181" s="15">
        <v>6.145970673E9</v>
      </c>
      <c r="G181" s="15" t="s">
        <v>3161</v>
      </c>
      <c r="H181" s="15" t="s">
        <v>140</v>
      </c>
      <c r="I181" s="18"/>
      <c r="J181" s="15" t="s">
        <v>3162</v>
      </c>
      <c r="K181" s="15" t="s">
        <v>3163</v>
      </c>
      <c r="L181" s="15">
        <v>5.51866835E9</v>
      </c>
      <c r="M181" s="15" t="s">
        <v>3164</v>
      </c>
      <c r="N181" s="15" t="s">
        <v>3165</v>
      </c>
      <c r="O181" s="15">
        <v>5.5743333412E10</v>
      </c>
      <c r="P181" s="20">
        <v>17.0</v>
      </c>
      <c r="Q181" s="22">
        <v>46035.331342592595</v>
      </c>
      <c r="R181" s="15" t="s">
        <v>107</v>
      </c>
      <c r="S181" s="15" t="s">
        <v>109</v>
      </c>
      <c r="T181" s="15" t="s">
        <v>171</v>
      </c>
      <c r="U181" s="15" t="s">
        <v>1048</v>
      </c>
      <c r="V181" s="15" t="s">
        <v>1050</v>
      </c>
      <c r="W181" s="15" t="s">
        <v>1051</v>
      </c>
      <c r="X181" s="15" t="s">
        <v>120</v>
      </c>
      <c r="Y181" s="18"/>
      <c r="Z181" s="15" t="s">
        <v>120</v>
      </c>
      <c r="AA181" s="18"/>
      <c r="AB181" s="15" t="s">
        <v>120</v>
      </c>
      <c r="AC181" s="18"/>
      <c r="AD181" s="18"/>
      <c r="AE181" s="15" t="s">
        <v>120</v>
      </c>
      <c r="AF181" s="18"/>
      <c r="AG181" s="15" t="s">
        <v>120</v>
      </c>
      <c r="AH181" s="18"/>
      <c r="AI181" s="15" t="s">
        <v>120</v>
      </c>
      <c r="AJ181" s="18"/>
      <c r="AK181" s="18"/>
      <c r="AL181" s="15" t="s">
        <v>129</v>
      </c>
      <c r="AM181" s="15" t="s">
        <v>126</v>
      </c>
      <c r="AN181" s="15" t="s">
        <v>138</v>
      </c>
      <c r="AO181" s="15" t="s">
        <v>216</v>
      </c>
      <c r="AP181" s="15"/>
    </row>
    <row r="182" ht="22.5" customHeight="1">
      <c r="A182" s="15" t="s">
        <v>3172</v>
      </c>
      <c r="B182" s="15" t="s">
        <v>3173</v>
      </c>
      <c r="C182" s="15" t="s">
        <v>3174</v>
      </c>
      <c r="D182" s="41">
        <v>41088.0</v>
      </c>
      <c r="E182" s="15" t="s">
        <v>98</v>
      </c>
      <c r="F182" s="15">
        <v>5.516173384E9</v>
      </c>
      <c r="G182" s="15" t="s">
        <v>3175</v>
      </c>
      <c r="H182" s="15" t="s">
        <v>140</v>
      </c>
      <c r="I182" s="18"/>
      <c r="J182" s="15" t="s">
        <v>3176</v>
      </c>
      <c r="K182" s="15" t="s">
        <v>3175</v>
      </c>
      <c r="L182" s="15">
        <v>5.516173384E9</v>
      </c>
      <c r="M182" s="18"/>
      <c r="N182" s="18"/>
      <c r="O182" s="18"/>
      <c r="P182" s="20">
        <v>13.0</v>
      </c>
      <c r="Q182" s="22">
        <v>46035.77181712963</v>
      </c>
      <c r="R182" s="15" t="s">
        <v>107</v>
      </c>
      <c r="S182" s="15" t="s">
        <v>109</v>
      </c>
      <c r="T182" s="15" t="s">
        <v>204</v>
      </c>
      <c r="U182" s="15" t="s">
        <v>699</v>
      </c>
      <c r="V182" s="15" t="s">
        <v>700</v>
      </c>
      <c r="W182" s="15" t="s">
        <v>702</v>
      </c>
      <c r="X182" s="15" t="s">
        <v>120</v>
      </c>
      <c r="Y182" s="18"/>
      <c r="Z182" s="15" t="s">
        <v>120</v>
      </c>
      <c r="AA182" s="18"/>
      <c r="AB182" s="15" t="s">
        <v>120</v>
      </c>
      <c r="AC182" s="18"/>
      <c r="AD182" s="15" t="s">
        <v>2343</v>
      </c>
      <c r="AE182" s="15" t="s">
        <v>120</v>
      </c>
      <c r="AF182" s="18"/>
      <c r="AG182" s="15" t="s">
        <v>120</v>
      </c>
      <c r="AH182" s="18"/>
      <c r="AI182" s="15" t="s">
        <v>120</v>
      </c>
      <c r="AJ182" s="18"/>
      <c r="AK182" s="15" t="s">
        <v>1325</v>
      </c>
      <c r="AL182" s="15" t="s">
        <v>141</v>
      </c>
      <c r="AM182" s="15" t="s">
        <v>138</v>
      </c>
      <c r="AN182" s="15" t="s">
        <v>242</v>
      </c>
      <c r="AO182" s="15" t="s">
        <v>124</v>
      </c>
      <c r="AP182" s="15"/>
    </row>
    <row r="183" ht="22.5" customHeight="1">
      <c r="A183" s="15" t="s">
        <v>3177</v>
      </c>
      <c r="B183" s="15" t="s">
        <v>3178</v>
      </c>
      <c r="C183" s="15" t="s">
        <v>3179</v>
      </c>
      <c r="D183" s="41">
        <v>39668.0</v>
      </c>
      <c r="E183" s="15" t="s">
        <v>98</v>
      </c>
      <c r="F183" s="15">
        <v>5.620824841E9</v>
      </c>
      <c r="G183" s="15" t="s">
        <v>3180</v>
      </c>
      <c r="H183" s="15" t="s">
        <v>140</v>
      </c>
      <c r="I183" s="18"/>
      <c r="J183" s="15" t="s">
        <v>3181</v>
      </c>
      <c r="K183" s="15" t="s">
        <v>3182</v>
      </c>
      <c r="L183" s="15">
        <v>5.564631969E9</v>
      </c>
      <c r="M183" s="18"/>
      <c r="N183" s="18"/>
      <c r="O183" s="18"/>
      <c r="P183" s="20">
        <v>17.0</v>
      </c>
      <c r="Q183" s="22">
        <v>46021.70994212963</v>
      </c>
      <c r="R183" s="15" t="s">
        <v>107</v>
      </c>
      <c r="S183" s="15" t="s">
        <v>109</v>
      </c>
      <c r="T183" s="15" t="s">
        <v>204</v>
      </c>
      <c r="U183" s="15" t="s">
        <v>367</v>
      </c>
      <c r="V183" s="15" t="s">
        <v>368</v>
      </c>
      <c r="W183" s="15" t="s">
        <v>369</v>
      </c>
      <c r="X183" s="15" t="s">
        <v>120</v>
      </c>
      <c r="Y183" s="18"/>
      <c r="Z183" s="15" t="s">
        <v>120</v>
      </c>
      <c r="AA183" s="18"/>
      <c r="AB183" s="15" t="s">
        <v>120</v>
      </c>
      <c r="AC183" s="15" t="s">
        <v>120</v>
      </c>
      <c r="AD183" s="18"/>
      <c r="AE183" s="15" t="s">
        <v>120</v>
      </c>
      <c r="AF183" s="18"/>
      <c r="AG183" s="15" t="s">
        <v>120</v>
      </c>
      <c r="AH183" s="18"/>
      <c r="AI183" s="15" t="s">
        <v>120</v>
      </c>
      <c r="AJ183" s="18"/>
      <c r="AK183" s="18"/>
      <c r="AL183" s="15" t="s">
        <v>185</v>
      </c>
      <c r="AM183" s="15" t="s">
        <v>216</v>
      </c>
      <c r="AN183" s="15" t="s">
        <v>126</v>
      </c>
      <c r="AO183" s="15" t="s">
        <v>124</v>
      </c>
      <c r="AP183" s="15"/>
    </row>
    <row r="184" ht="22.5" customHeight="1">
      <c r="A184" s="15" t="s">
        <v>3183</v>
      </c>
      <c r="B184" s="15" t="s">
        <v>2643</v>
      </c>
      <c r="C184" s="15" t="s">
        <v>3184</v>
      </c>
      <c r="D184" s="41">
        <v>41241.0</v>
      </c>
      <c r="E184" s="15" t="s">
        <v>177</v>
      </c>
      <c r="F184" s="15">
        <v>5.545993258E9</v>
      </c>
      <c r="G184" s="15" t="s">
        <v>2653</v>
      </c>
      <c r="H184" s="15" t="s">
        <v>150</v>
      </c>
      <c r="I184" s="18"/>
      <c r="J184" s="15" t="s">
        <v>2652</v>
      </c>
      <c r="K184" s="15" t="s">
        <v>2653</v>
      </c>
      <c r="L184" s="15">
        <v>5.545993258E9</v>
      </c>
      <c r="M184" s="18"/>
      <c r="N184" s="18"/>
      <c r="O184" s="18"/>
      <c r="P184" s="20">
        <v>13.0</v>
      </c>
      <c r="Q184" s="22">
        <v>46040.64394675926</v>
      </c>
      <c r="R184" s="15" t="s">
        <v>107</v>
      </c>
      <c r="S184" s="15" t="s">
        <v>109</v>
      </c>
      <c r="T184" s="15" t="s">
        <v>192</v>
      </c>
      <c r="U184" s="15" t="s">
        <v>485</v>
      </c>
      <c r="V184" s="15" t="s">
        <v>486</v>
      </c>
      <c r="W184" s="15" t="s">
        <v>487</v>
      </c>
      <c r="X184" s="15" t="s">
        <v>120</v>
      </c>
      <c r="Y184" s="18"/>
      <c r="Z184" s="15" t="s">
        <v>120</v>
      </c>
      <c r="AA184" s="18"/>
      <c r="AB184" s="15" t="s">
        <v>120</v>
      </c>
      <c r="AC184" s="15" t="s">
        <v>120</v>
      </c>
      <c r="AD184" s="18"/>
      <c r="AE184" s="15" t="s">
        <v>120</v>
      </c>
      <c r="AF184" s="18"/>
      <c r="AG184" s="15" t="s">
        <v>120</v>
      </c>
      <c r="AH184" s="18"/>
      <c r="AI184" s="15" t="s">
        <v>120</v>
      </c>
      <c r="AJ184" s="18"/>
      <c r="AK184" s="18"/>
      <c r="AL184" s="15" t="s">
        <v>156</v>
      </c>
      <c r="AM184" s="15" t="s">
        <v>185</v>
      </c>
      <c r="AN184" s="15" t="s">
        <v>128</v>
      </c>
      <c r="AO184" s="15" t="s">
        <v>240</v>
      </c>
      <c r="AP184" s="15"/>
    </row>
    <row r="185" ht="22.5" customHeight="1">
      <c r="A185" s="15" t="s">
        <v>3186</v>
      </c>
      <c r="B185" s="15" t="s">
        <v>3187</v>
      </c>
      <c r="C185" s="15" t="s">
        <v>3188</v>
      </c>
      <c r="D185" s="41">
        <v>40888.0</v>
      </c>
      <c r="E185" s="15" t="s">
        <v>98</v>
      </c>
      <c r="F185" s="15">
        <v>5.663803234E9</v>
      </c>
      <c r="G185" s="15" t="s">
        <v>3190</v>
      </c>
      <c r="H185" s="15" t="s">
        <v>140</v>
      </c>
      <c r="I185" s="18"/>
      <c r="J185" s="15" t="s">
        <v>3191</v>
      </c>
      <c r="K185" s="15" t="s">
        <v>3192</v>
      </c>
      <c r="L185" s="15">
        <v>5.567425398E9</v>
      </c>
      <c r="M185" s="15" t="s">
        <v>3193</v>
      </c>
      <c r="N185" s="15" t="s">
        <v>3190</v>
      </c>
      <c r="O185" s="15">
        <v>5.660160837E9</v>
      </c>
      <c r="P185" s="20">
        <v>14.0</v>
      </c>
      <c r="Q185" s="22">
        <v>46018.40710648148</v>
      </c>
      <c r="R185" s="15" t="s">
        <v>107</v>
      </c>
      <c r="S185" s="15" t="s">
        <v>109</v>
      </c>
      <c r="T185" s="15" t="s">
        <v>204</v>
      </c>
      <c r="U185" s="15" t="s">
        <v>311</v>
      </c>
      <c r="V185" s="15" t="s">
        <v>312</v>
      </c>
      <c r="W185" s="15" t="s">
        <v>313</v>
      </c>
      <c r="X185" s="15" t="s">
        <v>120</v>
      </c>
      <c r="Y185" s="18"/>
      <c r="Z185" s="15" t="s">
        <v>120</v>
      </c>
      <c r="AA185" s="18"/>
      <c r="AB185" s="15" t="s">
        <v>120</v>
      </c>
      <c r="AC185" s="15" t="s">
        <v>120</v>
      </c>
      <c r="AD185" s="18"/>
      <c r="AE185" s="15" t="s">
        <v>120</v>
      </c>
      <c r="AF185" s="18"/>
      <c r="AG185" s="15" t="s">
        <v>120</v>
      </c>
      <c r="AH185" s="18"/>
      <c r="AI185" s="15" t="s">
        <v>120</v>
      </c>
      <c r="AJ185" s="18"/>
      <c r="AK185" s="18"/>
      <c r="AL185" s="15" t="s">
        <v>138</v>
      </c>
      <c r="AM185" s="15" t="s">
        <v>124</v>
      </c>
      <c r="AN185" s="15" t="s">
        <v>242</v>
      </c>
      <c r="AO185" s="15" t="s">
        <v>156</v>
      </c>
      <c r="AP185" s="15"/>
    </row>
    <row r="186" ht="22.5" customHeight="1">
      <c r="A186" s="15" t="s">
        <v>1407</v>
      </c>
      <c r="B186" s="15" t="s">
        <v>1408</v>
      </c>
      <c r="C186" s="15" t="s">
        <v>1411</v>
      </c>
      <c r="D186" s="41">
        <v>39715.0</v>
      </c>
      <c r="E186" s="15" t="s">
        <v>98</v>
      </c>
      <c r="F186" s="15">
        <v>5.632731751E9</v>
      </c>
      <c r="G186" s="15" t="s">
        <v>700</v>
      </c>
      <c r="H186" s="15" t="s">
        <v>101</v>
      </c>
      <c r="I186" s="18"/>
      <c r="J186" s="15" t="s">
        <v>702</v>
      </c>
      <c r="K186" s="15" t="s">
        <v>700</v>
      </c>
      <c r="L186" s="15">
        <v>5.518729991E9</v>
      </c>
      <c r="M186" s="18"/>
      <c r="N186" s="18"/>
      <c r="O186" s="18"/>
      <c r="P186" s="20">
        <v>17.0</v>
      </c>
      <c r="Q186" s="22">
        <v>46019.83887731482</v>
      </c>
      <c r="R186" s="15" t="s">
        <v>107</v>
      </c>
      <c r="S186" s="15" t="s">
        <v>109</v>
      </c>
      <c r="T186" s="15" t="s">
        <v>204</v>
      </c>
      <c r="U186" s="15" t="s">
        <v>699</v>
      </c>
      <c r="V186" s="15" t="s">
        <v>700</v>
      </c>
      <c r="W186" s="15" t="s">
        <v>702</v>
      </c>
      <c r="X186" s="15" t="s">
        <v>120</v>
      </c>
      <c r="Y186" s="18"/>
      <c r="Z186" s="15" t="s">
        <v>120</v>
      </c>
      <c r="AA186" s="18"/>
      <c r="AB186" s="15" t="s">
        <v>120</v>
      </c>
      <c r="AC186" s="15" t="s">
        <v>120</v>
      </c>
      <c r="AD186" s="18"/>
      <c r="AE186" s="15" t="s">
        <v>120</v>
      </c>
      <c r="AF186" s="18"/>
      <c r="AG186" s="15" t="s">
        <v>120</v>
      </c>
      <c r="AH186" s="18"/>
      <c r="AI186" s="15" t="s">
        <v>117</v>
      </c>
      <c r="AJ186" s="15" t="s">
        <v>1437</v>
      </c>
      <c r="AK186" s="18"/>
      <c r="AL186" s="15" t="s">
        <v>141</v>
      </c>
      <c r="AM186" s="15" t="s">
        <v>129</v>
      </c>
      <c r="AN186" s="15" t="s">
        <v>185</v>
      </c>
      <c r="AO186" s="15" t="s">
        <v>156</v>
      </c>
      <c r="AP186" s="15"/>
    </row>
    <row r="187" ht="22.5" customHeight="1">
      <c r="A187" s="15" t="s">
        <v>3196</v>
      </c>
      <c r="B187" s="15" t="s">
        <v>3198</v>
      </c>
      <c r="C187" s="15" t="s">
        <v>3199</v>
      </c>
      <c r="D187" s="41">
        <v>39685.0</v>
      </c>
      <c r="E187" s="15" t="s">
        <v>98</v>
      </c>
      <c r="F187" s="15">
        <v>5.551826684E9</v>
      </c>
      <c r="G187" s="15" t="s">
        <v>3200</v>
      </c>
      <c r="H187" s="15" t="s">
        <v>150</v>
      </c>
      <c r="I187" s="18"/>
      <c r="J187" s="15" t="s">
        <v>3201</v>
      </c>
      <c r="K187" s="15" t="s">
        <v>3202</v>
      </c>
      <c r="L187" s="15">
        <v>5.585698065E9</v>
      </c>
      <c r="M187" s="18"/>
      <c r="N187" s="18"/>
      <c r="O187" s="18"/>
      <c r="P187" s="20">
        <v>17.0</v>
      </c>
      <c r="Q187" s="22">
        <v>46038.41725694444</v>
      </c>
      <c r="R187" s="15" t="s">
        <v>107</v>
      </c>
      <c r="S187" s="15" t="s">
        <v>109</v>
      </c>
      <c r="T187" s="15" t="s">
        <v>192</v>
      </c>
      <c r="U187" s="15" t="s">
        <v>195</v>
      </c>
      <c r="V187" s="15" t="s">
        <v>198</v>
      </c>
      <c r="W187" s="15" t="s">
        <v>200</v>
      </c>
      <c r="X187" s="15" t="s">
        <v>120</v>
      </c>
      <c r="Y187" s="18"/>
      <c r="Z187" s="15" t="s">
        <v>120</v>
      </c>
      <c r="AA187" s="18"/>
      <c r="AB187" s="15" t="s">
        <v>120</v>
      </c>
      <c r="AC187" s="15" t="s">
        <v>120</v>
      </c>
      <c r="AD187" s="18"/>
      <c r="AE187" s="15" t="s">
        <v>120</v>
      </c>
      <c r="AF187" s="18"/>
      <c r="AG187" s="15" t="s">
        <v>120</v>
      </c>
      <c r="AH187" s="18"/>
      <c r="AI187" s="15" t="s">
        <v>120</v>
      </c>
      <c r="AJ187" s="18"/>
      <c r="AK187" s="18"/>
      <c r="AL187" s="15" t="s">
        <v>138</v>
      </c>
      <c r="AM187" s="15" t="s">
        <v>242</v>
      </c>
      <c r="AN187" s="15" t="s">
        <v>129</v>
      </c>
      <c r="AO187" s="15" t="s">
        <v>128</v>
      </c>
      <c r="AP187" s="15"/>
    </row>
    <row r="188" ht="22.5" customHeight="1">
      <c r="A188" s="15" t="s">
        <v>3203</v>
      </c>
      <c r="B188" s="15" t="s">
        <v>3204</v>
      </c>
      <c r="C188" s="15" t="s">
        <v>3205</v>
      </c>
      <c r="D188" s="41">
        <v>40228.0</v>
      </c>
      <c r="E188" s="15" t="s">
        <v>98</v>
      </c>
      <c r="F188" s="15">
        <v>5.523401312E9</v>
      </c>
      <c r="G188" s="15" t="s">
        <v>3206</v>
      </c>
      <c r="H188" s="15" t="s">
        <v>101</v>
      </c>
      <c r="I188" s="23" t="s">
        <v>135</v>
      </c>
      <c r="J188" s="15" t="s">
        <v>3207</v>
      </c>
      <c r="K188" s="15" t="s">
        <v>3208</v>
      </c>
      <c r="L188" s="18" t="str">
        <f>+52 55 4497 5742</f>
        <v>#ERROR!</v>
      </c>
      <c r="M188" s="15" t="s">
        <v>3209</v>
      </c>
      <c r="N188" s="15" t="s">
        <v>3210</v>
      </c>
      <c r="O188" s="18" t="str">
        <f>+52 55 1974 8708</f>
        <v>#ERROR!</v>
      </c>
      <c r="P188" s="20">
        <v>16.0</v>
      </c>
      <c r="Q188" s="22">
        <v>46024.944652777776</v>
      </c>
      <c r="R188" s="15" t="s">
        <v>107</v>
      </c>
      <c r="S188" s="15" t="s">
        <v>109</v>
      </c>
      <c r="T188" s="15" t="s">
        <v>208</v>
      </c>
      <c r="U188" s="15" t="s">
        <v>428</v>
      </c>
      <c r="V188" s="15" t="s">
        <v>429</v>
      </c>
      <c r="W188" s="15" t="s">
        <v>430</v>
      </c>
      <c r="X188" s="15" t="s">
        <v>120</v>
      </c>
      <c r="Y188" s="18"/>
      <c r="Z188" s="15" t="s">
        <v>120</v>
      </c>
      <c r="AA188" s="18"/>
      <c r="AB188" s="15" t="s">
        <v>120</v>
      </c>
      <c r="AC188" s="18"/>
      <c r="AD188" s="18"/>
      <c r="AE188" s="15" t="s">
        <v>120</v>
      </c>
      <c r="AF188" s="18"/>
      <c r="AG188" s="15" t="s">
        <v>120</v>
      </c>
      <c r="AH188" s="18"/>
      <c r="AI188" s="15" t="s">
        <v>120</v>
      </c>
      <c r="AJ188" s="18"/>
      <c r="AK188" s="18"/>
      <c r="AL188" s="15" t="s">
        <v>138</v>
      </c>
      <c r="AM188" s="15" t="s">
        <v>124</v>
      </c>
      <c r="AN188" s="15" t="s">
        <v>129</v>
      </c>
      <c r="AO188" s="15" t="s">
        <v>242</v>
      </c>
      <c r="AP188" s="15"/>
    </row>
    <row r="189" ht="22.5" customHeight="1">
      <c r="A189" s="15" t="s">
        <v>3212</v>
      </c>
      <c r="B189" s="15" t="s">
        <v>3213</v>
      </c>
      <c r="C189" s="15" t="s">
        <v>3214</v>
      </c>
      <c r="D189" s="41">
        <v>40023.0</v>
      </c>
      <c r="E189" s="15" t="s">
        <v>98</v>
      </c>
      <c r="F189" s="15">
        <v>5.571653105E9</v>
      </c>
      <c r="G189" s="15" t="s">
        <v>3215</v>
      </c>
      <c r="H189" s="15" t="s">
        <v>140</v>
      </c>
      <c r="I189" s="18"/>
      <c r="J189" s="15" t="s">
        <v>3216</v>
      </c>
      <c r="K189" s="15" t="s">
        <v>3215</v>
      </c>
      <c r="L189" s="15">
        <v>5.571653105E9</v>
      </c>
      <c r="M189" s="18"/>
      <c r="N189" s="18"/>
      <c r="O189" s="18"/>
      <c r="P189" s="20">
        <v>16.0</v>
      </c>
      <c r="Q189" s="22">
        <v>46037.82202546296</v>
      </c>
      <c r="R189" s="15" t="s">
        <v>107</v>
      </c>
      <c r="S189" s="15" t="s">
        <v>109</v>
      </c>
      <c r="T189" s="15" t="s">
        <v>160</v>
      </c>
      <c r="U189" s="15" t="s">
        <v>161</v>
      </c>
      <c r="V189" s="15" t="s">
        <v>163</v>
      </c>
      <c r="W189" s="15" t="s">
        <v>165</v>
      </c>
      <c r="X189" s="15" t="s">
        <v>120</v>
      </c>
      <c r="Y189" s="18"/>
      <c r="Z189" s="15" t="s">
        <v>120</v>
      </c>
      <c r="AA189" s="18"/>
      <c r="AB189" s="15" t="s">
        <v>120</v>
      </c>
      <c r="AC189" s="15" t="s">
        <v>120</v>
      </c>
      <c r="AD189" s="18"/>
      <c r="AE189" s="15" t="s">
        <v>120</v>
      </c>
      <c r="AF189" s="18"/>
      <c r="AG189" s="15" t="s">
        <v>120</v>
      </c>
      <c r="AH189" s="18"/>
      <c r="AI189" s="15" t="s">
        <v>120</v>
      </c>
      <c r="AJ189" s="18"/>
      <c r="AK189" s="18"/>
      <c r="AL189" s="15" t="s">
        <v>141</v>
      </c>
      <c r="AM189" s="15" t="s">
        <v>185</v>
      </c>
      <c r="AN189" s="15" t="s">
        <v>138</v>
      </c>
      <c r="AO189" s="15" t="s">
        <v>156</v>
      </c>
      <c r="AP189" s="15"/>
    </row>
    <row r="190" ht="22.5" customHeight="1">
      <c r="A190" s="15" t="s">
        <v>3218</v>
      </c>
      <c r="B190" s="15" t="s">
        <v>3219</v>
      </c>
      <c r="C190" s="18"/>
      <c r="D190" s="41">
        <v>39902.0</v>
      </c>
      <c r="E190" s="15" t="s">
        <v>177</v>
      </c>
      <c r="F190" s="15">
        <v>5.510302422E9</v>
      </c>
      <c r="G190" s="15" t="s">
        <v>167</v>
      </c>
      <c r="H190" s="15" t="s">
        <v>101</v>
      </c>
      <c r="I190" s="23" t="s">
        <v>3220</v>
      </c>
      <c r="J190" s="15" t="s">
        <v>1154</v>
      </c>
      <c r="K190" s="15" t="s">
        <v>167</v>
      </c>
      <c r="L190" s="15">
        <v>5.510302422E9</v>
      </c>
      <c r="M190" s="18"/>
      <c r="N190" s="18"/>
      <c r="O190" s="18"/>
      <c r="P190" s="20">
        <v>16.0</v>
      </c>
      <c r="Q190" s="22">
        <v>46037.496886574074</v>
      </c>
      <c r="R190" s="15" t="s">
        <v>107</v>
      </c>
      <c r="S190" s="15" t="s">
        <v>109</v>
      </c>
      <c r="T190" s="15" t="s">
        <v>171</v>
      </c>
      <c r="U190" s="15" t="s">
        <v>173</v>
      </c>
      <c r="V190" s="15" t="s">
        <v>167</v>
      </c>
      <c r="W190" s="15" t="s">
        <v>175</v>
      </c>
      <c r="X190" s="15" t="s">
        <v>120</v>
      </c>
      <c r="Y190" s="18"/>
      <c r="Z190" s="15" t="s">
        <v>120</v>
      </c>
      <c r="AA190" s="18"/>
      <c r="AB190" s="15" t="s">
        <v>120</v>
      </c>
      <c r="AC190" s="15" t="s">
        <v>120</v>
      </c>
      <c r="AD190" s="18"/>
      <c r="AE190" s="15" t="s">
        <v>120</v>
      </c>
      <c r="AF190" s="18"/>
      <c r="AG190" s="15" t="s">
        <v>120</v>
      </c>
      <c r="AH190" s="18"/>
      <c r="AI190" s="15" t="s">
        <v>120</v>
      </c>
      <c r="AJ190" s="18"/>
      <c r="AK190" s="18"/>
      <c r="AL190" s="15" t="s">
        <v>185</v>
      </c>
      <c r="AM190" s="15" t="s">
        <v>124</v>
      </c>
      <c r="AN190" s="15" t="s">
        <v>129</v>
      </c>
      <c r="AO190" s="15" t="s">
        <v>141</v>
      </c>
      <c r="AP190" s="15"/>
    </row>
    <row r="191" ht="22.5" customHeight="1">
      <c r="A191" s="15" t="s">
        <v>3221</v>
      </c>
      <c r="B191" s="15" t="s">
        <v>3222</v>
      </c>
      <c r="C191" s="15" t="s">
        <v>3223</v>
      </c>
      <c r="D191" s="41">
        <v>39890.0</v>
      </c>
      <c r="E191" s="15" t="s">
        <v>98</v>
      </c>
      <c r="F191" s="15">
        <v>5.543484889E9</v>
      </c>
      <c r="G191" s="15" t="s">
        <v>3224</v>
      </c>
      <c r="H191" s="15" t="s">
        <v>101</v>
      </c>
      <c r="I191" s="23" t="s">
        <v>3225</v>
      </c>
      <c r="J191" s="15" t="s">
        <v>3226</v>
      </c>
      <c r="K191" s="15" t="s">
        <v>3227</v>
      </c>
      <c r="L191" s="15">
        <v>5.513358747E9</v>
      </c>
      <c r="M191" s="15" t="s">
        <v>3228</v>
      </c>
      <c r="N191" s="15" t="s">
        <v>3224</v>
      </c>
      <c r="O191" s="15">
        <v>5.51829586E9</v>
      </c>
      <c r="P191" s="20">
        <v>16.0</v>
      </c>
      <c r="Q191" s="22">
        <v>46030.39271990741</v>
      </c>
      <c r="R191" s="15" t="s">
        <v>107</v>
      </c>
      <c r="S191" s="15" t="s">
        <v>109</v>
      </c>
      <c r="T191" s="15" t="s">
        <v>192</v>
      </c>
      <c r="U191" s="15" t="s">
        <v>505</v>
      </c>
      <c r="V191" s="15" t="s">
        <v>506</v>
      </c>
      <c r="W191" s="15" t="s">
        <v>507</v>
      </c>
      <c r="X191" s="15" t="s">
        <v>120</v>
      </c>
      <c r="Y191" s="15" t="s">
        <v>1325</v>
      </c>
      <c r="Z191" s="15" t="s">
        <v>117</v>
      </c>
      <c r="AA191" s="58" t="s">
        <v>3229</v>
      </c>
      <c r="AB191" s="15" t="s">
        <v>120</v>
      </c>
      <c r="AC191" s="15" t="s">
        <v>120</v>
      </c>
      <c r="AD191" s="15" t="s">
        <v>1325</v>
      </c>
      <c r="AE191" s="15" t="s">
        <v>120</v>
      </c>
      <c r="AF191" s="15" t="s">
        <v>1325</v>
      </c>
      <c r="AG191" s="15" t="s">
        <v>120</v>
      </c>
      <c r="AH191" s="15" t="s">
        <v>1325</v>
      </c>
      <c r="AI191" s="15" t="s">
        <v>120</v>
      </c>
      <c r="AJ191" s="15" t="s">
        <v>1325</v>
      </c>
      <c r="AK191" s="15" t="s">
        <v>1325</v>
      </c>
      <c r="AL191" s="15" t="s">
        <v>185</v>
      </c>
      <c r="AM191" s="15" t="s">
        <v>124</v>
      </c>
      <c r="AN191" s="15" t="s">
        <v>128</v>
      </c>
      <c r="AO191" s="15" t="s">
        <v>240</v>
      </c>
      <c r="AP191" s="15"/>
    </row>
    <row r="192" ht="22.5" customHeight="1">
      <c r="A192" s="15" t="s">
        <v>3230</v>
      </c>
      <c r="B192" s="15" t="s">
        <v>3231</v>
      </c>
      <c r="C192" s="15" t="s">
        <v>3232</v>
      </c>
      <c r="D192" s="41">
        <v>40529.0</v>
      </c>
      <c r="E192" s="15" t="s">
        <v>98</v>
      </c>
      <c r="F192" s="15">
        <v>5.535161037E9</v>
      </c>
      <c r="G192" s="15" t="s">
        <v>3233</v>
      </c>
      <c r="H192" s="15" t="s">
        <v>140</v>
      </c>
      <c r="I192" s="18"/>
      <c r="J192" s="15" t="s">
        <v>3234</v>
      </c>
      <c r="K192" s="15" t="s">
        <v>3235</v>
      </c>
      <c r="L192" s="15">
        <v>5.564394276E9</v>
      </c>
      <c r="M192" s="18"/>
      <c r="N192" s="18"/>
      <c r="O192" s="18"/>
      <c r="P192" s="20">
        <v>15.0</v>
      </c>
      <c r="Q192" s="22">
        <v>46039.46771990741</v>
      </c>
      <c r="R192" s="15" t="s">
        <v>107</v>
      </c>
      <c r="S192" s="15" t="s">
        <v>109</v>
      </c>
      <c r="T192" s="15" t="s">
        <v>160</v>
      </c>
      <c r="U192" s="15" t="s">
        <v>308</v>
      </c>
      <c r="V192" s="15" t="s">
        <v>309</v>
      </c>
      <c r="W192" s="15" t="s">
        <v>310</v>
      </c>
      <c r="X192" s="15" t="s">
        <v>120</v>
      </c>
      <c r="Y192" s="18"/>
      <c r="Z192" s="15" t="s">
        <v>120</v>
      </c>
      <c r="AA192" s="18"/>
      <c r="AB192" s="15" t="s">
        <v>120</v>
      </c>
      <c r="AC192" s="18"/>
      <c r="AD192" s="18"/>
      <c r="AE192" s="15" t="s">
        <v>120</v>
      </c>
      <c r="AF192" s="18"/>
      <c r="AG192" s="15" t="s">
        <v>120</v>
      </c>
      <c r="AH192" s="18"/>
      <c r="AI192" s="15" t="s">
        <v>120</v>
      </c>
      <c r="AJ192" s="18"/>
      <c r="AK192" s="18"/>
      <c r="AL192" s="15" t="s">
        <v>242</v>
      </c>
      <c r="AM192" s="15" t="s">
        <v>156</v>
      </c>
      <c r="AN192" s="15" t="s">
        <v>124</v>
      </c>
      <c r="AO192" s="15" t="s">
        <v>141</v>
      </c>
      <c r="AP192" s="15"/>
    </row>
    <row r="193" ht="22.5" customHeight="1">
      <c r="A193" s="15" t="s">
        <v>3241</v>
      </c>
      <c r="B193" s="15" t="s">
        <v>968</v>
      </c>
      <c r="C193" s="15" t="s">
        <v>3242</v>
      </c>
      <c r="D193" s="41">
        <v>40327.0</v>
      </c>
      <c r="E193" s="15" t="s">
        <v>177</v>
      </c>
      <c r="F193" s="15">
        <v>5.613974755E9</v>
      </c>
      <c r="G193" s="15" t="s">
        <v>3243</v>
      </c>
      <c r="H193" s="15" t="s">
        <v>150</v>
      </c>
      <c r="I193" s="18"/>
      <c r="J193" s="15" t="s">
        <v>3244</v>
      </c>
      <c r="K193" s="15" t="s">
        <v>3243</v>
      </c>
      <c r="L193" s="15">
        <v>5.591451335E9</v>
      </c>
      <c r="M193" s="18"/>
      <c r="N193" s="18"/>
      <c r="O193" s="18"/>
      <c r="P193" s="20">
        <v>15.0</v>
      </c>
      <c r="Q193" s="22">
        <v>46024.75446759259</v>
      </c>
      <c r="R193" s="15" t="s">
        <v>107</v>
      </c>
      <c r="S193" s="15" t="s">
        <v>109</v>
      </c>
      <c r="T193" s="15" t="s">
        <v>127</v>
      </c>
      <c r="U193" s="15" t="s">
        <v>531</v>
      </c>
      <c r="V193" s="15" t="s">
        <v>532</v>
      </c>
      <c r="W193" s="15" t="s">
        <v>534</v>
      </c>
      <c r="X193" s="15" t="s">
        <v>120</v>
      </c>
      <c r="Y193" s="18"/>
      <c r="Z193" s="15" t="s">
        <v>117</v>
      </c>
      <c r="AA193" s="49" t="s">
        <v>3245</v>
      </c>
      <c r="AB193" s="15" t="s">
        <v>120</v>
      </c>
      <c r="AC193" s="18"/>
      <c r="AD193" s="18"/>
      <c r="AE193" s="15" t="s">
        <v>120</v>
      </c>
      <c r="AF193" s="18"/>
      <c r="AG193" s="15" t="s">
        <v>120</v>
      </c>
      <c r="AH193" s="18"/>
      <c r="AI193" s="15" t="s">
        <v>120</v>
      </c>
      <c r="AJ193" s="18"/>
      <c r="AK193" s="18"/>
      <c r="AL193" s="15" t="s">
        <v>138</v>
      </c>
      <c r="AM193" s="15" t="s">
        <v>141</v>
      </c>
      <c r="AN193" s="15" t="s">
        <v>124</v>
      </c>
      <c r="AO193" s="15" t="s">
        <v>185</v>
      </c>
      <c r="AP193" s="15"/>
    </row>
    <row r="194" ht="22.5" customHeight="1">
      <c r="A194" s="15" t="s">
        <v>1444</v>
      </c>
      <c r="B194" s="15" t="s">
        <v>1446</v>
      </c>
      <c r="C194" s="15" t="s">
        <v>1447</v>
      </c>
      <c r="D194" s="41">
        <v>40384.0</v>
      </c>
      <c r="E194" s="15" t="s">
        <v>98</v>
      </c>
      <c r="F194" s="18">
        <f>+525663890416</f>
        <v>525663890416</v>
      </c>
      <c r="G194" s="15" t="s">
        <v>1457</v>
      </c>
      <c r="H194" s="15" t="s">
        <v>110</v>
      </c>
      <c r="I194" s="18"/>
      <c r="J194" s="15" t="s">
        <v>1460</v>
      </c>
      <c r="K194" s="15" t="s">
        <v>1457</v>
      </c>
      <c r="L194" s="15">
        <v>5.25534837235E11</v>
      </c>
      <c r="M194" s="15" t="s">
        <v>1465</v>
      </c>
      <c r="N194" s="15" t="s">
        <v>1466</v>
      </c>
      <c r="O194" s="15">
        <v>5.512919582E9</v>
      </c>
      <c r="P194" s="20">
        <v>15.0</v>
      </c>
      <c r="Q194" s="22">
        <v>46040.89759259259</v>
      </c>
      <c r="R194" s="15" t="s">
        <v>107</v>
      </c>
      <c r="S194" s="15" t="s">
        <v>109</v>
      </c>
      <c r="T194" s="15" t="s">
        <v>171</v>
      </c>
      <c r="U194" s="15" t="s">
        <v>1474</v>
      </c>
      <c r="V194" s="15" t="s">
        <v>1475</v>
      </c>
      <c r="W194" s="15" t="s">
        <v>1476</v>
      </c>
      <c r="X194" s="15" t="s">
        <v>120</v>
      </c>
      <c r="Y194" s="18"/>
      <c r="Z194" s="15" t="s">
        <v>120</v>
      </c>
      <c r="AA194" s="18"/>
      <c r="AB194" s="15" t="s">
        <v>120</v>
      </c>
      <c r="AC194" s="18"/>
      <c r="AD194" s="18"/>
      <c r="AE194" s="15" t="s">
        <v>120</v>
      </c>
      <c r="AF194" s="18"/>
      <c r="AG194" s="15" t="s">
        <v>120</v>
      </c>
      <c r="AH194" s="18"/>
      <c r="AI194" s="15" t="s">
        <v>117</v>
      </c>
      <c r="AJ194" s="15" t="s">
        <v>1483</v>
      </c>
      <c r="AK194" s="15" t="s">
        <v>178</v>
      </c>
      <c r="AL194" s="15" t="s">
        <v>138</v>
      </c>
      <c r="AM194" s="15" t="s">
        <v>124</v>
      </c>
      <c r="AN194" s="15" t="s">
        <v>129</v>
      </c>
      <c r="AO194" s="15" t="s">
        <v>216</v>
      </c>
      <c r="AP194" s="15"/>
    </row>
    <row r="195" ht="22.5" customHeight="1">
      <c r="A195" s="15" t="s">
        <v>3247</v>
      </c>
      <c r="B195" s="15" t="s">
        <v>2799</v>
      </c>
      <c r="C195" s="15" t="s">
        <v>3249</v>
      </c>
      <c r="D195" s="41">
        <v>39484.0</v>
      </c>
      <c r="E195" s="15" t="s">
        <v>177</v>
      </c>
      <c r="F195" s="15">
        <v>4.423970914E9</v>
      </c>
      <c r="G195" s="15" t="s">
        <v>2802</v>
      </c>
      <c r="H195" s="15" t="s">
        <v>140</v>
      </c>
      <c r="I195" s="18"/>
      <c r="J195" s="15" t="s">
        <v>3251</v>
      </c>
      <c r="K195" s="15" t="s">
        <v>3252</v>
      </c>
      <c r="L195" s="15">
        <v>5.53134368E9</v>
      </c>
      <c r="M195" s="15" t="s">
        <v>3253</v>
      </c>
      <c r="N195" s="15" t="s">
        <v>2288</v>
      </c>
      <c r="O195" s="15" t="s">
        <v>3254</v>
      </c>
      <c r="P195" s="20">
        <v>18.0</v>
      </c>
      <c r="Q195" s="22">
        <v>46033.37082175926</v>
      </c>
      <c r="R195" s="15" t="s">
        <v>107</v>
      </c>
      <c r="S195" s="15" t="s">
        <v>109</v>
      </c>
      <c r="T195" s="15" t="s">
        <v>127</v>
      </c>
      <c r="U195" s="15" t="s">
        <v>130</v>
      </c>
      <c r="V195" s="15" t="s">
        <v>131</v>
      </c>
      <c r="W195" s="15" t="s">
        <v>132</v>
      </c>
      <c r="X195" s="15" t="s">
        <v>120</v>
      </c>
      <c r="Y195" s="18"/>
      <c r="Z195" s="15" t="s">
        <v>120</v>
      </c>
      <c r="AA195" s="18"/>
      <c r="AB195" s="15" t="s">
        <v>120</v>
      </c>
      <c r="AC195" s="15" t="s">
        <v>120</v>
      </c>
      <c r="AD195" s="18"/>
      <c r="AE195" s="15" t="s">
        <v>120</v>
      </c>
      <c r="AF195" s="18"/>
      <c r="AG195" s="15" t="s">
        <v>120</v>
      </c>
      <c r="AH195" s="18"/>
      <c r="AI195" s="15" t="s">
        <v>120</v>
      </c>
      <c r="AJ195" s="18"/>
      <c r="AK195" s="18"/>
      <c r="AL195" s="15" t="s">
        <v>185</v>
      </c>
      <c r="AM195" s="15" t="s">
        <v>126</v>
      </c>
      <c r="AN195" s="15" t="s">
        <v>216</v>
      </c>
      <c r="AO195" s="15" t="s">
        <v>126</v>
      </c>
      <c r="AP195" s="15"/>
    </row>
    <row r="196" ht="22.5" customHeight="1">
      <c r="A196" s="15" t="s">
        <v>3256</v>
      </c>
      <c r="B196" s="15" t="s">
        <v>3257</v>
      </c>
      <c r="C196" s="18"/>
      <c r="D196" s="41">
        <v>39651.0</v>
      </c>
      <c r="E196" s="15" t="s">
        <v>177</v>
      </c>
      <c r="F196" s="15">
        <v>5.631229285E9</v>
      </c>
      <c r="G196" s="15" t="s">
        <v>3258</v>
      </c>
      <c r="H196" s="15" t="s">
        <v>101</v>
      </c>
      <c r="I196" s="23" t="s">
        <v>1325</v>
      </c>
      <c r="J196" s="15" t="s">
        <v>3259</v>
      </c>
      <c r="K196" s="15" t="s">
        <v>3261</v>
      </c>
      <c r="L196" s="15">
        <v>5.639867988E9</v>
      </c>
      <c r="M196" s="15" t="s">
        <v>3262</v>
      </c>
      <c r="N196" s="15" t="s">
        <v>3263</v>
      </c>
      <c r="O196" s="15">
        <v>5.648656428E9</v>
      </c>
      <c r="P196" s="20">
        <v>17.0</v>
      </c>
      <c r="Q196" s="22">
        <v>46036.79298611111</v>
      </c>
      <c r="R196" s="15" t="s">
        <v>107</v>
      </c>
      <c r="S196" s="15" t="s">
        <v>109</v>
      </c>
      <c r="T196" s="15" t="s">
        <v>111</v>
      </c>
      <c r="U196" s="15" t="s">
        <v>112</v>
      </c>
      <c r="V196" s="15" t="s">
        <v>114</v>
      </c>
      <c r="W196" s="15" t="s">
        <v>115</v>
      </c>
      <c r="X196" s="15" t="s">
        <v>120</v>
      </c>
      <c r="Y196" s="18"/>
      <c r="Z196" s="15" t="s">
        <v>120</v>
      </c>
      <c r="AA196" s="18"/>
      <c r="AB196" s="15" t="s">
        <v>120</v>
      </c>
      <c r="AC196" s="18"/>
      <c r="AD196" s="18"/>
      <c r="AE196" s="15" t="s">
        <v>120</v>
      </c>
      <c r="AF196" s="18"/>
      <c r="AG196" s="15" t="s">
        <v>120</v>
      </c>
      <c r="AH196" s="18"/>
      <c r="AI196" s="15" t="s">
        <v>120</v>
      </c>
      <c r="AJ196" s="18"/>
      <c r="AK196" s="18"/>
      <c r="AL196" s="15" t="s">
        <v>156</v>
      </c>
      <c r="AM196" s="15" t="s">
        <v>242</v>
      </c>
      <c r="AN196" s="15" t="s">
        <v>141</v>
      </c>
      <c r="AO196" s="15" t="s">
        <v>129</v>
      </c>
      <c r="AP196" s="15"/>
    </row>
    <row r="197" ht="22.5" customHeight="1">
      <c r="A197" s="15" t="s">
        <v>3265</v>
      </c>
      <c r="B197" s="15" t="s">
        <v>3266</v>
      </c>
      <c r="C197" s="15" t="s">
        <v>3267</v>
      </c>
      <c r="D197" s="41">
        <v>40847.0</v>
      </c>
      <c r="E197" s="15" t="s">
        <v>177</v>
      </c>
      <c r="F197" s="15">
        <v>5.568690017E9</v>
      </c>
      <c r="G197" s="15" t="s">
        <v>3268</v>
      </c>
      <c r="H197" s="15" t="s">
        <v>101</v>
      </c>
      <c r="I197" s="18"/>
      <c r="J197" s="15" t="s">
        <v>3269</v>
      </c>
      <c r="K197" s="15" t="s">
        <v>3270</v>
      </c>
      <c r="L197" s="15">
        <v>5.568690017E9</v>
      </c>
      <c r="M197" s="15" t="s">
        <v>3271</v>
      </c>
      <c r="N197" s="15" t="s">
        <v>3272</v>
      </c>
      <c r="O197" s="15">
        <v>5.574440367E9</v>
      </c>
      <c r="P197" s="20">
        <v>14.0</v>
      </c>
      <c r="Q197" s="22">
        <v>46036.98606481482</v>
      </c>
      <c r="R197" s="15" t="s">
        <v>107</v>
      </c>
      <c r="S197" s="15" t="s">
        <v>109</v>
      </c>
      <c r="T197" s="15" t="s">
        <v>208</v>
      </c>
      <c r="U197" s="15" t="s">
        <v>209</v>
      </c>
      <c r="V197" s="15" t="s">
        <v>210</v>
      </c>
      <c r="W197" s="15" t="s">
        <v>211</v>
      </c>
      <c r="X197" s="15" t="s">
        <v>120</v>
      </c>
      <c r="Y197" s="18"/>
      <c r="Z197" s="15" t="s">
        <v>120</v>
      </c>
      <c r="AA197" s="18"/>
      <c r="AB197" s="15" t="s">
        <v>120</v>
      </c>
      <c r="AC197" s="18"/>
      <c r="AD197" s="18"/>
      <c r="AE197" s="15" t="s">
        <v>120</v>
      </c>
      <c r="AF197" s="18"/>
      <c r="AG197" s="15" t="s">
        <v>120</v>
      </c>
      <c r="AH197" s="18"/>
      <c r="AI197" s="15" t="s">
        <v>120</v>
      </c>
      <c r="AJ197" s="18"/>
      <c r="AK197" s="18"/>
      <c r="AL197" s="15" t="s">
        <v>141</v>
      </c>
      <c r="AM197" s="15" t="s">
        <v>138</v>
      </c>
      <c r="AN197" s="15" t="s">
        <v>242</v>
      </c>
      <c r="AO197" s="15" t="s">
        <v>156</v>
      </c>
      <c r="AP197" s="15"/>
    </row>
    <row r="198" ht="22.5" customHeight="1">
      <c r="A198" s="15" t="s">
        <v>2560</v>
      </c>
      <c r="B198" s="15" t="s">
        <v>3277</v>
      </c>
      <c r="C198" s="15" t="s">
        <v>3278</v>
      </c>
      <c r="D198" s="41">
        <v>39594.0</v>
      </c>
      <c r="E198" s="15" t="s">
        <v>98</v>
      </c>
      <c r="F198" s="15">
        <v>5.544862685E9</v>
      </c>
      <c r="G198" s="15" t="s">
        <v>3279</v>
      </c>
      <c r="H198" s="15" t="s">
        <v>140</v>
      </c>
      <c r="I198" s="18"/>
      <c r="J198" s="15" t="s">
        <v>3280</v>
      </c>
      <c r="K198" s="15" t="s">
        <v>3279</v>
      </c>
      <c r="L198" s="15">
        <v>2.299608475E9</v>
      </c>
      <c r="M198" s="18"/>
      <c r="N198" s="18"/>
      <c r="O198" s="18"/>
      <c r="P198" s="20">
        <v>17.0</v>
      </c>
      <c r="Q198" s="22">
        <v>45970.5393287037</v>
      </c>
      <c r="R198" s="15" t="s">
        <v>107</v>
      </c>
      <c r="S198" s="15" t="s">
        <v>109</v>
      </c>
      <c r="T198" s="15" t="s">
        <v>111</v>
      </c>
      <c r="U198" s="15" t="s">
        <v>1979</v>
      </c>
      <c r="V198" s="15" t="s">
        <v>1980</v>
      </c>
      <c r="W198" s="15" t="s">
        <v>1981</v>
      </c>
      <c r="X198" s="15" t="s">
        <v>120</v>
      </c>
      <c r="Y198" s="18"/>
      <c r="Z198" s="15" t="s">
        <v>120</v>
      </c>
      <c r="AA198" s="18"/>
      <c r="AB198" s="15" t="s">
        <v>120</v>
      </c>
      <c r="AC198" s="15" t="s">
        <v>120</v>
      </c>
      <c r="AD198" s="18"/>
      <c r="AE198" s="15" t="s">
        <v>120</v>
      </c>
      <c r="AF198" s="18"/>
      <c r="AG198" s="15" t="s">
        <v>120</v>
      </c>
      <c r="AH198" s="18"/>
      <c r="AI198" s="15" t="s">
        <v>120</v>
      </c>
      <c r="AJ198" s="18"/>
      <c r="AK198" s="18"/>
      <c r="AL198" s="15" t="s">
        <v>141</v>
      </c>
      <c r="AM198" s="15" t="s">
        <v>128</v>
      </c>
      <c r="AN198" s="15" t="s">
        <v>216</v>
      </c>
      <c r="AO198" s="15" t="s">
        <v>126</v>
      </c>
      <c r="AP198" s="15"/>
    </row>
    <row r="199" ht="22.5" customHeight="1">
      <c r="A199" s="15" t="s">
        <v>3281</v>
      </c>
      <c r="B199" s="15" t="s">
        <v>3282</v>
      </c>
      <c r="C199" s="15" t="s">
        <v>3283</v>
      </c>
      <c r="D199" s="41">
        <v>40185.0</v>
      </c>
      <c r="E199" s="15" t="s">
        <v>98</v>
      </c>
      <c r="F199" s="15">
        <v>5.521164786E9</v>
      </c>
      <c r="G199" s="15" t="s">
        <v>3284</v>
      </c>
      <c r="H199" s="15" t="s">
        <v>140</v>
      </c>
      <c r="I199" s="18"/>
      <c r="J199" s="15" t="s">
        <v>3285</v>
      </c>
      <c r="K199" s="15" t="s">
        <v>3286</v>
      </c>
      <c r="L199" s="15">
        <v>5.560896435E9</v>
      </c>
      <c r="M199" s="18"/>
      <c r="N199" s="18"/>
      <c r="O199" s="18"/>
      <c r="P199" s="20">
        <v>16.0</v>
      </c>
      <c r="Q199" s="22">
        <v>46018.51168981481</v>
      </c>
      <c r="R199" s="15" t="s">
        <v>107</v>
      </c>
      <c r="S199" s="15" t="s">
        <v>109</v>
      </c>
      <c r="T199" s="15" t="s">
        <v>171</v>
      </c>
      <c r="U199" s="15" t="s">
        <v>2149</v>
      </c>
      <c r="V199" s="15" t="s">
        <v>2141</v>
      </c>
      <c r="W199" s="15" t="s">
        <v>2151</v>
      </c>
      <c r="X199" s="15" t="s">
        <v>120</v>
      </c>
      <c r="Y199" s="18"/>
      <c r="Z199" s="15" t="s">
        <v>120</v>
      </c>
      <c r="AA199" s="18"/>
      <c r="AB199" s="15" t="s">
        <v>120</v>
      </c>
      <c r="AC199" s="18"/>
      <c r="AD199" s="18"/>
      <c r="AE199" s="15" t="s">
        <v>120</v>
      </c>
      <c r="AF199" s="18"/>
      <c r="AG199" s="15" t="s">
        <v>120</v>
      </c>
      <c r="AH199" s="18"/>
      <c r="AI199" s="15" t="s">
        <v>120</v>
      </c>
      <c r="AJ199" s="18"/>
      <c r="AK199" s="18"/>
      <c r="AL199" s="15" t="s">
        <v>156</v>
      </c>
      <c r="AM199" s="15" t="s">
        <v>141</v>
      </c>
      <c r="AN199" s="15" t="s">
        <v>240</v>
      </c>
      <c r="AO199" s="15" t="s">
        <v>128</v>
      </c>
      <c r="AP199" s="15"/>
    </row>
    <row r="200" ht="22.5" customHeight="1">
      <c r="A200" s="15" t="s">
        <v>3287</v>
      </c>
      <c r="B200" s="15" t="s">
        <v>3288</v>
      </c>
      <c r="C200" s="18"/>
      <c r="D200" s="41">
        <v>40789.0</v>
      </c>
      <c r="E200" s="15" t="s">
        <v>177</v>
      </c>
      <c r="F200" s="15">
        <v>5.647735545E9</v>
      </c>
      <c r="G200" s="15" t="s">
        <v>3289</v>
      </c>
      <c r="H200" s="15" t="s">
        <v>101</v>
      </c>
      <c r="I200" s="18"/>
      <c r="J200" s="15" t="s">
        <v>3290</v>
      </c>
      <c r="K200" s="15" t="s">
        <v>3291</v>
      </c>
      <c r="L200" s="15">
        <v>5.582199248E9</v>
      </c>
      <c r="M200" s="18"/>
      <c r="N200" s="18"/>
      <c r="O200" s="18"/>
      <c r="P200" s="20">
        <v>14.0</v>
      </c>
      <c r="Q200" s="22">
        <v>46040.724328703705</v>
      </c>
      <c r="R200" s="15" t="s">
        <v>107</v>
      </c>
      <c r="S200" s="15" t="s">
        <v>109</v>
      </c>
      <c r="T200" s="15" t="s">
        <v>127</v>
      </c>
      <c r="U200" s="15" t="s">
        <v>766</v>
      </c>
      <c r="V200" s="15" t="s">
        <v>767</v>
      </c>
      <c r="W200" s="15" t="s">
        <v>768</v>
      </c>
      <c r="X200" s="15" t="s">
        <v>120</v>
      </c>
      <c r="Y200" s="18"/>
      <c r="Z200" s="15" t="s">
        <v>120</v>
      </c>
      <c r="AA200" s="18"/>
      <c r="AB200" s="15" t="s">
        <v>120</v>
      </c>
      <c r="AC200" s="18"/>
      <c r="AD200" s="18"/>
      <c r="AE200" s="15" t="s">
        <v>120</v>
      </c>
      <c r="AF200" s="18"/>
      <c r="AG200" s="15" t="s">
        <v>120</v>
      </c>
      <c r="AH200" s="18"/>
      <c r="AI200" s="15" t="s">
        <v>120</v>
      </c>
      <c r="AJ200" s="18"/>
      <c r="AK200" s="18"/>
      <c r="AL200" s="15" t="s">
        <v>156</v>
      </c>
      <c r="AM200" s="15" t="s">
        <v>129</v>
      </c>
      <c r="AN200" s="15" t="s">
        <v>242</v>
      </c>
      <c r="AO200" s="15" t="s">
        <v>124</v>
      </c>
      <c r="AP200" s="15"/>
    </row>
    <row r="201" ht="22.5" customHeight="1">
      <c r="A201" s="15" t="s">
        <v>1493</v>
      </c>
      <c r="B201" s="15" t="s">
        <v>1495</v>
      </c>
      <c r="C201" s="15" t="s">
        <v>62</v>
      </c>
      <c r="D201" s="41">
        <v>40009.0</v>
      </c>
      <c r="E201" s="15" t="s">
        <v>177</v>
      </c>
      <c r="F201" s="15">
        <v>5.636595005E9</v>
      </c>
      <c r="G201" s="15" t="s">
        <v>1499</v>
      </c>
      <c r="H201" s="15" t="s">
        <v>150</v>
      </c>
      <c r="I201" s="18"/>
      <c r="J201" s="15" t="s">
        <v>1501</v>
      </c>
      <c r="K201" s="15" t="s">
        <v>1502</v>
      </c>
      <c r="L201" s="15">
        <v>5.565550208E9</v>
      </c>
      <c r="M201" s="18"/>
      <c r="N201" s="18"/>
      <c r="O201" s="18"/>
      <c r="P201" s="20">
        <v>16.0</v>
      </c>
      <c r="Q201" s="22">
        <v>46026.895474537036</v>
      </c>
      <c r="R201" s="15" t="s">
        <v>107</v>
      </c>
      <c r="S201" s="15" t="s">
        <v>109</v>
      </c>
      <c r="T201" s="15" t="s">
        <v>208</v>
      </c>
      <c r="U201" s="15" t="s">
        <v>601</v>
      </c>
      <c r="V201" s="15" t="s">
        <v>602</v>
      </c>
      <c r="W201" s="15" t="s">
        <v>603</v>
      </c>
      <c r="X201" s="15" t="s">
        <v>120</v>
      </c>
      <c r="Y201" s="18"/>
      <c r="Z201" s="15" t="s">
        <v>117</v>
      </c>
      <c r="AA201" s="52" t="s">
        <v>1504</v>
      </c>
      <c r="AB201" s="15" t="s">
        <v>120</v>
      </c>
      <c r="AC201" s="18"/>
      <c r="AD201" s="18"/>
      <c r="AE201" s="15" t="s">
        <v>120</v>
      </c>
      <c r="AF201" s="18"/>
      <c r="AG201" s="15" t="s">
        <v>120</v>
      </c>
      <c r="AH201" s="18"/>
      <c r="AI201" s="15" t="s">
        <v>117</v>
      </c>
      <c r="AJ201" s="15" t="s">
        <v>1506</v>
      </c>
      <c r="AK201" s="15" t="s">
        <v>135</v>
      </c>
      <c r="AL201" s="15" t="s">
        <v>185</v>
      </c>
      <c r="AM201" s="15" t="s">
        <v>124</v>
      </c>
      <c r="AN201" s="15" t="s">
        <v>156</v>
      </c>
      <c r="AO201" s="15" t="s">
        <v>126</v>
      </c>
      <c r="AP201" s="15"/>
    </row>
    <row r="202" ht="22.5" customHeight="1">
      <c r="A202" s="15" t="s">
        <v>3298</v>
      </c>
      <c r="B202" s="15" t="s">
        <v>1214</v>
      </c>
      <c r="C202" s="15" t="s">
        <v>3299</v>
      </c>
      <c r="D202" s="41">
        <v>39526.0</v>
      </c>
      <c r="E202" s="15" t="s">
        <v>177</v>
      </c>
      <c r="F202" s="15">
        <v>5.537170486E9</v>
      </c>
      <c r="G202" s="15" t="s">
        <v>3300</v>
      </c>
      <c r="H202" s="15" t="s">
        <v>101</v>
      </c>
      <c r="I202" s="23" t="s">
        <v>3301</v>
      </c>
      <c r="J202" s="15" t="s">
        <v>1220</v>
      </c>
      <c r="K202" s="15" t="s">
        <v>1222</v>
      </c>
      <c r="L202" s="15">
        <v>5.537170486E9</v>
      </c>
      <c r="M202" s="18"/>
      <c r="N202" s="18"/>
      <c r="O202" s="18"/>
      <c r="P202" s="20">
        <v>17.0</v>
      </c>
      <c r="Q202" s="22">
        <v>46025.92853009259</v>
      </c>
      <c r="R202" s="15" t="s">
        <v>107</v>
      </c>
      <c r="S202" s="15" t="s">
        <v>109</v>
      </c>
      <c r="T202" s="15" t="s">
        <v>171</v>
      </c>
      <c r="U202" s="15" t="s">
        <v>526</v>
      </c>
      <c r="V202" s="15" t="s">
        <v>527</v>
      </c>
      <c r="W202" s="15" t="s">
        <v>528</v>
      </c>
      <c r="X202" s="15" t="s">
        <v>120</v>
      </c>
      <c r="Y202" s="18"/>
      <c r="Z202" s="15" t="s">
        <v>120</v>
      </c>
      <c r="AA202" s="18"/>
      <c r="AB202" s="15" t="s">
        <v>120</v>
      </c>
      <c r="AC202" s="18"/>
      <c r="AD202" s="15" t="s">
        <v>135</v>
      </c>
      <c r="AE202" s="15" t="s">
        <v>120</v>
      </c>
      <c r="AF202" s="18"/>
      <c r="AG202" s="15" t="s">
        <v>120</v>
      </c>
      <c r="AH202" s="18"/>
      <c r="AI202" s="15" t="s">
        <v>120</v>
      </c>
      <c r="AJ202" s="18"/>
      <c r="AK202" s="15" t="s">
        <v>135</v>
      </c>
      <c r="AL202" s="15" t="s">
        <v>141</v>
      </c>
      <c r="AM202" s="15" t="s">
        <v>138</v>
      </c>
      <c r="AN202" s="15" t="s">
        <v>128</v>
      </c>
      <c r="AO202" s="15" t="s">
        <v>156</v>
      </c>
      <c r="AP202" s="15"/>
    </row>
    <row r="203" ht="22.5" customHeight="1">
      <c r="A203" s="15" t="s">
        <v>3302</v>
      </c>
      <c r="B203" s="15" t="s">
        <v>3303</v>
      </c>
      <c r="C203" s="18"/>
      <c r="D203" s="41">
        <v>40949.0</v>
      </c>
      <c r="E203" s="15" t="s">
        <v>177</v>
      </c>
      <c r="F203" s="15">
        <v>5.545649062E9</v>
      </c>
      <c r="G203" s="15" t="s">
        <v>3304</v>
      </c>
      <c r="H203" s="15" t="s">
        <v>101</v>
      </c>
      <c r="I203" s="23" t="s">
        <v>1325</v>
      </c>
      <c r="J203" s="15" t="s">
        <v>3305</v>
      </c>
      <c r="K203" s="15" t="s">
        <v>3306</v>
      </c>
      <c r="L203" s="15">
        <v>5.545649062E9</v>
      </c>
      <c r="M203" s="18"/>
      <c r="N203" s="18"/>
      <c r="O203" s="18"/>
      <c r="P203" s="20">
        <v>14.0</v>
      </c>
      <c r="Q203" s="22">
        <v>46040.905694444446</v>
      </c>
      <c r="R203" s="15" t="s">
        <v>107</v>
      </c>
      <c r="S203" s="15" t="s">
        <v>109</v>
      </c>
      <c r="T203" s="15" t="s">
        <v>111</v>
      </c>
      <c r="U203" s="15" t="s">
        <v>398</v>
      </c>
      <c r="V203" s="15" t="s">
        <v>399</v>
      </c>
      <c r="W203" s="15" t="s">
        <v>400</v>
      </c>
      <c r="X203" s="15" t="s">
        <v>120</v>
      </c>
      <c r="Y203" s="18"/>
      <c r="Z203" s="15" t="s">
        <v>120</v>
      </c>
      <c r="AA203" s="18"/>
      <c r="AB203" s="15" t="s">
        <v>120</v>
      </c>
      <c r="AC203" s="18"/>
      <c r="AD203" s="18"/>
      <c r="AE203" s="15" t="s">
        <v>120</v>
      </c>
      <c r="AF203" s="18"/>
      <c r="AG203" s="15" t="s">
        <v>120</v>
      </c>
      <c r="AH203" s="18"/>
      <c r="AI203" s="15" t="s">
        <v>120</v>
      </c>
      <c r="AJ203" s="18"/>
      <c r="AK203" s="18"/>
      <c r="AL203" s="15" t="s">
        <v>242</v>
      </c>
      <c r="AM203" s="15" t="s">
        <v>185</v>
      </c>
      <c r="AN203" s="15" t="s">
        <v>129</v>
      </c>
      <c r="AO203" s="15" t="s">
        <v>141</v>
      </c>
      <c r="AP203" s="15"/>
    </row>
    <row r="204" ht="22.5" customHeight="1">
      <c r="A204" s="15" t="s">
        <v>2601</v>
      </c>
      <c r="B204" s="15" t="s">
        <v>2602</v>
      </c>
      <c r="C204" s="18"/>
      <c r="D204" s="41">
        <v>39908.0</v>
      </c>
      <c r="E204" s="15" t="s">
        <v>98</v>
      </c>
      <c r="F204" s="15">
        <v>5.654650738E9</v>
      </c>
      <c r="G204" s="15" t="s">
        <v>2603</v>
      </c>
      <c r="H204" s="15" t="s">
        <v>150</v>
      </c>
      <c r="I204" s="18"/>
      <c r="J204" s="15" t="s">
        <v>2604</v>
      </c>
      <c r="K204" s="15" t="s">
        <v>2603</v>
      </c>
      <c r="L204" s="15">
        <v>5.654650738E9</v>
      </c>
      <c r="M204" s="18"/>
      <c r="N204" s="18"/>
      <c r="O204" s="18"/>
      <c r="P204" s="20">
        <v>16.0</v>
      </c>
      <c r="Q204" s="22">
        <v>46036.86759259259</v>
      </c>
      <c r="R204" s="15" t="s">
        <v>107</v>
      </c>
      <c r="S204" s="15" t="s">
        <v>109</v>
      </c>
      <c r="T204" s="15" t="s">
        <v>204</v>
      </c>
      <c r="U204" s="15" t="s">
        <v>699</v>
      </c>
      <c r="V204" s="15" t="s">
        <v>700</v>
      </c>
      <c r="W204" s="15" t="s">
        <v>702</v>
      </c>
      <c r="X204" s="15" t="s">
        <v>120</v>
      </c>
      <c r="Y204" s="18"/>
      <c r="Z204" s="15" t="s">
        <v>117</v>
      </c>
      <c r="AA204" s="49" t="s">
        <v>2608</v>
      </c>
      <c r="AB204" s="15" t="s">
        <v>120</v>
      </c>
      <c r="AC204" s="15" t="s">
        <v>120</v>
      </c>
      <c r="AD204" s="18"/>
      <c r="AE204" s="15" t="s">
        <v>120</v>
      </c>
      <c r="AF204" s="18"/>
      <c r="AG204" s="15" t="s">
        <v>117</v>
      </c>
      <c r="AH204" s="15" t="s">
        <v>2609</v>
      </c>
      <c r="AI204" s="15" t="s">
        <v>120</v>
      </c>
      <c r="AJ204" s="18"/>
      <c r="AK204" s="15" t="s">
        <v>135</v>
      </c>
      <c r="AL204" s="15" t="s">
        <v>141</v>
      </c>
      <c r="AM204" s="15" t="s">
        <v>126</v>
      </c>
      <c r="AN204" s="15" t="s">
        <v>216</v>
      </c>
      <c r="AO204" s="15" t="s">
        <v>124</v>
      </c>
      <c r="AP204" s="15"/>
    </row>
    <row r="205" ht="22.5" customHeight="1">
      <c r="A205" s="15" t="s">
        <v>3313</v>
      </c>
      <c r="B205" s="15" t="s">
        <v>3314</v>
      </c>
      <c r="C205" s="15" t="s">
        <v>3315</v>
      </c>
      <c r="D205" s="41">
        <v>40363.0</v>
      </c>
      <c r="E205" s="15" t="s">
        <v>177</v>
      </c>
      <c r="F205" s="15">
        <v>5.537241752E9</v>
      </c>
      <c r="G205" s="15" t="s">
        <v>3316</v>
      </c>
      <c r="H205" s="15" t="s">
        <v>101</v>
      </c>
      <c r="I205" s="18"/>
      <c r="J205" s="15" t="s">
        <v>3317</v>
      </c>
      <c r="K205" s="15" t="s">
        <v>3318</v>
      </c>
      <c r="L205" s="15">
        <v>5.564941793E9</v>
      </c>
      <c r="M205" s="15" t="s">
        <v>3319</v>
      </c>
      <c r="N205" s="15" t="s">
        <v>3320</v>
      </c>
      <c r="O205" s="15">
        <v>5.62700041E9</v>
      </c>
      <c r="P205" s="20">
        <v>15.0</v>
      </c>
      <c r="Q205" s="22">
        <v>46033.453043981484</v>
      </c>
      <c r="R205" s="15" t="s">
        <v>260</v>
      </c>
      <c r="S205" s="15" t="s">
        <v>109</v>
      </c>
      <c r="T205" s="15" t="s">
        <v>171</v>
      </c>
      <c r="U205" s="15" t="s">
        <v>1048</v>
      </c>
      <c r="V205" s="15" t="s">
        <v>1050</v>
      </c>
      <c r="W205" s="15" t="s">
        <v>1051</v>
      </c>
      <c r="X205" s="15" t="s">
        <v>120</v>
      </c>
      <c r="Y205" s="18"/>
      <c r="Z205" s="15" t="s">
        <v>120</v>
      </c>
      <c r="AA205" s="18"/>
      <c r="AB205" s="15" t="s">
        <v>120</v>
      </c>
      <c r="AC205" s="15" t="s">
        <v>120</v>
      </c>
      <c r="AD205" s="18"/>
      <c r="AE205" s="15" t="s">
        <v>120</v>
      </c>
      <c r="AF205" s="18"/>
      <c r="AG205" s="15" t="s">
        <v>120</v>
      </c>
      <c r="AH205" s="18"/>
      <c r="AI205" s="15" t="s">
        <v>120</v>
      </c>
      <c r="AJ205" s="18"/>
      <c r="AK205" s="18"/>
      <c r="AL205" s="15" t="s">
        <v>138</v>
      </c>
      <c r="AM205" s="15" t="s">
        <v>185</v>
      </c>
      <c r="AN205" s="15" t="s">
        <v>129</v>
      </c>
      <c r="AO205" s="15" t="s">
        <v>126</v>
      </c>
      <c r="AP205" s="15"/>
    </row>
    <row r="206" ht="22.5" customHeight="1">
      <c r="A206" s="15" t="s">
        <v>3321</v>
      </c>
      <c r="B206" s="15" t="s">
        <v>2876</v>
      </c>
      <c r="C206" s="15" t="s">
        <v>3322</v>
      </c>
      <c r="D206" s="41">
        <v>40015.0</v>
      </c>
      <c r="E206" s="15" t="s">
        <v>177</v>
      </c>
      <c r="F206" s="15">
        <v>5.610217311E9</v>
      </c>
      <c r="G206" s="15" t="s">
        <v>3323</v>
      </c>
      <c r="H206" s="15" t="s">
        <v>382</v>
      </c>
      <c r="I206" s="23" t="s">
        <v>2878</v>
      </c>
      <c r="J206" s="15" t="s">
        <v>3324</v>
      </c>
      <c r="K206" s="15" t="s">
        <v>312</v>
      </c>
      <c r="L206" s="15">
        <v>5.610217311E9</v>
      </c>
      <c r="M206" s="18"/>
      <c r="N206" s="18"/>
      <c r="O206" s="18"/>
      <c r="P206" s="20">
        <v>16.0</v>
      </c>
      <c r="Q206" s="22">
        <v>46036.759247685186</v>
      </c>
      <c r="R206" s="15" t="s">
        <v>107</v>
      </c>
      <c r="S206" s="15" t="s">
        <v>109</v>
      </c>
      <c r="T206" s="15" t="s">
        <v>204</v>
      </c>
      <c r="U206" s="15" t="s">
        <v>311</v>
      </c>
      <c r="V206" s="15" t="s">
        <v>312</v>
      </c>
      <c r="W206" s="15" t="s">
        <v>313</v>
      </c>
      <c r="X206" s="15" t="s">
        <v>120</v>
      </c>
      <c r="Y206" s="18"/>
      <c r="Z206" s="15" t="s">
        <v>120</v>
      </c>
      <c r="AA206" s="18"/>
      <c r="AB206" s="15" t="s">
        <v>120</v>
      </c>
      <c r="AC206" s="18"/>
      <c r="AD206" s="18"/>
      <c r="AE206" s="15" t="s">
        <v>120</v>
      </c>
      <c r="AF206" s="18"/>
      <c r="AG206" s="15" t="s">
        <v>120</v>
      </c>
      <c r="AH206" s="18"/>
      <c r="AI206" s="15" t="s">
        <v>120</v>
      </c>
      <c r="AJ206" s="18"/>
      <c r="AK206" s="18"/>
      <c r="AL206" s="15" t="s">
        <v>129</v>
      </c>
      <c r="AM206" s="15" t="s">
        <v>141</v>
      </c>
      <c r="AN206" s="15" t="s">
        <v>141</v>
      </c>
      <c r="AO206" s="15" t="s">
        <v>138</v>
      </c>
      <c r="AP206" s="15"/>
    </row>
    <row r="207" ht="22.5" customHeight="1">
      <c r="A207" s="15" t="s">
        <v>3325</v>
      </c>
      <c r="B207" s="15" t="s">
        <v>3326</v>
      </c>
      <c r="C207" s="15" t="s">
        <v>3327</v>
      </c>
      <c r="D207" s="41">
        <v>40841.0</v>
      </c>
      <c r="E207" s="15" t="s">
        <v>177</v>
      </c>
      <c r="F207" s="15">
        <v>5.573546643E9</v>
      </c>
      <c r="G207" s="15" t="s">
        <v>3328</v>
      </c>
      <c r="H207" s="15" t="s">
        <v>382</v>
      </c>
      <c r="I207" s="23" t="s">
        <v>3329</v>
      </c>
      <c r="J207" s="15" t="s">
        <v>3330</v>
      </c>
      <c r="K207" s="15" t="s">
        <v>3331</v>
      </c>
      <c r="L207" s="15">
        <v>5.656137672E9</v>
      </c>
      <c r="M207" s="18"/>
      <c r="N207" s="18"/>
      <c r="O207" s="18"/>
      <c r="P207" s="20">
        <v>14.0</v>
      </c>
      <c r="Q207" s="22">
        <v>46031.571701388886</v>
      </c>
      <c r="R207" s="15" t="s">
        <v>107</v>
      </c>
      <c r="S207" s="15" t="s">
        <v>109</v>
      </c>
      <c r="T207" s="15" t="s">
        <v>127</v>
      </c>
      <c r="U207" s="15" t="s">
        <v>531</v>
      </c>
      <c r="V207" s="15" t="s">
        <v>532</v>
      </c>
      <c r="W207" s="15" t="s">
        <v>534</v>
      </c>
      <c r="X207" s="15" t="s">
        <v>120</v>
      </c>
      <c r="Y207" s="18"/>
      <c r="Z207" s="15" t="s">
        <v>120</v>
      </c>
      <c r="AA207" s="18"/>
      <c r="AB207" s="15" t="s">
        <v>120</v>
      </c>
      <c r="AC207" s="18"/>
      <c r="AD207" s="18"/>
      <c r="AE207" s="15" t="s">
        <v>120</v>
      </c>
      <c r="AF207" s="18"/>
      <c r="AG207" s="15" t="s">
        <v>120</v>
      </c>
      <c r="AH207" s="18"/>
      <c r="AI207" s="15" t="s">
        <v>117</v>
      </c>
      <c r="AJ207" s="18"/>
      <c r="AK207" s="18"/>
      <c r="AL207" s="15" t="s">
        <v>128</v>
      </c>
      <c r="AM207" s="15" t="s">
        <v>156</v>
      </c>
      <c r="AN207" s="15" t="s">
        <v>128</v>
      </c>
      <c r="AO207" s="15" t="s">
        <v>156</v>
      </c>
      <c r="AP207" s="15"/>
    </row>
    <row r="208" ht="22.5" customHeight="1">
      <c r="A208" s="15" t="s">
        <v>3332</v>
      </c>
      <c r="B208" s="15" t="s">
        <v>3333</v>
      </c>
      <c r="C208" s="15" t="s">
        <v>3334</v>
      </c>
      <c r="D208" s="41">
        <v>40844.0</v>
      </c>
      <c r="E208" s="15" t="s">
        <v>177</v>
      </c>
      <c r="F208" s="15">
        <v>7.297480255E9</v>
      </c>
      <c r="G208" s="15" t="s">
        <v>3336</v>
      </c>
      <c r="H208" s="15" t="s">
        <v>150</v>
      </c>
      <c r="I208" s="18"/>
      <c r="J208" s="15" t="s">
        <v>3337</v>
      </c>
      <c r="K208" s="15" t="s">
        <v>3338</v>
      </c>
      <c r="L208" s="15">
        <v>5.510533233E9</v>
      </c>
      <c r="M208" s="18"/>
      <c r="N208" s="18"/>
      <c r="O208" s="18"/>
      <c r="P208" s="20">
        <v>14.0</v>
      </c>
      <c r="Q208" s="22">
        <v>46036.97341435185</v>
      </c>
      <c r="R208" s="15" t="s">
        <v>107</v>
      </c>
      <c r="S208" s="15" t="s">
        <v>109</v>
      </c>
      <c r="T208" s="15" t="s">
        <v>192</v>
      </c>
      <c r="U208" s="15" t="s">
        <v>749</v>
      </c>
      <c r="V208" s="15" t="s">
        <v>750</v>
      </c>
      <c r="W208" s="15" t="s">
        <v>751</v>
      </c>
      <c r="X208" s="15" t="s">
        <v>120</v>
      </c>
      <c r="Y208" s="18"/>
      <c r="Z208" s="15" t="s">
        <v>120</v>
      </c>
      <c r="AA208" s="18"/>
      <c r="AB208" s="15" t="s">
        <v>120</v>
      </c>
      <c r="AC208" s="15" t="s">
        <v>120</v>
      </c>
      <c r="AD208" s="18"/>
      <c r="AE208" s="15" t="s">
        <v>120</v>
      </c>
      <c r="AF208" s="18"/>
      <c r="AG208" s="15" t="s">
        <v>120</v>
      </c>
      <c r="AH208" s="18"/>
      <c r="AI208" s="15" t="s">
        <v>120</v>
      </c>
      <c r="AJ208" s="18"/>
      <c r="AK208" s="18"/>
      <c r="AL208" s="15" t="s">
        <v>185</v>
      </c>
      <c r="AM208" s="15" t="s">
        <v>141</v>
      </c>
      <c r="AN208" s="15" t="s">
        <v>156</v>
      </c>
      <c r="AO208" s="15" t="s">
        <v>138</v>
      </c>
      <c r="AP208" s="15"/>
    </row>
    <row r="209" ht="22.5" customHeight="1">
      <c r="A209" s="15" t="s">
        <v>3343</v>
      </c>
      <c r="B209" s="15" t="s">
        <v>1575</v>
      </c>
      <c r="C209" s="15" t="s">
        <v>3345</v>
      </c>
      <c r="D209" s="41">
        <v>40475.0</v>
      </c>
      <c r="E209" s="15" t="s">
        <v>177</v>
      </c>
      <c r="F209" s="15">
        <v>5.516030142E9</v>
      </c>
      <c r="G209" s="15" t="s">
        <v>1588</v>
      </c>
      <c r="H209" s="15" t="s">
        <v>101</v>
      </c>
      <c r="I209" s="18"/>
      <c r="J209" s="15" t="s">
        <v>1586</v>
      </c>
      <c r="K209" s="15" t="s">
        <v>1588</v>
      </c>
      <c r="L209" s="15">
        <v>5.564927995E9</v>
      </c>
      <c r="M209" s="18"/>
      <c r="N209" s="18"/>
      <c r="O209" s="18"/>
      <c r="P209" s="20">
        <v>15.0</v>
      </c>
      <c r="Q209" s="22">
        <v>46033.43896990741</v>
      </c>
      <c r="R209" s="15" t="s">
        <v>107</v>
      </c>
      <c r="S209" s="15" t="s">
        <v>109</v>
      </c>
      <c r="T209" s="15" t="s">
        <v>160</v>
      </c>
      <c r="U209" s="15" t="s">
        <v>308</v>
      </c>
      <c r="V209" s="15" t="s">
        <v>309</v>
      </c>
      <c r="W209" s="15" t="s">
        <v>310</v>
      </c>
      <c r="X209" s="15" t="s">
        <v>120</v>
      </c>
      <c r="Y209" s="18"/>
      <c r="Z209" s="15" t="s">
        <v>117</v>
      </c>
      <c r="AA209" s="67" t="s">
        <v>1729</v>
      </c>
      <c r="AB209" s="15" t="s">
        <v>120</v>
      </c>
      <c r="AC209" s="18"/>
      <c r="AD209" s="18"/>
      <c r="AE209" s="15" t="s">
        <v>120</v>
      </c>
      <c r="AF209" s="18"/>
      <c r="AG209" s="15" t="s">
        <v>120</v>
      </c>
      <c r="AH209" s="18"/>
      <c r="AI209" s="15" t="s">
        <v>120</v>
      </c>
      <c r="AJ209" s="18"/>
      <c r="AK209" s="18"/>
      <c r="AL209" s="15" t="s">
        <v>141</v>
      </c>
      <c r="AM209" s="15" t="s">
        <v>129</v>
      </c>
      <c r="AN209" s="15" t="s">
        <v>240</v>
      </c>
      <c r="AO209" s="15" t="s">
        <v>138</v>
      </c>
      <c r="AP209" s="15"/>
    </row>
    <row r="210" ht="22.5" customHeight="1">
      <c r="A210" s="15" t="s">
        <v>3347</v>
      </c>
      <c r="B210" s="15" t="s">
        <v>3348</v>
      </c>
      <c r="C210" s="15" t="s">
        <v>3349</v>
      </c>
      <c r="D210" s="41">
        <v>40390.0</v>
      </c>
      <c r="E210" s="15" t="s">
        <v>177</v>
      </c>
      <c r="F210" s="15" t="s">
        <v>3350</v>
      </c>
      <c r="G210" s="15" t="s">
        <v>3351</v>
      </c>
      <c r="H210" s="15" t="s">
        <v>101</v>
      </c>
      <c r="I210" s="18"/>
      <c r="J210" s="15" t="s">
        <v>3352</v>
      </c>
      <c r="K210" s="15" t="s">
        <v>3351</v>
      </c>
      <c r="L210" s="15" t="s">
        <v>3353</v>
      </c>
      <c r="M210" s="18"/>
      <c r="N210" s="18"/>
      <c r="O210" s="18"/>
      <c r="P210" s="20">
        <v>15.0</v>
      </c>
      <c r="Q210" s="22">
        <v>46040.936840277776</v>
      </c>
      <c r="R210" s="15" t="s">
        <v>107</v>
      </c>
      <c r="S210" s="15" t="s">
        <v>109</v>
      </c>
      <c r="T210" s="15" t="s">
        <v>192</v>
      </c>
      <c r="U210" s="15" t="s">
        <v>485</v>
      </c>
      <c r="V210" s="15" t="s">
        <v>486</v>
      </c>
      <c r="W210" s="15" t="s">
        <v>487</v>
      </c>
      <c r="X210" s="15" t="s">
        <v>120</v>
      </c>
      <c r="Y210" s="18"/>
      <c r="Z210" s="15" t="s">
        <v>120</v>
      </c>
      <c r="AA210" s="18"/>
      <c r="AB210" s="15" t="s">
        <v>120</v>
      </c>
      <c r="AC210" s="15" t="s">
        <v>120</v>
      </c>
      <c r="AD210" s="18"/>
      <c r="AE210" s="15" t="s">
        <v>120</v>
      </c>
      <c r="AF210" s="18"/>
      <c r="AG210" s="15" t="s">
        <v>120</v>
      </c>
      <c r="AH210" s="18"/>
      <c r="AI210" s="15" t="s">
        <v>120</v>
      </c>
      <c r="AJ210" s="18"/>
      <c r="AK210" s="18"/>
      <c r="AL210" s="15" t="s">
        <v>138</v>
      </c>
      <c r="AM210" s="15" t="s">
        <v>129</v>
      </c>
      <c r="AN210" s="15" t="s">
        <v>156</v>
      </c>
      <c r="AO210" s="15" t="s">
        <v>242</v>
      </c>
      <c r="AP210" s="15"/>
    </row>
    <row r="211" ht="22.5" customHeight="1">
      <c r="A211" s="15" t="s">
        <v>3354</v>
      </c>
      <c r="B211" s="15" t="s">
        <v>1513</v>
      </c>
      <c r="C211" s="15" t="s">
        <v>3355</v>
      </c>
      <c r="D211" s="41">
        <v>39582.0</v>
      </c>
      <c r="E211" s="15" t="s">
        <v>177</v>
      </c>
      <c r="F211" s="15">
        <v>5.583696879E9</v>
      </c>
      <c r="G211" s="15" t="s">
        <v>3356</v>
      </c>
      <c r="H211" s="15" t="s">
        <v>150</v>
      </c>
      <c r="I211" s="18"/>
      <c r="J211" s="15" t="s">
        <v>1519</v>
      </c>
      <c r="K211" s="15" t="s">
        <v>1521</v>
      </c>
      <c r="L211" s="15">
        <v>5.586136085E9</v>
      </c>
      <c r="M211" s="18"/>
      <c r="N211" s="18"/>
      <c r="O211" s="18"/>
      <c r="P211" s="20">
        <v>17.0</v>
      </c>
      <c r="Q211" s="22">
        <v>46020.475636574076</v>
      </c>
      <c r="R211" s="15" t="s">
        <v>107</v>
      </c>
      <c r="S211" s="15" t="s">
        <v>109</v>
      </c>
      <c r="T211" s="15" t="s">
        <v>208</v>
      </c>
      <c r="U211" s="15" t="s">
        <v>428</v>
      </c>
      <c r="V211" s="15" t="s">
        <v>429</v>
      </c>
      <c r="W211" s="15" t="s">
        <v>430</v>
      </c>
      <c r="X211" s="15" t="s">
        <v>120</v>
      </c>
      <c r="Y211" s="18"/>
      <c r="Z211" s="15" t="s">
        <v>117</v>
      </c>
      <c r="AA211" s="67" t="s">
        <v>3357</v>
      </c>
      <c r="AB211" s="15" t="s">
        <v>120</v>
      </c>
      <c r="AC211" s="18"/>
      <c r="AD211" s="18"/>
      <c r="AE211" s="15" t="s">
        <v>120</v>
      </c>
      <c r="AF211" s="18"/>
      <c r="AG211" s="15" t="s">
        <v>120</v>
      </c>
      <c r="AH211" s="18"/>
      <c r="AI211" s="15" t="s">
        <v>120</v>
      </c>
      <c r="AJ211" s="18"/>
      <c r="AK211" s="18"/>
      <c r="AL211" s="15" t="s">
        <v>185</v>
      </c>
      <c r="AM211" s="15" t="s">
        <v>138</v>
      </c>
      <c r="AN211" s="15" t="s">
        <v>124</v>
      </c>
      <c r="AO211" s="15" t="s">
        <v>216</v>
      </c>
      <c r="AP211" s="15"/>
    </row>
    <row r="212" ht="22.5" customHeight="1">
      <c r="A212" s="15" t="s">
        <v>3358</v>
      </c>
      <c r="B212" s="15" t="s">
        <v>3359</v>
      </c>
      <c r="C212" s="15" t="s">
        <v>3360</v>
      </c>
      <c r="D212" s="41">
        <v>40075.0</v>
      </c>
      <c r="E212" s="15" t="s">
        <v>177</v>
      </c>
      <c r="F212" s="15">
        <v>5.662733404E9</v>
      </c>
      <c r="G212" s="15" t="s">
        <v>3361</v>
      </c>
      <c r="H212" s="15" t="s">
        <v>101</v>
      </c>
      <c r="I212" s="23" t="s">
        <v>979</v>
      </c>
      <c r="J212" s="15" t="s">
        <v>3362</v>
      </c>
      <c r="K212" s="15" t="s">
        <v>3361</v>
      </c>
      <c r="L212" s="15">
        <v>5.546686041E9</v>
      </c>
      <c r="M212" s="18"/>
      <c r="N212" s="18"/>
      <c r="O212" s="18"/>
      <c r="P212" s="20">
        <v>16.0</v>
      </c>
      <c r="Q212" s="22">
        <v>46040.505844907406</v>
      </c>
      <c r="R212" s="15" t="s">
        <v>107</v>
      </c>
      <c r="S212" s="15" t="s">
        <v>109</v>
      </c>
      <c r="T212" s="15" t="s">
        <v>160</v>
      </c>
      <c r="U212" s="15" t="s">
        <v>308</v>
      </c>
      <c r="V212" s="15" t="s">
        <v>309</v>
      </c>
      <c r="W212" s="15" t="s">
        <v>310</v>
      </c>
      <c r="X212" s="15" t="s">
        <v>120</v>
      </c>
      <c r="Y212" s="18"/>
      <c r="Z212" s="15" t="s">
        <v>120</v>
      </c>
      <c r="AA212" s="18"/>
      <c r="AB212" s="15" t="s">
        <v>120</v>
      </c>
      <c r="AC212" s="18"/>
      <c r="AD212" s="18"/>
      <c r="AE212" s="15" t="s">
        <v>120</v>
      </c>
      <c r="AF212" s="18"/>
      <c r="AG212" s="15" t="s">
        <v>120</v>
      </c>
      <c r="AH212" s="18"/>
      <c r="AI212" s="15" t="s">
        <v>120</v>
      </c>
      <c r="AJ212" s="18"/>
      <c r="AK212" s="18"/>
      <c r="AL212" s="15" t="s">
        <v>156</v>
      </c>
      <c r="AM212" s="15" t="s">
        <v>185</v>
      </c>
      <c r="AN212" s="15" t="s">
        <v>124</v>
      </c>
      <c r="AO212" s="15" t="s">
        <v>129</v>
      </c>
      <c r="AP212" s="15"/>
    </row>
    <row r="213" ht="22.5" customHeight="1">
      <c r="A213" s="15" t="s">
        <v>3363</v>
      </c>
      <c r="B213" s="15" t="s">
        <v>3364</v>
      </c>
      <c r="C213" s="18"/>
      <c r="D213" s="41">
        <v>39494.0</v>
      </c>
      <c r="E213" s="15" t="s">
        <v>98</v>
      </c>
      <c r="F213" s="15">
        <v>5.534243339E9</v>
      </c>
      <c r="G213" s="15" t="s">
        <v>3365</v>
      </c>
      <c r="H213" s="15" t="s">
        <v>101</v>
      </c>
      <c r="I213" s="18"/>
      <c r="J213" s="15" t="s">
        <v>3366</v>
      </c>
      <c r="K213" s="15" t="s">
        <v>3367</v>
      </c>
      <c r="L213" s="15">
        <v>5.560611023E9</v>
      </c>
      <c r="M213" s="18"/>
      <c r="N213" s="18"/>
      <c r="O213" s="18"/>
      <c r="P213" s="20">
        <v>18.0</v>
      </c>
      <c r="Q213" s="22">
        <v>46040.7130787037</v>
      </c>
      <c r="R213" s="15" t="s">
        <v>107</v>
      </c>
      <c r="S213" s="15" t="s">
        <v>109</v>
      </c>
      <c r="T213" s="15" t="s">
        <v>192</v>
      </c>
      <c r="U213" s="15" t="s">
        <v>485</v>
      </c>
      <c r="V213" s="15" t="s">
        <v>486</v>
      </c>
      <c r="W213" s="15" t="s">
        <v>487</v>
      </c>
      <c r="X213" s="15" t="s">
        <v>120</v>
      </c>
      <c r="Y213" s="18"/>
      <c r="Z213" s="15" t="s">
        <v>120</v>
      </c>
      <c r="AA213" s="18"/>
      <c r="AB213" s="15" t="s">
        <v>120</v>
      </c>
      <c r="AC213" s="18"/>
      <c r="AD213" s="18"/>
      <c r="AE213" s="15" t="s">
        <v>120</v>
      </c>
      <c r="AF213" s="18"/>
      <c r="AG213" s="15" t="s">
        <v>120</v>
      </c>
      <c r="AH213" s="18"/>
      <c r="AI213" s="15" t="s">
        <v>120</v>
      </c>
      <c r="AJ213" s="18"/>
      <c r="AK213" s="18"/>
      <c r="AL213" s="15" t="s">
        <v>126</v>
      </c>
      <c r="AM213" s="15" t="s">
        <v>240</v>
      </c>
      <c r="AN213" s="15" t="s">
        <v>138</v>
      </c>
      <c r="AO213" s="15" t="s">
        <v>216</v>
      </c>
      <c r="AP213" s="15"/>
    </row>
    <row r="214" ht="22.5" customHeight="1">
      <c r="A214" s="15" t="s">
        <v>3368</v>
      </c>
      <c r="B214" s="15" t="s">
        <v>3369</v>
      </c>
      <c r="C214" s="15" t="s">
        <v>3370</v>
      </c>
      <c r="D214" s="41">
        <v>40557.0</v>
      </c>
      <c r="E214" s="15" t="s">
        <v>98</v>
      </c>
      <c r="F214" s="15">
        <v>5.532896662E9</v>
      </c>
      <c r="G214" s="15" t="s">
        <v>3371</v>
      </c>
      <c r="H214" s="15" t="s">
        <v>101</v>
      </c>
      <c r="I214" s="18"/>
      <c r="J214" s="15" t="s">
        <v>3372</v>
      </c>
      <c r="K214" s="15" t="s">
        <v>3373</v>
      </c>
      <c r="L214" s="15">
        <v>5.532168963E9</v>
      </c>
      <c r="M214" s="18"/>
      <c r="N214" s="18"/>
      <c r="O214" s="18"/>
      <c r="P214" s="20">
        <v>15.0</v>
      </c>
      <c r="Q214" s="22">
        <v>46040.843831018516</v>
      </c>
      <c r="R214" s="15" t="s">
        <v>107</v>
      </c>
      <c r="S214" s="15" t="s">
        <v>109</v>
      </c>
      <c r="T214" s="15" t="s">
        <v>127</v>
      </c>
      <c r="U214" s="15" t="s">
        <v>234</v>
      </c>
      <c r="V214" s="15" t="s">
        <v>227</v>
      </c>
      <c r="W214" s="15" t="s">
        <v>236</v>
      </c>
      <c r="X214" s="15" t="s">
        <v>120</v>
      </c>
      <c r="Y214" s="18"/>
      <c r="Z214" s="15" t="s">
        <v>120</v>
      </c>
      <c r="AA214" s="18"/>
      <c r="AB214" s="15" t="s">
        <v>120</v>
      </c>
      <c r="AC214" s="18"/>
      <c r="AD214" s="18"/>
      <c r="AE214" s="15" t="s">
        <v>120</v>
      </c>
      <c r="AF214" s="18"/>
      <c r="AG214" s="15" t="s">
        <v>120</v>
      </c>
      <c r="AH214" s="18"/>
      <c r="AI214" s="15" t="s">
        <v>120</v>
      </c>
      <c r="AJ214" s="18"/>
      <c r="AK214" s="18"/>
      <c r="AL214" s="15" t="s">
        <v>129</v>
      </c>
      <c r="AM214" s="15" t="s">
        <v>240</v>
      </c>
      <c r="AN214" s="15" t="s">
        <v>126</v>
      </c>
      <c r="AO214" s="15" t="s">
        <v>216</v>
      </c>
      <c r="AP214" s="15"/>
    </row>
    <row r="215" ht="22.5" customHeight="1">
      <c r="A215" s="15" t="s">
        <v>3377</v>
      </c>
      <c r="B215" s="15" t="s">
        <v>3379</v>
      </c>
      <c r="C215" s="15" t="s">
        <v>3380</v>
      </c>
      <c r="D215" s="41">
        <v>40695.0</v>
      </c>
      <c r="E215" s="15" t="s">
        <v>177</v>
      </c>
      <c r="F215" s="15">
        <v>5.540752569E9</v>
      </c>
      <c r="G215" s="15" t="s">
        <v>3381</v>
      </c>
      <c r="H215" s="15" t="s">
        <v>150</v>
      </c>
      <c r="I215" s="23" t="s">
        <v>135</v>
      </c>
      <c r="J215" s="15" t="s">
        <v>3382</v>
      </c>
      <c r="K215" s="15" t="s">
        <v>3381</v>
      </c>
      <c r="L215" s="15">
        <v>5.540752569E9</v>
      </c>
      <c r="M215" s="18"/>
      <c r="N215" s="18"/>
      <c r="O215" s="18"/>
      <c r="P215" s="20">
        <v>14.0</v>
      </c>
      <c r="Q215" s="22">
        <v>46034.62709490741</v>
      </c>
      <c r="R215" s="15" t="s">
        <v>107</v>
      </c>
      <c r="S215" s="15" t="s">
        <v>109</v>
      </c>
      <c r="T215" s="15" t="s">
        <v>204</v>
      </c>
      <c r="U215" s="15" t="s">
        <v>295</v>
      </c>
      <c r="V215" s="15" t="s">
        <v>298</v>
      </c>
      <c r="W215" s="15" t="s">
        <v>299</v>
      </c>
      <c r="X215" s="15" t="s">
        <v>120</v>
      </c>
      <c r="Y215" s="18"/>
      <c r="Z215" s="15" t="s">
        <v>120</v>
      </c>
      <c r="AA215" s="18"/>
      <c r="AB215" s="15" t="s">
        <v>120</v>
      </c>
      <c r="AC215" s="18"/>
      <c r="AD215" s="15" t="s">
        <v>135</v>
      </c>
      <c r="AE215" s="15" t="s">
        <v>120</v>
      </c>
      <c r="AF215" s="18"/>
      <c r="AG215" s="15" t="s">
        <v>120</v>
      </c>
      <c r="AH215" s="18"/>
      <c r="AI215" s="15" t="s">
        <v>120</v>
      </c>
      <c r="AJ215" s="18"/>
      <c r="AK215" s="15" t="s">
        <v>135</v>
      </c>
      <c r="AL215" s="15" t="s">
        <v>185</v>
      </c>
      <c r="AM215" s="15" t="s">
        <v>124</v>
      </c>
      <c r="AN215" s="15" t="s">
        <v>216</v>
      </c>
      <c r="AO215" s="15" t="s">
        <v>138</v>
      </c>
      <c r="AP215" s="15"/>
    </row>
    <row r="216" ht="22.5" customHeight="1">
      <c r="A216" s="15" t="s">
        <v>3383</v>
      </c>
      <c r="B216" s="15" t="s">
        <v>3384</v>
      </c>
      <c r="C216" s="18"/>
      <c r="D216" s="41">
        <v>40167.0</v>
      </c>
      <c r="E216" s="15" t="s">
        <v>177</v>
      </c>
      <c r="F216" s="15">
        <v>5.637505869E9</v>
      </c>
      <c r="G216" s="15" t="s">
        <v>3385</v>
      </c>
      <c r="H216" s="15" t="s">
        <v>101</v>
      </c>
      <c r="I216" s="23" t="s">
        <v>1325</v>
      </c>
      <c r="J216" s="15" t="s">
        <v>3386</v>
      </c>
      <c r="K216" s="15" t="s">
        <v>3387</v>
      </c>
      <c r="L216" s="15">
        <v>5.591888985E9</v>
      </c>
      <c r="M216" s="15" t="s">
        <v>3388</v>
      </c>
      <c r="N216" s="15" t="s">
        <v>3389</v>
      </c>
      <c r="O216" s="15">
        <v>5.582979154E9</v>
      </c>
      <c r="P216" s="20">
        <v>16.0</v>
      </c>
      <c r="Q216" s="22">
        <v>46038.7797337963</v>
      </c>
      <c r="R216" s="15" t="s">
        <v>107</v>
      </c>
      <c r="S216" s="15" t="s">
        <v>109</v>
      </c>
      <c r="T216" s="15" t="s">
        <v>111</v>
      </c>
      <c r="U216" s="15" t="s">
        <v>112</v>
      </c>
      <c r="V216" s="15" t="s">
        <v>114</v>
      </c>
      <c r="W216" s="15" t="s">
        <v>115</v>
      </c>
      <c r="X216" s="15" t="s">
        <v>120</v>
      </c>
      <c r="Y216" s="18"/>
      <c r="Z216" s="15" t="s">
        <v>117</v>
      </c>
      <c r="AA216" s="52" t="s">
        <v>3390</v>
      </c>
      <c r="AB216" s="15" t="s">
        <v>120</v>
      </c>
      <c r="AC216" s="18"/>
      <c r="AD216" s="18"/>
      <c r="AE216" s="15" t="s">
        <v>120</v>
      </c>
      <c r="AF216" s="18"/>
      <c r="AG216" s="15" t="s">
        <v>120</v>
      </c>
      <c r="AH216" s="18"/>
      <c r="AI216" s="15" t="s">
        <v>120</v>
      </c>
      <c r="AJ216" s="18"/>
      <c r="AK216" s="18"/>
      <c r="AL216" s="15" t="s">
        <v>242</v>
      </c>
      <c r="AM216" s="15" t="s">
        <v>126</v>
      </c>
      <c r="AN216" s="15" t="s">
        <v>216</v>
      </c>
      <c r="AO216" s="15" t="s">
        <v>129</v>
      </c>
      <c r="AP216" s="15"/>
    </row>
    <row r="217" ht="22.5" customHeight="1">
      <c r="A217" s="15" t="s">
        <v>3399</v>
      </c>
      <c r="B217" s="15" t="s">
        <v>3400</v>
      </c>
      <c r="C217" s="15" t="s">
        <v>3401</v>
      </c>
      <c r="D217" s="41">
        <v>40305.0</v>
      </c>
      <c r="E217" s="15" t="s">
        <v>98</v>
      </c>
      <c r="F217" s="15">
        <v>5.564518546E9</v>
      </c>
      <c r="G217" s="15" t="s">
        <v>3402</v>
      </c>
      <c r="H217" s="15" t="s">
        <v>140</v>
      </c>
      <c r="I217" s="18"/>
      <c r="J217" s="15" t="s">
        <v>3403</v>
      </c>
      <c r="K217" s="15" t="s">
        <v>3404</v>
      </c>
      <c r="L217" s="15">
        <v>5.51817698E9</v>
      </c>
      <c r="M217" s="18"/>
      <c r="N217" s="18"/>
      <c r="O217" s="18"/>
      <c r="P217" s="20">
        <v>15.0</v>
      </c>
      <c r="Q217" s="22">
        <v>46041.333182870374</v>
      </c>
      <c r="R217" s="15" t="s">
        <v>107</v>
      </c>
      <c r="S217" s="15" t="s">
        <v>109</v>
      </c>
      <c r="T217" s="15" t="s">
        <v>111</v>
      </c>
      <c r="U217" s="15" t="s">
        <v>2283</v>
      </c>
      <c r="V217" s="15" t="s">
        <v>2285</v>
      </c>
      <c r="W217" s="15" t="s">
        <v>2286</v>
      </c>
      <c r="X217" s="15" t="s">
        <v>120</v>
      </c>
      <c r="Y217" s="18"/>
      <c r="Z217" s="15" t="s">
        <v>120</v>
      </c>
      <c r="AA217" s="18"/>
      <c r="AB217" s="15" t="s">
        <v>120</v>
      </c>
      <c r="AC217" s="18"/>
      <c r="AD217" s="18"/>
      <c r="AE217" s="15" t="s">
        <v>120</v>
      </c>
      <c r="AF217" s="18"/>
      <c r="AG217" s="15" t="s">
        <v>120</v>
      </c>
      <c r="AH217" s="18"/>
      <c r="AI217" s="15" t="s">
        <v>120</v>
      </c>
      <c r="AJ217" s="18"/>
      <c r="AK217" s="18"/>
      <c r="AL217" s="15" t="s">
        <v>242</v>
      </c>
      <c r="AM217" s="15" t="s">
        <v>156</v>
      </c>
      <c r="AN217" s="15" t="s">
        <v>141</v>
      </c>
      <c r="AO217" s="15" t="s">
        <v>216</v>
      </c>
      <c r="AP217" s="15"/>
    </row>
    <row r="218" ht="22.5" customHeight="1">
      <c r="A218" s="15" t="s">
        <v>3405</v>
      </c>
      <c r="B218" s="15" t="s">
        <v>3406</v>
      </c>
      <c r="C218" s="15" t="s">
        <v>3407</v>
      </c>
      <c r="D218" s="41">
        <v>39887.0</v>
      </c>
      <c r="E218" s="15" t="s">
        <v>98</v>
      </c>
      <c r="F218" s="15">
        <v>5.516119125E9</v>
      </c>
      <c r="G218" s="15" t="s">
        <v>3408</v>
      </c>
      <c r="H218" s="15" t="s">
        <v>101</v>
      </c>
      <c r="I218" s="18"/>
      <c r="J218" s="15" t="s">
        <v>3409</v>
      </c>
      <c r="K218" s="15" t="s">
        <v>3408</v>
      </c>
      <c r="L218" s="15">
        <v>5.516119125E9</v>
      </c>
      <c r="M218" s="18"/>
      <c r="N218" s="18"/>
      <c r="O218" s="18"/>
      <c r="P218" s="20">
        <v>16.0</v>
      </c>
      <c r="Q218" s="22">
        <v>46038.906435185185</v>
      </c>
      <c r="R218" s="15" t="s">
        <v>107</v>
      </c>
      <c r="S218" s="15" t="s">
        <v>109</v>
      </c>
      <c r="T218" s="15" t="s">
        <v>171</v>
      </c>
      <c r="U218" s="15" t="s">
        <v>2149</v>
      </c>
      <c r="V218" s="15" t="s">
        <v>2141</v>
      </c>
      <c r="W218" s="15" t="s">
        <v>2151</v>
      </c>
      <c r="X218" s="15" t="s">
        <v>120</v>
      </c>
      <c r="Y218" s="18"/>
      <c r="Z218" s="15" t="s">
        <v>120</v>
      </c>
      <c r="AA218" s="18"/>
      <c r="AB218" s="15" t="s">
        <v>120</v>
      </c>
      <c r="AC218" s="15" t="s">
        <v>120</v>
      </c>
      <c r="AD218" s="18"/>
      <c r="AE218" s="15" t="s">
        <v>120</v>
      </c>
      <c r="AF218" s="18"/>
      <c r="AG218" s="15" t="s">
        <v>120</v>
      </c>
      <c r="AH218" s="18"/>
      <c r="AI218" s="15" t="s">
        <v>120</v>
      </c>
      <c r="AJ218" s="18"/>
      <c r="AK218" s="18"/>
      <c r="AL218" s="15" t="s">
        <v>185</v>
      </c>
      <c r="AM218" s="15" t="s">
        <v>129</v>
      </c>
      <c r="AN218" s="15" t="s">
        <v>124</v>
      </c>
      <c r="AO218" s="15" t="s">
        <v>141</v>
      </c>
      <c r="AP218" s="15"/>
    </row>
    <row r="219" ht="22.5" customHeight="1">
      <c r="A219" s="15" t="s">
        <v>3416</v>
      </c>
      <c r="B219" s="15" t="s">
        <v>3417</v>
      </c>
      <c r="C219" s="15" t="s">
        <v>3418</v>
      </c>
      <c r="D219" s="41">
        <v>40535.0</v>
      </c>
      <c r="E219" s="15" t="s">
        <v>98</v>
      </c>
      <c r="F219" s="15">
        <v>5.573025278E9</v>
      </c>
      <c r="G219" s="15" t="s">
        <v>3419</v>
      </c>
      <c r="H219" s="15" t="s">
        <v>150</v>
      </c>
      <c r="I219" s="23" t="s">
        <v>3420</v>
      </c>
      <c r="J219" s="15" t="s">
        <v>3421</v>
      </c>
      <c r="K219" s="15" t="s">
        <v>3422</v>
      </c>
      <c r="L219" s="15">
        <v>5.588378632E9</v>
      </c>
      <c r="M219" s="15" t="s">
        <v>3423</v>
      </c>
      <c r="N219" s="15" t="s">
        <v>3424</v>
      </c>
      <c r="O219" s="15">
        <v>5.569902224E9</v>
      </c>
      <c r="P219" s="20">
        <v>15.0</v>
      </c>
      <c r="Q219" s="22">
        <v>46026.72869212963</v>
      </c>
      <c r="R219" s="15" t="s">
        <v>107</v>
      </c>
      <c r="S219" s="15" t="s">
        <v>109</v>
      </c>
      <c r="T219" s="15" t="s">
        <v>111</v>
      </c>
      <c r="U219" s="15" t="s">
        <v>2283</v>
      </c>
      <c r="V219" s="15" t="s">
        <v>2285</v>
      </c>
      <c r="W219" s="15" t="s">
        <v>2286</v>
      </c>
      <c r="X219" s="15" t="s">
        <v>120</v>
      </c>
      <c r="Y219" s="15" t="s">
        <v>2397</v>
      </c>
      <c r="Z219" s="15" t="s">
        <v>120</v>
      </c>
      <c r="AA219" s="15" t="s">
        <v>2397</v>
      </c>
      <c r="AB219" s="15" t="s">
        <v>120</v>
      </c>
      <c r="AC219" s="15" t="s">
        <v>120</v>
      </c>
      <c r="AD219" s="15" t="s">
        <v>2397</v>
      </c>
      <c r="AE219" s="15" t="s">
        <v>120</v>
      </c>
      <c r="AF219" s="15" t="s">
        <v>2397</v>
      </c>
      <c r="AG219" s="15" t="s">
        <v>120</v>
      </c>
      <c r="AH219" s="15" t="s">
        <v>2397</v>
      </c>
      <c r="AI219" s="15" t="s">
        <v>120</v>
      </c>
      <c r="AJ219" s="15" t="s">
        <v>2397</v>
      </c>
      <c r="AK219" s="15" t="s">
        <v>3425</v>
      </c>
      <c r="AL219" s="15" t="s">
        <v>156</v>
      </c>
      <c r="AM219" s="15" t="s">
        <v>240</v>
      </c>
      <c r="AN219" s="15" t="s">
        <v>216</v>
      </c>
      <c r="AO219" s="15" t="s">
        <v>138</v>
      </c>
      <c r="AP219" s="15"/>
    </row>
    <row r="220" ht="22.5" customHeight="1">
      <c r="A220" s="15" t="s">
        <v>1126</v>
      </c>
      <c r="B220" s="15" t="s">
        <v>3426</v>
      </c>
      <c r="C220" s="15" t="s">
        <v>3427</v>
      </c>
      <c r="D220" s="41">
        <v>40653.0</v>
      </c>
      <c r="E220" s="15" t="s">
        <v>98</v>
      </c>
      <c r="F220" s="15">
        <v>5.522529275E9</v>
      </c>
      <c r="G220" s="15" t="s">
        <v>3428</v>
      </c>
      <c r="H220" s="15" t="s">
        <v>140</v>
      </c>
      <c r="I220" s="18"/>
      <c r="J220" s="15" t="s">
        <v>3429</v>
      </c>
      <c r="K220" s="15" t="s">
        <v>3430</v>
      </c>
      <c r="L220" s="15">
        <v>5.545087029E9</v>
      </c>
      <c r="M220" s="18"/>
      <c r="N220" s="18"/>
      <c r="O220" s="18"/>
      <c r="P220" s="20">
        <v>14.0</v>
      </c>
      <c r="Q220" s="22">
        <v>46033.567395833335</v>
      </c>
      <c r="R220" s="15" t="s">
        <v>107</v>
      </c>
      <c r="S220" s="15" t="s">
        <v>109</v>
      </c>
      <c r="T220" s="15" t="s">
        <v>171</v>
      </c>
      <c r="U220" s="15" t="s">
        <v>262</v>
      </c>
      <c r="V220" s="15" t="s">
        <v>263</v>
      </c>
      <c r="W220" s="15" t="s">
        <v>264</v>
      </c>
      <c r="X220" s="15" t="s">
        <v>120</v>
      </c>
      <c r="Y220" s="18"/>
      <c r="Z220" s="15" t="s">
        <v>120</v>
      </c>
      <c r="AA220" s="18"/>
      <c r="AB220" s="15" t="s">
        <v>120</v>
      </c>
      <c r="AC220" s="18"/>
      <c r="AD220" s="18"/>
      <c r="AE220" s="15" t="s">
        <v>120</v>
      </c>
      <c r="AF220" s="18"/>
      <c r="AG220" s="15" t="s">
        <v>120</v>
      </c>
      <c r="AH220" s="18"/>
      <c r="AI220" s="15" t="s">
        <v>120</v>
      </c>
      <c r="AJ220" s="18"/>
      <c r="AK220" s="18"/>
      <c r="AL220" s="15" t="s">
        <v>126</v>
      </c>
      <c r="AM220" s="15" t="s">
        <v>156</v>
      </c>
      <c r="AN220" s="15" t="s">
        <v>124</v>
      </c>
      <c r="AO220" s="15" t="s">
        <v>129</v>
      </c>
      <c r="AP220" s="15"/>
    </row>
    <row r="221" ht="22.5" customHeight="1">
      <c r="A221" s="15" t="s">
        <v>1603</v>
      </c>
      <c r="B221" s="15" t="s">
        <v>1604</v>
      </c>
      <c r="C221" s="15" t="s">
        <v>1605</v>
      </c>
      <c r="D221" s="41">
        <v>39944.0</v>
      </c>
      <c r="E221" s="15" t="s">
        <v>177</v>
      </c>
      <c r="F221" s="15">
        <v>2.414197617E9</v>
      </c>
      <c r="G221" s="15" t="s">
        <v>1608</v>
      </c>
      <c r="H221" s="15" t="s">
        <v>101</v>
      </c>
      <c r="I221" s="23" t="s">
        <v>584</v>
      </c>
      <c r="J221" s="15" t="s">
        <v>1609</v>
      </c>
      <c r="K221" s="15" t="s">
        <v>1610</v>
      </c>
      <c r="L221" s="15">
        <v>5.537705539E9</v>
      </c>
      <c r="M221" s="18"/>
      <c r="N221" s="18"/>
      <c r="O221" s="18"/>
      <c r="P221" s="20">
        <v>16.0</v>
      </c>
      <c r="Q221" s="22">
        <v>46031.84113425926</v>
      </c>
      <c r="R221" s="15" t="s">
        <v>107</v>
      </c>
      <c r="S221" s="15" t="s">
        <v>109</v>
      </c>
      <c r="T221" s="15" t="s">
        <v>208</v>
      </c>
      <c r="U221" s="15" t="s">
        <v>228</v>
      </c>
      <c r="V221" s="15" t="s">
        <v>229</v>
      </c>
      <c r="W221" s="15" t="s">
        <v>230</v>
      </c>
      <c r="X221" s="15" t="s">
        <v>120</v>
      </c>
      <c r="Y221" s="15" t="s">
        <v>135</v>
      </c>
      <c r="Z221" s="15" t="s">
        <v>120</v>
      </c>
      <c r="AA221" s="15" t="s">
        <v>135</v>
      </c>
      <c r="AB221" s="15" t="s">
        <v>117</v>
      </c>
      <c r="AC221" s="15" t="s">
        <v>117</v>
      </c>
      <c r="AD221" s="15" t="s">
        <v>1620</v>
      </c>
      <c r="AE221" s="15" t="s">
        <v>120</v>
      </c>
      <c r="AF221" s="15" t="s">
        <v>135</v>
      </c>
      <c r="AG221" s="15" t="s">
        <v>120</v>
      </c>
      <c r="AH221" s="15" t="s">
        <v>135</v>
      </c>
      <c r="AI221" s="15" t="s">
        <v>120</v>
      </c>
      <c r="AJ221" s="15" t="s">
        <v>135</v>
      </c>
      <c r="AK221" s="15" t="s">
        <v>135</v>
      </c>
      <c r="AL221" s="15" t="s">
        <v>141</v>
      </c>
      <c r="AM221" s="15" t="s">
        <v>129</v>
      </c>
      <c r="AN221" s="15" t="s">
        <v>138</v>
      </c>
      <c r="AO221" s="15" t="s">
        <v>124</v>
      </c>
      <c r="AP221" s="15"/>
    </row>
    <row r="222" ht="22.5" customHeight="1">
      <c r="A222" s="15" t="s">
        <v>3431</v>
      </c>
      <c r="B222" s="15" t="s">
        <v>3432</v>
      </c>
      <c r="C222" s="15" t="s">
        <v>3433</v>
      </c>
      <c r="D222" s="41">
        <v>40513.0</v>
      </c>
      <c r="E222" s="15" t="s">
        <v>177</v>
      </c>
      <c r="F222" s="15">
        <v>5.562227856E9</v>
      </c>
      <c r="G222" s="15" t="s">
        <v>3434</v>
      </c>
      <c r="H222" s="15" t="s">
        <v>101</v>
      </c>
      <c r="I222" s="18"/>
      <c r="J222" s="15" t="s">
        <v>3435</v>
      </c>
      <c r="K222" s="15" t="s">
        <v>3436</v>
      </c>
      <c r="L222" s="15">
        <v>5.573857247E9</v>
      </c>
      <c r="M222" s="18"/>
      <c r="N222" s="18"/>
      <c r="O222" s="18"/>
      <c r="P222" s="20">
        <v>15.0</v>
      </c>
      <c r="Q222" s="22">
        <v>46040.893159722225</v>
      </c>
      <c r="R222" s="15" t="s">
        <v>107</v>
      </c>
      <c r="S222" s="15" t="s">
        <v>109</v>
      </c>
      <c r="T222" s="15" t="s">
        <v>192</v>
      </c>
      <c r="U222" s="15" t="s">
        <v>485</v>
      </c>
      <c r="V222" s="15" t="s">
        <v>486</v>
      </c>
      <c r="W222" s="15" t="s">
        <v>487</v>
      </c>
      <c r="X222" s="15" t="s">
        <v>120</v>
      </c>
      <c r="Y222" s="18"/>
      <c r="Z222" s="15" t="s">
        <v>120</v>
      </c>
      <c r="AA222" s="18"/>
      <c r="AB222" s="15" t="s">
        <v>120</v>
      </c>
      <c r="AC222" s="18"/>
      <c r="AD222" s="18"/>
      <c r="AE222" s="15" t="s">
        <v>120</v>
      </c>
      <c r="AF222" s="18"/>
      <c r="AG222" s="15" t="s">
        <v>120</v>
      </c>
      <c r="AH222" s="18"/>
      <c r="AI222" s="15" t="s">
        <v>120</v>
      </c>
      <c r="AJ222" s="18"/>
      <c r="AK222" s="18"/>
      <c r="AL222" s="15" t="s">
        <v>156</v>
      </c>
      <c r="AM222" s="15" t="s">
        <v>124</v>
      </c>
      <c r="AN222" s="15" t="s">
        <v>185</v>
      </c>
      <c r="AO222" s="15" t="s">
        <v>242</v>
      </c>
      <c r="AP222" s="15"/>
    </row>
    <row r="223" ht="22.5" customHeight="1">
      <c r="A223" s="15" t="s">
        <v>2455</v>
      </c>
      <c r="B223" s="15" t="s">
        <v>2457</v>
      </c>
      <c r="C223" s="15" t="s">
        <v>2459</v>
      </c>
      <c r="D223" s="41">
        <v>40451.0</v>
      </c>
      <c r="E223" s="15" t="s">
        <v>177</v>
      </c>
      <c r="F223" s="15">
        <v>5.533930331E9</v>
      </c>
      <c r="G223" s="15" t="s">
        <v>2460</v>
      </c>
      <c r="H223" s="15" t="s">
        <v>382</v>
      </c>
      <c r="I223" s="23" t="s">
        <v>2461</v>
      </c>
      <c r="J223" s="15" t="s">
        <v>2462</v>
      </c>
      <c r="K223" s="15" t="s">
        <v>2463</v>
      </c>
      <c r="L223" s="15">
        <v>5.527316121E9</v>
      </c>
      <c r="M223" s="15" t="s">
        <v>2464</v>
      </c>
      <c r="N223" s="15" t="s">
        <v>2460</v>
      </c>
      <c r="O223" s="15">
        <v>5.533930331E9</v>
      </c>
      <c r="P223" s="20">
        <v>15.0</v>
      </c>
      <c r="Q223" s="22">
        <v>46032.40730324074</v>
      </c>
      <c r="R223" s="15" t="s">
        <v>107</v>
      </c>
      <c r="S223" s="15" t="s">
        <v>109</v>
      </c>
      <c r="T223" s="15" t="s">
        <v>160</v>
      </c>
      <c r="U223" s="15" t="s">
        <v>279</v>
      </c>
      <c r="V223" s="15" t="s">
        <v>280</v>
      </c>
      <c r="W223" s="15" t="s">
        <v>282</v>
      </c>
      <c r="X223" s="15" t="s">
        <v>120</v>
      </c>
      <c r="Y223" s="18"/>
      <c r="Z223" s="15" t="s">
        <v>120</v>
      </c>
      <c r="AA223" s="18"/>
      <c r="AB223" s="15" t="s">
        <v>120</v>
      </c>
      <c r="AC223" s="15" t="s">
        <v>120</v>
      </c>
      <c r="AD223" s="18"/>
      <c r="AE223" s="15" t="s">
        <v>117</v>
      </c>
      <c r="AF223" s="15" t="s">
        <v>366</v>
      </c>
      <c r="AG223" s="15" t="s">
        <v>120</v>
      </c>
      <c r="AH223" s="18"/>
      <c r="AI223" s="15" t="s">
        <v>120</v>
      </c>
      <c r="AJ223" s="18"/>
      <c r="AK223" s="18"/>
      <c r="AL223" s="15" t="s">
        <v>138</v>
      </c>
      <c r="AM223" s="15" t="s">
        <v>156</v>
      </c>
      <c r="AN223" s="15" t="s">
        <v>129</v>
      </c>
      <c r="AO223" s="15" t="s">
        <v>124</v>
      </c>
      <c r="AP223" s="15"/>
    </row>
    <row r="224" ht="22.5" customHeight="1">
      <c r="A224" s="15" t="s">
        <v>3440</v>
      </c>
      <c r="B224" s="15" t="s">
        <v>3441</v>
      </c>
      <c r="C224" s="18"/>
      <c r="D224" s="41">
        <v>40843.0</v>
      </c>
      <c r="E224" s="15" t="s">
        <v>98</v>
      </c>
      <c r="F224" s="15">
        <v>5.641782506E9</v>
      </c>
      <c r="G224" s="15" t="s">
        <v>3443</v>
      </c>
      <c r="H224" s="15" t="s">
        <v>150</v>
      </c>
      <c r="I224" s="18"/>
      <c r="J224" s="15" t="s">
        <v>3444</v>
      </c>
      <c r="K224" s="15" t="s">
        <v>3445</v>
      </c>
      <c r="L224" s="15">
        <v>5.561569832E9</v>
      </c>
      <c r="M224" s="18"/>
      <c r="N224" s="18"/>
      <c r="O224" s="18"/>
      <c r="P224" s="20">
        <v>14.0</v>
      </c>
      <c r="Q224" s="22">
        <v>46040.94788194444</v>
      </c>
      <c r="R224" s="15" t="s">
        <v>107</v>
      </c>
      <c r="S224" s="15" t="s">
        <v>109</v>
      </c>
      <c r="T224" s="15" t="s">
        <v>208</v>
      </c>
      <c r="U224" s="15" t="s">
        <v>1599</v>
      </c>
      <c r="V224" s="15" t="s">
        <v>1600</v>
      </c>
      <c r="W224" s="15" t="s">
        <v>1602</v>
      </c>
      <c r="X224" s="15" t="s">
        <v>120</v>
      </c>
      <c r="Y224" s="18"/>
      <c r="Z224" s="15" t="s">
        <v>120</v>
      </c>
      <c r="AA224" s="18"/>
      <c r="AB224" s="15" t="s">
        <v>120</v>
      </c>
      <c r="AC224" s="15" t="s">
        <v>120</v>
      </c>
      <c r="AD224" s="18"/>
      <c r="AE224" s="15" t="s">
        <v>120</v>
      </c>
      <c r="AF224" s="18"/>
      <c r="AG224" s="15" t="s">
        <v>120</v>
      </c>
      <c r="AH224" s="18"/>
      <c r="AI224" s="15" t="s">
        <v>120</v>
      </c>
      <c r="AJ224" s="18"/>
      <c r="AK224" s="18"/>
      <c r="AL224" s="15" t="s">
        <v>129</v>
      </c>
      <c r="AM224" s="15" t="s">
        <v>128</v>
      </c>
      <c r="AN224" s="15" t="s">
        <v>242</v>
      </c>
      <c r="AO224" s="15" t="s">
        <v>240</v>
      </c>
      <c r="AP224" s="15"/>
    </row>
    <row r="225" ht="22.5" customHeight="1">
      <c r="A225" s="15" t="s">
        <v>3452</v>
      </c>
      <c r="B225" s="15" t="s">
        <v>3453</v>
      </c>
      <c r="C225" s="15" t="s">
        <v>85</v>
      </c>
      <c r="D225" s="41">
        <v>40012.0</v>
      </c>
      <c r="E225" s="15" t="s">
        <v>177</v>
      </c>
      <c r="F225" s="15">
        <v>5.527761679E9</v>
      </c>
      <c r="G225" s="15" t="s">
        <v>3454</v>
      </c>
      <c r="H225" s="15" t="s">
        <v>150</v>
      </c>
      <c r="I225" s="18"/>
      <c r="J225" s="15" t="s">
        <v>3455</v>
      </c>
      <c r="K225" s="15" t="s">
        <v>3456</v>
      </c>
      <c r="L225" s="15">
        <v>5.528588083E9</v>
      </c>
      <c r="M225" s="15" t="s">
        <v>3457</v>
      </c>
      <c r="N225" s="15" t="s">
        <v>3458</v>
      </c>
      <c r="O225" s="15">
        <v>5.539736627E9</v>
      </c>
      <c r="P225" s="20">
        <v>16.0</v>
      </c>
      <c r="Q225" s="22">
        <v>46026.85826388889</v>
      </c>
      <c r="R225" s="15" t="s">
        <v>107</v>
      </c>
      <c r="S225" s="15" t="s">
        <v>109</v>
      </c>
      <c r="T225" s="15" t="s">
        <v>127</v>
      </c>
      <c r="U225" s="15" t="s">
        <v>234</v>
      </c>
      <c r="V225" s="15" t="s">
        <v>227</v>
      </c>
      <c r="W225" s="15" t="s">
        <v>236</v>
      </c>
      <c r="X225" s="15" t="s">
        <v>120</v>
      </c>
      <c r="Y225" s="18"/>
      <c r="Z225" s="15" t="s">
        <v>120</v>
      </c>
      <c r="AA225" s="18"/>
      <c r="AB225" s="15" t="s">
        <v>120</v>
      </c>
      <c r="AC225" s="18"/>
      <c r="AD225" s="18"/>
      <c r="AE225" s="15" t="s">
        <v>120</v>
      </c>
      <c r="AF225" s="18"/>
      <c r="AG225" s="15" t="s">
        <v>120</v>
      </c>
      <c r="AH225" s="18"/>
      <c r="AI225" s="15" t="s">
        <v>120</v>
      </c>
      <c r="AJ225" s="18"/>
      <c r="AK225" s="18"/>
      <c r="AL225" s="15" t="s">
        <v>240</v>
      </c>
      <c r="AM225" s="15" t="s">
        <v>128</v>
      </c>
      <c r="AN225" s="15" t="s">
        <v>156</v>
      </c>
      <c r="AO225" s="15" t="s">
        <v>216</v>
      </c>
      <c r="AP225" s="15"/>
    </row>
    <row r="226" ht="22.5" customHeight="1">
      <c r="A226" s="15" t="s">
        <v>2614</v>
      </c>
      <c r="B226" s="15" t="s">
        <v>2615</v>
      </c>
      <c r="C226" s="15" t="s">
        <v>2617</v>
      </c>
      <c r="D226" s="41">
        <v>40779.0</v>
      </c>
      <c r="E226" s="15" t="s">
        <v>98</v>
      </c>
      <c r="F226" s="15" t="s">
        <v>2619</v>
      </c>
      <c r="G226" s="15" t="s">
        <v>2622</v>
      </c>
      <c r="H226" s="15" t="s">
        <v>140</v>
      </c>
      <c r="I226" s="18"/>
      <c r="J226" s="15" t="s">
        <v>2624</v>
      </c>
      <c r="K226" s="15" t="s">
        <v>2625</v>
      </c>
      <c r="L226" s="15" t="s">
        <v>2628</v>
      </c>
      <c r="M226" s="18"/>
      <c r="N226" s="18"/>
      <c r="O226" s="18"/>
      <c r="P226" s="20">
        <v>14.0</v>
      </c>
      <c r="Q226" s="22">
        <v>46033.519791666666</v>
      </c>
      <c r="R226" s="15" t="s">
        <v>107</v>
      </c>
      <c r="S226" s="15" t="s">
        <v>109</v>
      </c>
      <c r="T226" s="15" t="s">
        <v>160</v>
      </c>
      <c r="U226" s="15" t="s">
        <v>1265</v>
      </c>
      <c r="V226" s="15" t="s">
        <v>1267</v>
      </c>
      <c r="W226" s="15" t="s">
        <v>1268</v>
      </c>
      <c r="X226" s="15" t="s">
        <v>120</v>
      </c>
      <c r="Y226" s="18"/>
      <c r="Z226" s="15" t="s">
        <v>120</v>
      </c>
      <c r="AA226" s="18"/>
      <c r="AB226" s="15" t="s">
        <v>120</v>
      </c>
      <c r="AC226" s="18"/>
      <c r="AD226" s="18"/>
      <c r="AE226" s="15" t="s">
        <v>120</v>
      </c>
      <c r="AF226" s="18"/>
      <c r="AG226" s="15" t="s">
        <v>117</v>
      </c>
      <c r="AH226" s="15" t="s">
        <v>2634</v>
      </c>
      <c r="AI226" s="15" t="s">
        <v>120</v>
      </c>
      <c r="AJ226" s="18"/>
      <c r="AK226" s="18"/>
      <c r="AL226" s="15" t="s">
        <v>141</v>
      </c>
      <c r="AM226" s="15" t="s">
        <v>242</v>
      </c>
      <c r="AN226" s="15" t="s">
        <v>156</v>
      </c>
      <c r="AO226" s="15" t="s">
        <v>124</v>
      </c>
      <c r="AP226" s="15"/>
    </row>
    <row r="227" ht="22.5" customHeight="1">
      <c r="A227" s="15" t="s">
        <v>3475</v>
      </c>
      <c r="B227" s="15" t="s">
        <v>3053</v>
      </c>
      <c r="C227" s="15" t="s">
        <v>3476</v>
      </c>
      <c r="D227" s="41">
        <v>40711.0</v>
      </c>
      <c r="E227" s="15" t="s">
        <v>177</v>
      </c>
      <c r="F227" s="18" t="str">
        <f>+52 56 4109 1648</f>
        <v>#ERROR!</v>
      </c>
      <c r="G227" s="15" t="s">
        <v>3478</v>
      </c>
      <c r="H227" s="15" t="s">
        <v>101</v>
      </c>
      <c r="I227" s="23" t="s">
        <v>1325</v>
      </c>
      <c r="J227" s="15" t="s">
        <v>3056</v>
      </c>
      <c r="K227" s="15" t="s">
        <v>3479</v>
      </c>
      <c r="L227" s="15">
        <v>5.637566732E9</v>
      </c>
      <c r="M227" s="15" t="s">
        <v>3059</v>
      </c>
      <c r="N227" s="15" t="s">
        <v>3057</v>
      </c>
      <c r="O227" s="15">
        <v>5.579959968E9</v>
      </c>
      <c r="P227" s="20">
        <v>14.0</v>
      </c>
      <c r="Q227" s="22">
        <v>46039.82163194445</v>
      </c>
      <c r="R227" s="15" t="s">
        <v>107</v>
      </c>
      <c r="S227" s="15" t="s">
        <v>109</v>
      </c>
      <c r="T227" s="15" t="s">
        <v>204</v>
      </c>
      <c r="U227" s="15" t="s">
        <v>367</v>
      </c>
      <c r="V227" s="15" t="s">
        <v>368</v>
      </c>
      <c r="W227" s="15" t="s">
        <v>369</v>
      </c>
      <c r="X227" s="15" t="s">
        <v>120</v>
      </c>
      <c r="Y227" s="18"/>
      <c r="Z227" s="15" t="s">
        <v>120</v>
      </c>
      <c r="AA227" s="18"/>
      <c r="AB227" s="15" t="s">
        <v>120</v>
      </c>
      <c r="AC227" s="18"/>
      <c r="AD227" s="18"/>
      <c r="AE227" s="15" t="s">
        <v>120</v>
      </c>
      <c r="AF227" s="18"/>
      <c r="AG227" s="15" t="s">
        <v>120</v>
      </c>
      <c r="AH227" s="18"/>
      <c r="AI227" s="15" t="s">
        <v>120</v>
      </c>
      <c r="AJ227" s="18"/>
      <c r="AK227" s="18"/>
      <c r="AL227" s="15" t="s">
        <v>240</v>
      </c>
      <c r="AM227" s="15" t="s">
        <v>128</v>
      </c>
      <c r="AN227" s="15" t="s">
        <v>156</v>
      </c>
      <c r="AO227" s="15" t="s">
        <v>185</v>
      </c>
      <c r="AP227" s="15"/>
    </row>
    <row r="228" ht="22.5" customHeight="1">
      <c r="A228" s="15" t="s">
        <v>3481</v>
      </c>
      <c r="B228" s="15" t="s">
        <v>3482</v>
      </c>
      <c r="C228" s="15" t="s">
        <v>3483</v>
      </c>
      <c r="D228" s="41">
        <v>41022.0</v>
      </c>
      <c r="E228" s="15" t="s">
        <v>177</v>
      </c>
      <c r="F228" s="15">
        <v>5.518897341E9</v>
      </c>
      <c r="G228" s="15" t="s">
        <v>3484</v>
      </c>
      <c r="H228" s="15" t="s">
        <v>110</v>
      </c>
      <c r="I228" s="23" t="s">
        <v>3485</v>
      </c>
      <c r="J228" s="15" t="s">
        <v>3486</v>
      </c>
      <c r="K228" s="15" t="s">
        <v>3487</v>
      </c>
      <c r="L228" s="15">
        <v>5.532925135E9</v>
      </c>
      <c r="M228" s="15" t="s">
        <v>3489</v>
      </c>
      <c r="N228" s="15" t="s">
        <v>3490</v>
      </c>
      <c r="O228" s="15">
        <v>5.518897341E9</v>
      </c>
      <c r="P228" s="20">
        <v>13.0</v>
      </c>
      <c r="Q228" s="22">
        <v>46031.557488425926</v>
      </c>
      <c r="R228" s="15" t="s">
        <v>107</v>
      </c>
      <c r="S228" s="15" t="s">
        <v>109</v>
      </c>
      <c r="T228" s="15" t="s">
        <v>127</v>
      </c>
      <c r="U228" s="15" t="s">
        <v>130</v>
      </c>
      <c r="V228" s="15" t="s">
        <v>131</v>
      </c>
      <c r="W228" s="15" t="s">
        <v>132</v>
      </c>
      <c r="X228" s="15" t="s">
        <v>120</v>
      </c>
      <c r="Y228" s="15" t="s">
        <v>1325</v>
      </c>
      <c r="Z228" s="15" t="s">
        <v>120</v>
      </c>
      <c r="AA228" s="15" t="s">
        <v>3491</v>
      </c>
      <c r="AB228" s="15" t="s">
        <v>120</v>
      </c>
      <c r="AC228" s="18"/>
      <c r="AD228" s="15" t="s">
        <v>1325</v>
      </c>
      <c r="AE228" s="15" t="s">
        <v>120</v>
      </c>
      <c r="AF228" s="15" t="s">
        <v>1325</v>
      </c>
      <c r="AG228" s="15" t="s">
        <v>120</v>
      </c>
      <c r="AH228" s="15" t="s">
        <v>1325</v>
      </c>
      <c r="AI228" s="15" t="s">
        <v>120</v>
      </c>
      <c r="AJ228" s="15" t="s">
        <v>1325</v>
      </c>
      <c r="AK228" s="15" t="s">
        <v>1325</v>
      </c>
      <c r="AL228" s="15" t="s">
        <v>141</v>
      </c>
      <c r="AM228" s="15" t="s">
        <v>240</v>
      </c>
      <c r="AN228" s="15" t="s">
        <v>126</v>
      </c>
      <c r="AO228" s="15" t="s">
        <v>242</v>
      </c>
      <c r="AP228" s="15"/>
    </row>
    <row r="229" ht="22.5" customHeight="1">
      <c r="A229" s="15" t="s">
        <v>3493</v>
      </c>
      <c r="B229" s="15" t="s">
        <v>995</v>
      </c>
      <c r="C229" s="15" t="s">
        <v>54</v>
      </c>
      <c r="D229" s="41">
        <v>40372.0</v>
      </c>
      <c r="E229" s="15" t="s">
        <v>177</v>
      </c>
      <c r="F229" s="15" t="s">
        <v>3495</v>
      </c>
      <c r="G229" s="15" t="s">
        <v>3496</v>
      </c>
      <c r="H229" s="15" t="s">
        <v>101</v>
      </c>
      <c r="I229" s="18"/>
      <c r="J229" s="15" t="s">
        <v>1004</v>
      </c>
      <c r="K229" s="15" t="s">
        <v>3496</v>
      </c>
      <c r="L229" s="15" t="s">
        <v>3495</v>
      </c>
      <c r="M229" s="18"/>
      <c r="N229" s="18"/>
      <c r="O229" s="18"/>
      <c r="P229" s="20">
        <v>15.0</v>
      </c>
      <c r="Q229" s="22">
        <v>46034.92427083333</v>
      </c>
      <c r="R229" s="15" t="s">
        <v>107</v>
      </c>
      <c r="S229" s="15" t="s">
        <v>109</v>
      </c>
      <c r="T229" s="15" t="s">
        <v>204</v>
      </c>
      <c r="U229" s="15" t="s">
        <v>699</v>
      </c>
      <c r="V229" s="15" t="s">
        <v>700</v>
      </c>
      <c r="W229" s="15" t="s">
        <v>702</v>
      </c>
      <c r="X229" s="15" t="s">
        <v>120</v>
      </c>
      <c r="Y229" s="18"/>
      <c r="Z229" s="15" t="s">
        <v>120</v>
      </c>
      <c r="AA229" s="18"/>
      <c r="AB229" s="15" t="s">
        <v>120</v>
      </c>
      <c r="AC229" s="15" t="s">
        <v>120</v>
      </c>
      <c r="AD229" s="18"/>
      <c r="AE229" s="15" t="s">
        <v>120</v>
      </c>
      <c r="AF229" s="18"/>
      <c r="AG229" s="15" t="s">
        <v>120</v>
      </c>
      <c r="AH229" s="18"/>
      <c r="AI229" s="15" t="s">
        <v>120</v>
      </c>
      <c r="AJ229" s="18"/>
      <c r="AK229" s="15" t="s">
        <v>135</v>
      </c>
      <c r="AL229" s="15" t="s">
        <v>138</v>
      </c>
      <c r="AM229" s="15" t="s">
        <v>216</v>
      </c>
      <c r="AN229" s="15" t="s">
        <v>185</v>
      </c>
      <c r="AO229" s="15" t="s">
        <v>124</v>
      </c>
      <c r="AP229" s="15"/>
    </row>
    <row r="230" ht="22.5" customHeight="1">
      <c r="A230" s="15" t="s">
        <v>3506</v>
      </c>
      <c r="B230" s="15" t="s">
        <v>3507</v>
      </c>
      <c r="C230" s="15" t="s">
        <v>3508</v>
      </c>
      <c r="D230" s="41">
        <v>40877.0</v>
      </c>
      <c r="E230" s="15" t="s">
        <v>98</v>
      </c>
      <c r="F230" s="15">
        <v>5.636121083E9</v>
      </c>
      <c r="G230" s="15" t="s">
        <v>3509</v>
      </c>
      <c r="H230" s="15" t="s">
        <v>101</v>
      </c>
      <c r="I230" s="23" t="s">
        <v>3510</v>
      </c>
      <c r="J230" s="15" t="s">
        <v>3511</v>
      </c>
      <c r="K230" s="15" t="s">
        <v>3512</v>
      </c>
      <c r="L230" s="15">
        <v>5.534575712E9</v>
      </c>
      <c r="M230" s="18"/>
      <c r="N230" s="18"/>
      <c r="O230" s="18"/>
      <c r="P230" s="20">
        <v>14.0</v>
      </c>
      <c r="Q230" s="22">
        <v>46033.8999537037</v>
      </c>
      <c r="R230" s="15" t="s">
        <v>107</v>
      </c>
      <c r="S230" s="15" t="s">
        <v>109</v>
      </c>
      <c r="T230" s="15" t="s">
        <v>192</v>
      </c>
      <c r="U230" s="15" t="s">
        <v>195</v>
      </c>
      <c r="V230" s="15" t="s">
        <v>198</v>
      </c>
      <c r="W230" s="15" t="s">
        <v>200</v>
      </c>
      <c r="X230" s="15" t="s">
        <v>120</v>
      </c>
      <c r="Y230" s="18"/>
      <c r="Z230" s="15" t="s">
        <v>120</v>
      </c>
      <c r="AA230" s="18"/>
      <c r="AB230" s="15" t="s">
        <v>120</v>
      </c>
      <c r="AC230" s="18"/>
      <c r="AD230" s="18"/>
      <c r="AE230" s="15" t="s">
        <v>120</v>
      </c>
      <c r="AF230" s="18"/>
      <c r="AG230" s="15" t="s">
        <v>120</v>
      </c>
      <c r="AH230" s="18"/>
      <c r="AI230" s="15" t="s">
        <v>120</v>
      </c>
      <c r="AJ230" s="18"/>
      <c r="AK230" s="18"/>
      <c r="AL230" s="15" t="s">
        <v>216</v>
      </c>
      <c r="AM230" s="15" t="s">
        <v>138</v>
      </c>
      <c r="AN230" s="15" t="s">
        <v>185</v>
      </c>
      <c r="AO230" s="15" t="s">
        <v>128</v>
      </c>
      <c r="AP230" s="15"/>
    </row>
    <row r="231" ht="22.5" customHeight="1">
      <c r="A231" s="15" t="s">
        <v>3513</v>
      </c>
      <c r="B231" s="15" t="s">
        <v>3514</v>
      </c>
      <c r="C231" s="15" t="s">
        <v>3515</v>
      </c>
      <c r="D231" s="41">
        <v>40958.0</v>
      </c>
      <c r="E231" s="15" t="s">
        <v>177</v>
      </c>
      <c r="F231" s="15">
        <v>5.54872999E9</v>
      </c>
      <c r="G231" s="15" t="s">
        <v>3516</v>
      </c>
      <c r="H231" s="15" t="s">
        <v>150</v>
      </c>
      <c r="I231" s="18"/>
      <c r="J231" s="15" t="s">
        <v>3517</v>
      </c>
      <c r="K231" s="15" t="s">
        <v>3516</v>
      </c>
      <c r="L231" s="15">
        <v>5.560625463E9</v>
      </c>
      <c r="M231" s="18"/>
      <c r="N231" s="18"/>
      <c r="O231" s="18"/>
      <c r="P231" s="20">
        <v>14.0</v>
      </c>
      <c r="Q231" s="22">
        <v>46040.4659837963</v>
      </c>
      <c r="R231" s="15" t="s">
        <v>107</v>
      </c>
      <c r="S231" s="15" t="s">
        <v>109</v>
      </c>
      <c r="T231" s="15" t="s">
        <v>160</v>
      </c>
      <c r="U231" s="15" t="s">
        <v>308</v>
      </c>
      <c r="V231" s="15" t="s">
        <v>309</v>
      </c>
      <c r="W231" s="15" t="s">
        <v>310</v>
      </c>
      <c r="X231" s="15" t="s">
        <v>120</v>
      </c>
      <c r="Y231" s="18"/>
      <c r="Z231" s="15" t="s">
        <v>120</v>
      </c>
      <c r="AA231" s="18"/>
      <c r="AB231" s="15" t="s">
        <v>120</v>
      </c>
      <c r="AC231" s="15" t="s">
        <v>120</v>
      </c>
      <c r="AD231" s="18"/>
      <c r="AE231" s="15" t="s">
        <v>120</v>
      </c>
      <c r="AF231" s="18"/>
      <c r="AG231" s="15" t="s">
        <v>120</v>
      </c>
      <c r="AH231" s="18"/>
      <c r="AI231" s="15" t="s">
        <v>120</v>
      </c>
      <c r="AJ231" s="18"/>
      <c r="AK231" s="18"/>
      <c r="AL231" s="15" t="s">
        <v>124</v>
      </c>
      <c r="AM231" s="15" t="s">
        <v>156</v>
      </c>
      <c r="AN231" s="15" t="s">
        <v>242</v>
      </c>
      <c r="AO231" s="15" t="s">
        <v>240</v>
      </c>
      <c r="AP231" s="15"/>
    </row>
    <row r="232" ht="22.5" customHeight="1">
      <c r="A232" s="15" t="s">
        <v>3518</v>
      </c>
      <c r="B232" s="15" t="s">
        <v>3519</v>
      </c>
      <c r="C232" s="15" t="s">
        <v>3520</v>
      </c>
      <c r="D232" s="41">
        <v>40459.0</v>
      </c>
      <c r="E232" s="15" t="s">
        <v>177</v>
      </c>
      <c r="F232" s="15">
        <v>5.519360259E9</v>
      </c>
      <c r="G232" s="15" t="s">
        <v>3521</v>
      </c>
      <c r="H232" s="15" t="s">
        <v>101</v>
      </c>
      <c r="I232" s="23" t="s">
        <v>3522</v>
      </c>
      <c r="J232" s="15" t="s">
        <v>3523</v>
      </c>
      <c r="K232" s="15" t="s">
        <v>3524</v>
      </c>
      <c r="L232" s="15">
        <v>5.552172847E9</v>
      </c>
      <c r="M232" s="18"/>
      <c r="N232" s="18"/>
      <c r="O232" s="18"/>
      <c r="P232" s="20">
        <v>15.0</v>
      </c>
      <c r="Q232" s="22">
        <v>46038.66605324074</v>
      </c>
      <c r="R232" s="15" t="s">
        <v>107</v>
      </c>
      <c r="S232" s="15" t="s">
        <v>109</v>
      </c>
      <c r="T232" s="15" t="s">
        <v>171</v>
      </c>
      <c r="U232" s="15" t="s">
        <v>388</v>
      </c>
      <c r="V232" s="15" t="s">
        <v>389</v>
      </c>
      <c r="W232" s="15" t="s">
        <v>392</v>
      </c>
      <c r="X232" s="15" t="s">
        <v>120</v>
      </c>
      <c r="Y232" s="18"/>
      <c r="Z232" s="15" t="s">
        <v>120</v>
      </c>
      <c r="AA232" s="18"/>
      <c r="AB232" s="15" t="s">
        <v>120</v>
      </c>
      <c r="AC232" s="18"/>
      <c r="AD232" s="18"/>
      <c r="AE232" s="15" t="s">
        <v>120</v>
      </c>
      <c r="AF232" s="18"/>
      <c r="AG232" s="15" t="s">
        <v>120</v>
      </c>
      <c r="AH232" s="18"/>
      <c r="AI232" s="15" t="s">
        <v>120</v>
      </c>
      <c r="AJ232" s="18"/>
      <c r="AK232" s="18"/>
      <c r="AL232" s="15" t="s">
        <v>126</v>
      </c>
      <c r="AM232" s="15" t="s">
        <v>240</v>
      </c>
      <c r="AN232" s="15" t="s">
        <v>138</v>
      </c>
      <c r="AO232" s="15" t="s">
        <v>216</v>
      </c>
      <c r="AP232" s="15"/>
    </row>
    <row r="233" ht="22.5" customHeight="1">
      <c r="A233" s="15" t="s">
        <v>3525</v>
      </c>
      <c r="B233" s="15" t="s">
        <v>3526</v>
      </c>
      <c r="C233" s="15" t="s">
        <v>3527</v>
      </c>
      <c r="D233" s="41">
        <v>40884.0</v>
      </c>
      <c r="E233" s="15" t="s">
        <v>177</v>
      </c>
      <c r="F233" s="15">
        <v>5.539894502E9</v>
      </c>
      <c r="G233" s="15" t="s">
        <v>3528</v>
      </c>
      <c r="H233" s="15" t="s">
        <v>101</v>
      </c>
      <c r="I233" s="18"/>
      <c r="J233" s="15" t="s">
        <v>3529</v>
      </c>
      <c r="K233" s="15" t="s">
        <v>3530</v>
      </c>
      <c r="L233" s="15">
        <v>5.566295204E9</v>
      </c>
      <c r="M233" s="18"/>
      <c r="N233" s="18"/>
      <c r="O233" s="18"/>
      <c r="P233" s="20">
        <v>14.0</v>
      </c>
      <c r="Q233" s="22">
        <v>46034.50450231481</v>
      </c>
      <c r="R233" s="15" t="s">
        <v>107</v>
      </c>
      <c r="S233" s="15" t="s">
        <v>109</v>
      </c>
      <c r="T233" s="15" t="s">
        <v>171</v>
      </c>
      <c r="U233" s="15" t="s">
        <v>638</v>
      </c>
      <c r="V233" s="15" t="s">
        <v>639</v>
      </c>
      <c r="W233" s="15" t="s">
        <v>641</v>
      </c>
      <c r="X233" s="15" t="s">
        <v>120</v>
      </c>
      <c r="Y233" s="18"/>
      <c r="Z233" s="15" t="s">
        <v>120</v>
      </c>
      <c r="AA233" s="18"/>
      <c r="AB233" s="15" t="s">
        <v>120</v>
      </c>
      <c r="AC233" s="18"/>
      <c r="AD233" s="18"/>
      <c r="AE233" s="15" t="s">
        <v>120</v>
      </c>
      <c r="AF233" s="18"/>
      <c r="AG233" s="15" t="s">
        <v>120</v>
      </c>
      <c r="AH233" s="18"/>
      <c r="AI233" s="15" t="s">
        <v>120</v>
      </c>
      <c r="AJ233" s="18"/>
      <c r="AK233" s="18"/>
      <c r="AL233" s="15" t="s">
        <v>141</v>
      </c>
      <c r="AM233" s="15" t="s">
        <v>242</v>
      </c>
      <c r="AN233" s="15" t="s">
        <v>156</v>
      </c>
      <c r="AO233" s="15" t="s">
        <v>185</v>
      </c>
      <c r="AP233" s="15"/>
    </row>
    <row r="234" ht="22.5" customHeight="1">
      <c r="A234" s="15" t="s">
        <v>3531</v>
      </c>
      <c r="B234" s="15" t="s">
        <v>3532</v>
      </c>
      <c r="C234" s="15" t="s">
        <v>3533</v>
      </c>
      <c r="D234" s="41">
        <v>39932.0</v>
      </c>
      <c r="E234" s="15" t="s">
        <v>98</v>
      </c>
      <c r="F234" s="15">
        <v>5.57837241E9</v>
      </c>
      <c r="G234" s="15" t="s">
        <v>3534</v>
      </c>
      <c r="H234" s="15" t="s">
        <v>101</v>
      </c>
      <c r="I234" s="18"/>
      <c r="J234" s="15" t="s">
        <v>3535</v>
      </c>
      <c r="K234" s="15" t="s">
        <v>3536</v>
      </c>
      <c r="L234" s="15">
        <v>5.664674828E9</v>
      </c>
      <c r="M234" s="18"/>
      <c r="N234" s="18"/>
      <c r="O234" s="18"/>
      <c r="P234" s="20">
        <v>16.0</v>
      </c>
      <c r="Q234" s="22">
        <v>46037.81328703704</v>
      </c>
      <c r="R234" s="15" t="s">
        <v>107</v>
      </c>
      <c r="S234" s="15" t="s">
        <v>109</v>
      </c>
      <c r="T234" s="15" t="s">
        <v>160</v>
      </c>
      <c r="U234" s="15" t="s">
        <v>161</v>
      </c>
      <c r="V234" s="15" t="s">
        <v>163</v>
      </c>
      <c r="W234" s="15" t="s">
        <v>165</v>
      </c>
      <c r="X234" s="15" t="s">
        <v>120</v>
      </c>
      <c r="Y234" s="18"/>
      <c r="Z234" s="15" t="s">
        <v>120</v>
      </c>
      <c r="AA234" s="18"/>
      <c r="AB234" s="15" t="s">
        <v>120</v>
      </c>
      <c r="AC234" s="15" t="s">
        <v>120</v>
      </c>
      <c r="AD234" s="18"/>
      <c r="AE234" s="15" t="s">
        <v>120</v>
      </c>
      <c r="AF234" s="18"/>
      <c r="AG234" s="15" t="s">
        <v>120</v>
      </c>
      <c r="AH234" s="18"/>
      <c r="AI234" s="15" t="s">
        <v>120</v>
      </c>
      <c r="AJ234" s="18"/>
      <c r="AK234" s="18"/>
      <c r="AL234" s="15" t="s">
        <v>126</v>
      </c>
      <c r="AM234" s="15" t="s">
        <v>126</v>
      </c>
      <c r="AN234" s="15" t="s">
        <v>124</v>
      </c>
      <c r="AO234" s="15" t="s">
        <v>185</v>
      </c>
      <c r="AP234" s="15"/>
    </row>
    <row r="235" ht="22.5" customHeight="1">
      <c r="A235" s="15" t="s">
        <v>3537</v>
      </c>
      <c r="B235" s="15" t="s">
        <v>3538</v>
      </c>
      <c r="C235" s="15" t="s">
        <v>3539</v>
      </c>
      <c r="D235" s="41">
        <v>40596.0</v>
      </c>
      <c r="E235" s="15" t="s">
        <v>177</v>
      </c>
      <c r="F235" s="15">
        <v>7.261845066E9</v>
      </c>
      <c r="G235" s="15" t="s">
        <v>3540</v>
      </c>
      <c r="H235" s="15" t="s">
        <v>101</v>
      </c>
      <c r="I235" s="18"/>
      <c r="J235" s="15" t="s">
        <v>3541</v>
      </c>
      <c r="K235" s="15" t="s">
        <v>3542</v>
      </c>
      <c r="L235" s="15">
        <v>5.526838379E9</v>
      </c>
      <c r="M235" s="18"/>
      <c r="N235" s="18"/>
      <c r="O235" s="18"/>
      <c r="P235" s="20">
        <v>15.0</v>
      </c>
      <c r="Q235" s="22">
        <v>46034.54033564815</v>
      </c>
      <c r="R235" s="15" t="s">
        <v>107</v>
      </c>
      <c r="S235" s="15" t="s">
        <v>109</v>
      </c>
      <c r="T235" s="15" t="s">
        <v>171</v>
      </c>
      <c r="U235" s="15" t="s">
        <v>638</v>
      </c>
      <c r="V235" s="15" t="s">
        <v>639</v>
      </c>
      <c r="W235" s="15" t="s">
        <v>641</v>
      </c>
      <c r="X235" s="15" t="s">
        <v>120</v>
      </c>
      <c r="Y235" s="18"/>
      <c r="Z235" s="15" t="s">
        <v>120</v>
      </c>
      <c r="AA235" s="18"/>
      <c r="AB235" s="15" t="s">
        <v>120</v>
      </c>
      <c r="AC235" s="15" t="s">
        <v>120</v>
      </c>
      <c r="AD235" s="18"/>
      <c r="AE235" s="15" t="s">
        <v>120</v>
      </c>
      <c r="AF235" s="18"/>
      <c r="AG235" s="15" t="s">
        <v>120</v>
      </c>
      <c r="AH235" s="18"/>
      <c r="AI235" s="15" t="s">
        <v>120</v>
      </c>
      <c r="AJ235" s="18"/>
      <c r="AK235" s="18"/>
      <c r="AL235" s="15" t="s">
        <v>141</v>
      </c>
      <c r="AM235" s="15" t="s">
        <v>242</v>
      </c>
      <c r="AN235" s="15" t="s">
        <v>156</v>
      </c>
      <c r="AO235" s="15" t="s">
        <v>185</v>
      </c>
      <c r="AP235" s="15"/>
    </row>
    <row r="236" ht="22.5" customHeight="1">
      <c r="A236" s="15" t="s">
        <v>3543</v>
      </c>
      <c r="B236" s="15" t="s">
        <v>3544</v>
      </c>
      <c r="C236" s="15" t="s">
        <v>3545</v>
      </c>
      <c r="D236" s="41">
        <v>40534.0</v>
      </c>
      <c r="E236" s="15" t="s">
        <v>177</v>
      </c>
      <c r="F236" s="15">
        <v>5.537806675E9</v>
      </c>
      <c r="G236" s="15" t="s">
        <v>3546</v>
      </c>
      <c r="H236" s="15" t="s">
        <v>382</v>
      </c>
      <c r="I236" s="23" t="s">
        <v>3547</v>
      </c>
      <c r="J236" s="15" t="s">
        <v>3548</v>
      </c>
      <c r="K236" s="15" t="s">
        <v>3549</v>
      </c>
      <c r="L236" s="15">
        <v>5.518636502E9</v>
      </c>
      <c r="M236" s="18"/>
      <c r="N236" s="18"/>
      <c r="O236" s="18"/>
      <c r="P236" s="20">
        <v>15.0</v>
      </c>
      <c r="Q236" s="22">
        <v>46047.50300925926</v>
      </c>
      <c r="R236" s="15" t="s">
        <v>107</v>
      </c>
      <c r="S236" s="15" t="s">
        <v>109</v>
      </c>
      <c r="T236" s="15" t="s">
        <v>192</v>
      </c>
      <c r="U236" s="15" t="s">
        <v>609</v>
      </c>
      <c r="V236" s="15" t="s">
        <v>611</v>
      </c>
      <c r="W236" s="15" t="s">
        <v>612</v>
      </c>
      <c r="X236" s="15" t="s">
        <v>120</v>
      </c>
      <c r="Y236" s="15" t="s">
        <v>120</v>
      </c>
      <c r="Z236" s="15" t="s">
        <v>120</v>
      </c>
      <c r="AA236" s="18"/>
      <c r="AB236" s="15" t="s">
        <v>120</v>
      </c>
      <c r="AC236" s="18"/>
      <c r="AD236" s="18"/>
      <c r="AE236" s="15" t="s">
        <v>120</v>
      </c>
      <c r="AF236" s="18"/>
      <c r="AG236" s="15" t="s">
        <v>120</v>
      </c>
      <c r="AH236" s="18"/>
      <c r="AI236" s="15" t="s">
        <v>120</v>
      </c>
      <c r="AJ236" s="18"/>
      <c r="AK236" s="18"/>
      <c r="AL236" s="15" t="s">
        <v>185</v>
      </c>
      <c r="AM236" s="15" t="s">
        <v>126</v>
      </c>
      <c r="AN236" s="15" t="s">
        <v>242</v>
      </c>
      <c r="AO236" s="15" t="s">
        <v>128</v>
      </c>
      <c r="AP236" s="15"/>
    </row>
    <row r="237" ht="22.5" customHeight="1">
      <c r="A237" s="15" t="s">
        <v>3550</v>
      </c>
      <c r="B237" s="15" t="s">
        <v>2253</v>
      </c>
      <c r="C237" s="15" t="s">
        <v>3551</v>
      </c>
      <c r="D237" s="41">
        <v>40280.0</v>
      </c>
      <c r="E237" s="15" t="s">
        <v>98</v>
      </c>
      <c r="F237" s="15">
        <v>5.633125941E9</v>
      </c>
      <c r="G237" s="15" t="s">
        <v>3552</v>
      </c>
      <c r="H237" s="15" t="s">
        <v>140</v>
      </c>
      <c r="I237" s="18"/>
      <c r="J237" s="15" t="s">
        <v>2258</v>
      </c>
      <c r="K237" s="15" t="s">
        <v>2259</v>
      </c>
      <c r="L237" s="15">
        <v>5.516457551E9</v>
      </c>
      <c r="M237" s="15" t="s">
        <v>2261</v>
      </c>
      <c r="N237" s="15" t="s">
        <v>2262</v>
      </c>
      <c r="O237" s="15">
        <v>5.52686809E9</v>
      </c>
      <c r="P237" s="20">
        <v>15.0</v>
      </c>
      <c r="Q237" s="22">
        <v>46018.4924537037</v>
      </c>
      <c r="R237" s="15" t="s">
        <v>107</v>
      </c>
      <c r="S237" s="15" t="s">
        <v>109</v>
      </c>
      <c r="T237" s="15" t="s">
        <v>171</v>
      </c>
      <c r="U237" s="15" t="s">
        <v>388</v>
      </c>
      <c r="V237" s="15" t="s">
        <v>389</v>
      </c>
      <c r="W237" s="15" t="s">
        <v>392</v>
      </c>
      <c r="X237" s="15" t="s">
        <v>120</v>
      </c>
      <c r="Y237" s="18"/>
      <c r="Z237" s="15" t="s">
        <v>120</v>
      </c>
      <c r="AA237" s="18"/>
      <c r="AB237" s="15" t="s">
        <v>120</v>
      </c>
      <c r="AC237" s="15" t="s">
        <v>120</v>
      </c>
      <c r="AD237" s="18"/>
      <c r="AE237" s="15" t="s">
        <v>120</v>
      </c>
      <c r="AF237" s="18"/>
      <c r="AG237" s="15" t="s">
        <v>120</v>
      </c>
      <c r="AH237" s="18"/>
      <c r="AI237" s="15" t="s">
        <v>120</v>
      </c>
      <c r="AJ237" s="18"/>
      <c r="AK237" s="18"/>
      <c r="AL237" s="15" t="s">
        <v>185</v>
      </c>
      <c r="AM237" s="15" t="s">
        <v>216</v>
      </c>
      <c r="AN237" s="15" t="s">
        <v>156</v>
      </c>
      <c r="AO237" s="15" t="s">
        <v>124</v>
      </c>
      <c r="AP237" s="15"/>
    </row>
    <row r="238" ht="22.5" customHeight="1">
      <c r="A238" s="15" t="s">
        <v>1627</v>
      </c>
      <c r="B238" s="15" t="s">
        <v>1060</v>
      </c>
      <c r="C238" s="15" t="s">
        <v>1629</v>
      </c>
      <c r="D238" s="41">
        <v>40417.0</v>
      </c>
      <c r="E238" s="15" t="s">
        <v>98</v>
      </c>
      <c r="F238" s="15">
        <v>5.610338282E9</v>
      </c>
      <c r="G238" s="15" t="s">
        <v>1631</v>
      </c>
      <c r="H238" s="15" t="s">
        <v>101</v>
      </c>
      <c r="I238" s="18"/>
      <c r="J238" s="15" t="s">
        <v>1071</v>
      </c>
      <c r="K238" s="15" t="s">
        <v>1073</v>
      </c>
      <c r="L238" s="15">
        <v>5.518772662E9</v>
      </c>
      <c r="M238" s="18"/>
      <c r="N238" s="18"/>
      <c r="O238" s="18"/>
      <c r="P238" s="20">
        <v>15.0</v>
      </c>
      <c r="Q238" s="22">
        <v>46038.85186342592</v>
      </c>
      <c r="R238" s="15" t="s">
        <v>107</v>
      </c>
      <c r="S238" s="15" t="s">
        <v>109</v>
      </c>
      <c r="T238" s="15" t="s">
        <v>171</v>
      </c>
      <c r="U238" s="15" t="s">
        <v>526</v>
      </c>
      <c r="V238" s="15" t="s">
        <v>527</v>
      </c>
      <c r="W238" s="15" t="s">
        <v>528</v>
      </c>
      <c r="X238" s="15" t="s">
        <v>120</v>
      </c>
      <c r="Y238" s="18"/>
      <c r="Z238" s="15" t="s">
        <v>120</v>
      </c>
      <c r="AA238" s="18"/>
      <c r="AB238" s="15" t="s">
        <v>117</v>
      </c>
      <c r="AC238" s="15" t="s">
        <v>117</v>
      </c>
      <c r="AD238" s="15" t="s">
        <v>1639</v>
      </c>
      <c r="AE238" s="15" t="s">
        <v>117</v>
      </c>
      <c r="AF238" s="15" t="s">
        <v>366</v>
      </c>
      <c r="AG238" s="15" t="s">
        <v>120</v>
      </c>
      <c r="AH238" s="18"/>
      <c r="AI238" s="15" t="s">
        <v>120</v>
      </c>
      <c r="AJ238" s="18"/>
      <c r="AK238" s="18"/>
      <c r="AL238" s="15" t="s">
        <v>124</v>
      </c>
      <c r="AM238" s="15" t="s">
        <v>138</v>
      </c>
      <c r="AN238" s="15" t="s">
        <v>129</v>
      </c>
      <c r="AO238" s="15" t="s">
        <v>128</v>
      </c>
      <c r="AP238" s="15"/>
    </row>
    <row r="239" ht="22.5" customHeight="1">
      <c r="A239" s="15" t="s">
        <v>3553</v>
      </c>
      <c r="B239" s="15" t="s">
        <v>3554</v>
      </c>
      <c r="C239" s="15" t="s">
        <v>3555</v>
      </c>
      <c r="D239" s="41">
        <v>40131.0</v>
      </c>
      <c r="E239" s="15" t="s">
        <v>177</v>
      </c>
      <c r="F239" s="15">
        <v>5.566167834E9</v>
      </c>
      <c r="G239" s="15" t="s">
        <v>3556</v>
      </c>
      <c r="H239" s="15" t="s">
        <v>101</v>
      </c>
      <c r="I239" s="23" t="s">
        <v>783</v>
      </c>
      <c r="J239" s="15" t="s">
        <v>3557</v>
      </c>
      <c r="K239" s="15" t="s">
        <v>3558</v>
      </c>
      <c r="L239" s="15">
        <v>5.549072661E9</v>
      </c>
      <c r="M239" s="18"/>
      <c r="N239" s="18"/>
      <c r="O239" s="18"/>
      <c r="P239" s="20">
        <v>16.0</v>
      </c>
      <c r="Q239" s="22">
        <v>46033.372708333336</v>
      </c>
      <c r="R239" s="15" t="s">
        <v>107</v>
      </c>
      <c r="S239" s="15" t="s">
        <v>109</v>
      </c>
      <c r="T239" s="15" t="s">
        <v>160</v>
      </c>
      <c r="U239" s="15" t="s">
        <v>279</v>
      </c>
      <c r="V239" s="15" t="s">
        <v>280</v>
      </c>
      <c r="W239" s="15" t="s">
        <v>282</v>
      </c>
      <c r="X239" s="15" t="s">
        <v>120</v>
      </c>
      <c r="Y239" s="18"/>
      <c r="Z239" s="15" t="s">
        <v>120</v>
      </c>
      <c r="AA239" s="18"/>
      <c r="AB239" s="15" t="s">
        <v>120</v>
      </c>
      <c r="AC239" s="18"/>
      <c r="AD239" s="18"/>
      <c r="AE239" s="15" t="s">
        <v>120</v>
      </c>
      <c r="AF239" s="18"/>
      <c r="AG239" s="15" t="s">
        <v>120</v>
      </c>
      <c r="AH239" s="18"/>
      <c r="AI239" s="15" t="s">
        <v>120</v>
      </c>
      <c r="AJ239" s="18"/>
      <c r="AK239" s="18"/>
      <c r="AL239" s="15" t="s">
        <v>138</v>
      </c>
      <c r="AM239" s="15" t="s">
        <v>129</v>
      </c>
      <c r="AN239" s="15" t="s">
        <v>128</v>
      </c>
      <c r="AO239" s="15" t="s">
        <v>156</v>
      </c>
      <c r="AP239" s="15"/>
    </row>
    <row r="240" ht="22.5" customHeight="1">
      <c r="A240" s="15" t="s">
        <v>3559</v>
      </c>
      <c r="B240" s="15" t="s">
        <v>3560</v>
      </c>
      <c r="C240" s="15" t="s">
        <v>3561</v>
      </c>
      <c r="D240" s="41">
        <v>39792.0</v>
      </c>
      <c r="E240" s="15" t="s">
        <v>98</v>
      </c>
      <c r="F240" s="15">
        <v>9.181110054E9</v>
      </c>
      <c r="G240" s="15" t="s">
        <v>3562</v>
      </c>
      <c r="H240" s="15" t="s">
        <v>140</v>
      </c>
      <c r="I240" s="18"/>
      <c r="J240" s="15" t="s">
        <v>3563</v>
      </c>
      <c r="K240" s="15" t="s">
        <v>3564</v>
      </c>
      <c r="L240" s="15">
        <v>5.618924302E9</v>
      </c>
      <c r="M240" s="15" t="s">
        <v>3565</v>
      </c>
      <c r="N240" s="15" t="s">
        <v>3566</v>
      </c>
      <c r="O240" s="15">
        <v>5.553375309E9</v>
      </c>
      <c r="P240" s="20">
        <v>17.0</v>
      </c>
      <c r="Q240" s="22">
        <v>46037.49621527778</v>
      </c>
      <c r="R240" s="15" t="s">
        <v>107</v>
      </c>
      <c r="S240" s="15" t="s">
        <v>109</v>
      </c>
      <c r="T240" s="15" t="s">
        <v>171</v>
      </c>
      <c r="U240" s="15" t="s">
        <v>526</v>
      </c>
      <c r="V240" s="15" t="s">
        <v>527</v>
      </c>
      <c r="W240" s="15" t="s">
        <v>528</v>
      </c>
      <c r="X240" s="15" t="s">
        <v>120</v>
      </c>
      <c r="Y240" s="18"/>
      <c r="Z240" s="15" t="s">
        <v>117</v>
      </c>
      <c r="AA240" s="49" t="s">
        <v>3567</v>
      </c>
      <c r="AB240" s="15" t="s">
        <v>120</v>
      </c>
      <c r="AC240" s="18"/>
      <c r="AD240" s="18"/>
      <c r="AE240" s="15" t="s">
        <v>120</v>
      </c>
      <c r="AF240" s="18"/>
      <c r="AG240" s="15" t="s">
        <v>120</v>
      </c>
      <c r="AH240" s="18"/>
      <c r="AI240" s="15" t="s">
        <v>120</v>
      </c>
      <c r="AJ240" s="18"/>
      <c r="AK240" s="18"/>
      <c r="AL240" s="15" t="s">
        <v>185</v>
      </c>
      <c r="AM240" s="15" t="s">
        <v>216</v>
      </c>
      <c r="AN240" s="15" t="s">
        <v>156</v>
      </c>
      <c r="AO240" s="15" t="s">
        <v>138</v>
      </c>
      <c r="AP240" s="15"/>
    </row>
    <row r="241" ht="22.5" customHeight="1">
      <c r="A241" s="15" t="s">
        <v>3568</v>
      </c>
      <c r="B241" s="15" t="s">
        <v>3569</v>
      </c>
      <c r="C241" s="15" t="s">
        <v>3570</v>
      </c>
      <c r="D241" s="41">
        <v>39957.0</v>
      </c>
      <c r="E241" s="15" t="s">
        <v>98</v>
      </c>
      <c r="F241" s="15">
        <v>5.529594383E9</v>
      </c>
      <c r="G241" s="15" t="s">
        <v>3571</v>
      </c>
      <c r="H241" s="15" t="s">
        <v>140</v>
      </c>
      <c r="I241" s="18"/>
      <c r="J241" s="15" t="s">
        <v>3572</v>
      </c>
      <c r="K241" s="15" t="s">
        <v>3180</v>
      </c>
      <c r="L241" s="15">
        <v>5.529594383E9</v>
      </c>
      <c r="M241" s="18"/>
      <c r="N241" s="18"/>
      <c r="O241" s="18"/>
      <c r="P241" s="20">
        <v>16.0</v>
      </c>
      <c r="Q241" s="22">
        <v>46040.63513888889</v>
      </c>
      <c r="R241" s="15" t="s">
        <v>107</v>
      </c>
      <c r="S241" s="15" t="s">
        <v>109</v>
      </c>
      <c r="T241" s="15" t="s">
        <v>204</v>
      </c>
      <c r="U241" s="15" t="s">
        <v>367</v>
      </c>
      <c r="V241" s="15" t="s">
        <v>368</v>
      </c>
      <c r="W241" s="15" t="s">
        <v>369</v>
      </c>
      <c r="X241" s="15" t="s">
        <v>120</v>
      </c>
      <c r="Y241" s="18"/>
      <c r="Z241" s="15" t="s">
        <v>120</v>
      </c>
      <c r="AA241" s="18"/>
      <c r="AB241" s="15" t="s">
        <v>120</v>
      </c>
      <c r="AC241" s="18"/>
      <c r="AD241" s="18"/>
      <c r="AE241" s="15" t="s">
        <v>120</v>
      </c>
      <c r="AF241" s="18"/>
      <c r="AG241" s="15" t="s">
        <v>120</v>
      </c>
      <c r="AH241" s="18"/>
      <c r="AI241" s="15" t="s">
        <v>120</v>
      </c>
      <c r="AJ241" s="18"/>
      <c r="AK241" s="18"/>
      <c r="AL241" s="15" t="s">
        <v>141</v>
      </c>
      <c r="AM241" s="15" t="s">
        <v>129</v>
      </c>
      <c r="AN241" s="15" t="s">
        <v>240</v>
      </c>
      <c r="AO241" s="15" t="s">
        <v>156</v>
      </c>
      <c r="AP241" s="15"/>
    </row>
    <row r="242" ht="22.5" customHeight="1">
      <c r="A242" s="15" t="s">
        <v>3573</v>
      </c>
      <c r="B242" s="15" t="s">
        <v>3574</v>
      </c>
      <c r="C242" s="15" t="s">
        <v>3575</v>
      </c>
      <c r="D242" s="41">
        <v>41203.0</v>
      </c>
      <c r="E242" s="15" t="s">
        <v>98</v>
      </c>
      <c r="F242" s="15">
        <v>5.52296491E9</v>
      </c>
      <c r="G242" s="15" t="s">
        <v>3576</v>
      </c>
      <c r="H242" s="15" t="s">
        <v>101</v>
      </c>
      <c r="I242" s="23" t="s">
        <v>3577</v>
      </c>
      <c r="J242" s="15" t="s">
        <v>3578</v>
      </c>
      <c r="K242" s="15" t="s">
        <v>3579</v>
      </c>
      <c r="L242" s="15">
        <v>5.591042254E9</v>
      </c>
      <c r="M242" s="15" t="s">
        <v>3580</v>
      </c>
      <c r="N242" s="15" t="s">
        <v>3581</v>
      </c>
      <c r="O242" s="15">
        <v>5.52296491E9</v>
      </c>
      <c r="P242" s="20">
        <v>13.0</v>
      </c>
      <c r="Q242" s="22">
        <v>46038.85574074074</v>
      </c>
      <c r="R242" s="15" t="s">
        <v>107</v>
      </c>
      <c r="S242" s="15" t="s">
        <v>109</v>
      </c>
      <c r="T242" s="15" t="s">
        <v>111</v>
      </c>
      <c r="U242" s="15" t="s">
        <v>112</v>
      </c>
      <c r="V242" s="15" t="s">
        <v>114</v>
      </c>
      <c r="W242" s="15" t="s">
        <v>115</v>
      </c>
      <c r="X242" s="15" t="s">
        <v>120</v>
      </c>
      <c r="Y242" s="18"/>
      <c r="Z242" s="15" t="s">
        <v>120</v>
      </c>
      <c r="AA242" s="18"/>
      <c r="AB242" s="15" t="s">
        <v>120</v>
      </c>
      <c r="AC242" s="18"/>
      <c r="AD242" s="18"/>
      <c r="AE242" s="15" t="s">
        <v>120</v>
      </c>
      <c r="AF242" s="18"/>
      <c r="AG242" s="15" t="s">
        <v>120</v>
      </c>
      <c r="AH242" s="18"/>
      <c r="AI242" s="15" t="s">
        <v>120</v>
      </c>
      <c r="AJ242" s="18"/>
      <c r="AK242" s="18"/>
      <c r="AL242" s="15" t="s">
        <v>240</v>
      </c>
      <c r="AM242" s="15" t="s">
        <v>156</v>
      </c>
      <c r="AN242" s="15" t="s">
        <v>124</v>
      </c>
      <c r="AO242" s="15" t="s">
        <v>128</v>
      </c>
      <c r="AP242" s="15"/>
    </row>
    <row r="243" ht="22.5" customHeight="1">
      <c r="A243" s="15" t="s">
        <v>2367</v>
      </c>
      <c r="B243" s="15" t="s">
        <v>3582</v>
      </c>
      <c r="C243" s="15" t="s">
        <v>3583</v>
      </c>
      <c r="D243" s="41">
        <v>40233.0</v>
      </c>
      <c r="E243" s="15" t="s">
        <v>177</v>
      </c>
      <c r="F243" s="15">
        <v>5.611454833E9</v>
      </c>
      <c r="G243" s="15" t="s">
        <v>3584</v>
      </c>
      <c r="H243" s="15" t="s">
        <v>110</v>
      </c>
      <c r="I243" s="18"/>
      <c r="J243" s="15" t="s">
        <v>3585</v>
      </c>
      <c r="K243" s="15" t="s">
        <v>3586</v>
      </c>
      <c r="L243" s="15">
        <v>5.563168732E9</v>
      </c>
      <c r="M243" s="15" t="s">
        <v>3587</v>
      </c>
      <c r="N243" s="15" t="s">
        <v>3584</v>
      </c>
      <c r="O243" s="15">
        <v>5.611454833E9</v>
      </c>
      <c r="P243" s="20">
        <v>16.0</v>
      </c>
      <c r="Q243" s="22">
        <v>46002.834444444445</v>
      </c>
      <c r="R243" s="15" t="s">
        <v>107</v>
      </c>
      <c r="S243" s="15" t="s">
        <v>109</v>
      </c>
      <c r="T243" s="15" t="s">
        <v>204</v>
      </c>
      <c r="U243" s="15" t="s">
        <v>357</v>
      </c>
      <c r="V243" s="15" t="s">
        <v>359</v>
      </c>
      <c r="W243" s="15" t="s">
        <v>362</v>
      </c>
      <c r="X243" s="15" t="s">
        <v>120</v>
      </c>
      <c r="Y243" s="18"/>
      <c r="Z243" s="15" t="s">
        <v>120</v>
      </c>
      <c r="AA243" s="18"/>
      <c r="AB243" s="15" t="s">
        <v>120</v>
      </c>
      <c r="AC243" s="15" t="s">
        <v>120</v>
      </c>
      <c r="AD243" s="18"/>
      <c r="AE243" s="15" t="s">
        <v>120</v>
      </c>
      <c r="AF243" s="18"/>
      <c r="AG243" s="15" t="s">
        <v>120</v>
      </c>
      <c r="AH243" s="18"/>
      <c r="AI243" s="15" t="s">
        <v>120</v>
      </c>
      <c r="AJ243" s="18"/>
      <c r="AK243" s="18"/>
      <c r="AL243" s="15" t="s">
        <v>185</v>
      </c>
      <c r="AM243" s="15" t="s">
        <v>216</v>
      </c>
      <c r="AN243" s="15" t="s">
        <v>242</v>
      </c>
      <c r="AO243" s="15" t="s">
        <v>141</v>
      </c>
      <c r="AP243" s="15"/>
    </row>
    <row r="244" ht="22.5" customHeight="1">
      <c r="A244" s="15" t="s">
        <v>3354</v>
      </c>
      <c r="B244" s="15" t="s">
        <v>3588</v>
      </c>
      <c r="C244" s="15" t="s">
        <v>24</v>
      </c>
      <c r="D244" s="41">
        <v>40736.0</v>
      </c>
      <c r="E244" s="15" t="s">
        <v>177</v>
      </c>
      <c r="F244" s="15">
        <v>5.667869642E9</v>
      </c>
      <c r="G244" s="15" t="s">
        <v>3589</v>
      </c>
      <c r="H244" s="15" t="s">
        <v>101</v>
      </c>
      <c r="I244" s="18"/>
      <c r="J244" s="15" t="s">
        <v>3590</v>
      </c>
      <c r="K244" s="15" t="s">
        <v>3589</v>
      </c>
      <c r="L244" s="15">
        <v>5.535747777E9</v>
      </c>
      <c r="M244" s="15" t="s">
        <v>3591</v>
      </c>
      <c r="N244" s="15" t="s">
        <v>3592</v>
      </c>
      <c r="O244" s="15">
        <v>4.426265442E9</v>
      </c>
      <c r="P244" s="20">
        <v>14.0</v>
      </c>
      <c r="Q244" s="22">
        <v>46040.47277777778</v>
      </c>
      <c r="R244" s="15" t="s">
        <v>107</v>
      </c>
      <c r="S244" s="15" t="s">
        <v>109</v>
      </c>
      <c r="T244" s="15" t="s">
        <v>111</v>
      </c>
      <c r="U244" s="15" t="s">
        <v>1979</v>
      </c>
      <c r="V244" s="15" t="s">
        <v>1980</v>
      </c>
      <c r="W244" s="15" t="s">
        <v>1981</v>
      </c>
      <c r="X244" s="15" t="s">
        <v>120</v>
      </c>
      <c r="Y244" s="18"/>
      <c r="Z244" s="15" t="s">
        <v>117</v>
      </c>
      <c r="AA244" s="52" t="s">
        <v>3593</v>
      </c>
      <c r="AB244" s="15" t="s">
        <v>120</v>
      </c>
      <c r="AC244" s="18"/>
      <c r="AD244" s="18"/>
      <c r="AE244" s="15" t="s">
        <v>120</v>
      </c>
      <c r="AF244" s="18"/>
      <c r="AG244" s="15" t="s">
        <v>120</v>
      </c>
      <c r="AH244" s="18"/>
      <c r="AI244" s="15" t="s">
        <v>120</v>
      </c>
      <c r="AJ244" s="18"/>
      <c r="AK244" s="18"/>
      <c r="AL244" s="15" t="s">
        <v>129</v>
      </c>
      <c r="AM244" s="15" t="s">
        <v>240</v>
      </c>
      <c r="AN244" s="15" t="s">
        <v>156</v>
      </c>
      <c r="AO244" s="15" t="s">
        <v>185</v>
      </c>
      <c r="AP244" s="15"/>
    </row>
    <row r="245" ht="22.5" customHeight="1">
      <c r="A245" s="15" t="s">
        <v>1646</v>
      </c>
      <c r="B245" s="15" t="s">
        <v>1647</v>
      </c>
      <c r="C245" s="15" t="s">
        <v>1649</v>
      </c>
      <c r="D245" s="41">
        <v>40624.0</v>
      </c>
      <c r="E245" s="15" t="s">
        <v>98</v>
      </c>
      <c r="F245" s="15">
        <v>5.620882283E9</v>
      </c>
      <c r="G245" s="15" t="s">
        <v>1654</v>
      </c>
      <c r="H245" s="15" t="s">
        <v>140</v>
      </c>
      <c r="I245" s="18"/>
      <c r="J245" s="15" t="s">
        <v>1657</v>
      </c>
      <c r="K245" s="15" t="s">
        <v>1658</v>
      </c>
      <c r="L245" s="15">
        <v>5.585786026E9</v>
      </c>
      <c r="M245" s="15" t="s">
        <v>1661</v>
      </c>
      <c r="N245" s="15" t="s">
        <v>1662</v>
      </c>
      <c r="O245" s="15">
        <v>5.551590965E9</v>
      </c>
      <c r="P245" s="20">
        <v>14.0</v>
      </c>
      <c r="Q245" s="22">
        <v>46033.48384259259</v>
      </c>
      <c r="R245" s="15" t="s">
        <v>107</v>
      </c>
      <c r="S245" s="15" t="s">
        <v>109</v>
      </c>
      <c r="T245" s="15" t="s">
        <v>208</v>
      </c>
      <c r="U245" s="15" t="s">
        <v>478</v>
      </c>
      <c r="V245" s="15" t="s">
        <v>480</v>
      </c>
      <c r="W245" s="15" t="s">
        <v>481</v>
      </c>
      <c r="X245" s="15" t="s">
        <v>120</v>
      </c>
      <c r="Y245" s="18"/>
      <c r="Z245" s="15" t="s">
        <v>117</v>
      </c>
      <c r="AA245" s="52" t="s">
        <v>1663</v>
      </c>
      <c r="AB245" s="15" t="s">
        <v>117</v>
      </c>
      <c r="AC245" s="15" t="s">
        <v>117</v>
      </c>
      <c r="AD245" s="15" t="s">
        <v>1664</v>
      </c>
      <c r="AE245" s="15" t="s">
        <v>120</v>
      </c>
      <c r="AF245" s="18"/>
      <c r="AG245" s="15" t="s">
        <v>120</v>
      </c>
      <c r="AH245" s="18"/>
      <c r="AI245" s="15" t="s">
        <v>120</v>
      </c>
      <c r="AJ245" s="18"/>
      <c r="AK245" s="18"/>
      <c r="AL245" s="15" t="s">
        <v>185</v>
      </c>
      <c r="AM245" s="15" t="s">
        <v>242</v>
      </c>
      <c r="AN245" s="15" t="s">
        <v>216</v>
      </c>
      <c r="AO245" s="15" t="s">
        <v>129</v>
      </c>
      <c r="AP245" s="15"/>
    </row>
    <row r="246" ht="22.5" customHeight="1">
      <c r="A246" s="15" t="s">
        <v>3594</v>
      </c>
      <c r="B246" s="15" t="s">
        <v>3595</v>
      </c>
      <c r="C246" s="15" t="s">
        <v>3596</v>
      </c>
      <c r="D246" s="41">
        <v>40322.0</v>
      </c>
      <c r="E246" s="15" t="s">
        <v>177</v>
      </c>
      <c r="F246" s="15">
        <v>5.62516515E9</v>
      </c>
      <c r="G246" s="15" t="s">
        <v>3597</v>
      </c>
      <c r="H246" s="15" t="s">
        <v>382</v>
      </c>
      <c r="I246" s="18"/>
      <c r="J246" s="15" t="s">
        <v>3598</v>
      </c>
      <c r="K246" s="15" t="s">
        <v>3599</v>
      </c>
      <c r="L246" s="15">
        <v>5.540319971E9</v>
      </c>
      <c r="M246" s="18"/>
      <c r="N246" s="18"/>
      <c r="O246" s="18"/>
      <c r="P246" s="20">
        <v>15.0</v>
      </c>
      <c r="Q246" s="22">
        <v>46026.729675925926</v>
      </c>
      <c r="R246" s="15" t="s">
        <v>107</v>
      </c>
      <c r="S246" s="15" t="s">
        <v>109</v>
      </c>
      <c r="T246" s="15" t="s">
        <v>204</v>
      </c>
      <c r="U246" s="15" t="s">
        <v>699</v>
      </c>
      <c r="V246" s="15" t="s">
        <v>700</v>
      </c>
      <c r="W246" s="15" t="s">
        <v>702</v>
      </c>
      <c r="X246" s="15" t="s">
        <v>120</v>
      </c>
      <c r="Y246" s="18"/>
      <c r="Z246" s="15" t="s">
        <v>120</v>
      </c>
      <c r="AA246" s="18"/>
      <c r="AB246" s="15" t="s">
        <v>120</v>
      </c>
      <c r="AC246" s="18"/>
      <c r="AD246" s="18"/>
      <c r="AE246" s="15" t="s">
        <v>120</v>
      </c>
      <c r="AF246" s="18"/>
      <c r="AG246" s="15" t="s">
        <v>120</v>
      </c>
      <c r="AH246" s="18"/>
      <c r="AI246" s="15" t="s">
        <v>120</v>
      </c>
      <c r="AJ246" s="18"/>
      <c r="AK246" s="18"/>
      <c r="AL246" s="15" t="s">
        <v>185</v>
      </c>
      <c r="AM246" s="15" t="s">
        <v>216</v>
      </c>
      <c r="AN246" s="15" t="s">
        <v>128</v>
      </c>
      <c r="AO246" s="15" t="s">
        <v>124</v>
      </c>
      <c r="AP246" s="15"/>
    </row>
    <row r="247" ht="22.5" customHeight="1">
      <c r="A247" s="15" t="s">
        <v>3600</v>
      </c>
      <c r="B247" s="15" t="s">
        <v>3601</v>
      </c>
      <c r="C247" s="18"/>
      <c r="D247" s="41">
        <v>40444.0</v>
      </c>
      <c r="E247" s="15" t="s">
        <v>98</v>
      </c>
      <c r="F247" s="15">
        <v>5.518386821E9</v>
      </c>
      <c r="G247" s="15" t="s">
        <v>3602</v>
      </c>
      <c r="H247" s="15" t="s">
        <v>101</v>
      </c>
      <c r="I247" s="23" t="s">
        <v>1325</v>
      </c>
      <c r="J247" s="15" t="s">
        <v>3603</v>
      </c>
      <c r="K247" s="15" t="s">
        <v>3602</v>
      </c>
      <c r="L247" s="15">
        <v>5.518386821E9</v>
      </c>
      <c r="M247" s="18"/>
      <c r="N247" s="18"/>
      <c r="O247" s="18"/>
      <c r="P247" s="20">
        <v>15.0</v>
      </c>
      <c r="Q247" s="22">
        <v>46041.79127314815</v>
      </c>
      <c r="R247" s="15" t="s">
        <v>107</v>
      </c>
      <c r="S247" s="15" t="s">
        <v>109</v>
      </c>
      <c r="T247" s="15" t="s">
        <v>111</v>
      </c>
      <c r="U247" s="15" t="s">
        <v>398</v>
      </c>
      <c r="V247" s="15" t="s">
        <v>399</v>
      </c>
      <c r="W247" s="15" t="s">
        <v>400</v>
      </c>
      <c r="X247" s="15" t="s">
        <v>120</v>
      </c>
      <c r="Y247" s="18"/>
      <c r="Z247" s="15" t="s">
        <v>120</v>
      </c>
      <c r="AA247" s="18"/>
      <c r="AB247" s="15" t="s">
        <v>120</v>
      </c>
      <c r="AC247" s="15" t="s">
        <v>120</v>
      </c>
      <c r="AD247" s="18"/>
      <c r="AE247" s="15" t="s">
        <v>120</v>
      </c>
      <c r="AF247" s="18"/>
      <c r="AG247" s="15" t="s">
        <v>120</v>
      </c>
      <c r="AH247" s="18"/>
      <c r="AI247" s="15" t="s">
        <v>120</v>
      </c>
      <c r="AJ247" s="18"/>
      <c r="AK247" s="18"/>
      <c r="AL247" s="15" t="s">
        <v>129</v>
      </c>
      <c r="AM247" s="15" t="s">
        <v>216</v>
      </c>
      <c r="AN247" s="15" t="s">
        <v>124</v>
      </c>
      <c r="AO247" s="15" t="s">
        <v>126</v>
      </c>
      <c r="AP247" s="15"/>
    </row>
    <row r="248" ht="22.5" customHeight="1">
      <c r="A248" s="15" t="s">
        <v>1676</v>
      </c>
      <c r="B248" s="15" t="s">
        <v>1678</v>
      </c>
      <c r="C248" s="15" t="s">
        <v>1680</v>
      </c>
      <c r="D248" s="41">
        <v>39545.0</v>
      </c>
      <c r="E248" s="15" t="s">
        <v>98</v>
      </c>
      <c r="F248" s="15">
        <v>5.588032892E9</v>
      </c>
      <c r="G248" s="15" t="s">
        <v>1685</v>
      </c>
      <c r="H248" s="15" t="s">
        <v>101</v>
      </c>
      <c r="I248" s="18"/>
      <c r="J248" s="15" t="s">
        <v>1687</v>
      </c>
      <c r="K248" s="15" t="s">
        <v>1688</v>
      </c>
      <c r="L248" s="15">
        <v>5.580325992E9</v>
      </c>
      <c r="M248" s="18"/>
      <c r="N248" s="18"/>
      <c r="O248" s="18"/>
      <c r="P248" s="20">
        <v>17.0</v>
      </c>
      <c r="Q248" s="22">
        <v>46036.9050462963</v>
      </c>
      <c r="R248" s="15" t="s">
        <v>107</v>
      </c>
      <c r="S248" s="15" t="s">
        <v>109</v>
      </c>
      <c r="T248" s="15" t="s">
        <v>160</v>
      </c>
      <c r="U248" s="15" t="s">
        <v>308</v>
      </c>
      <c r="V248" s="15" t="s">
        <v>309</v>
      </c>
      <c r="W248" s="15" t="s">
        <v>310</v>
      </c>
      <c r="X248" s="15" t="s">
        <v>120</v>
      </c>
      <c r="Y248" s="18"/>
      <c r="Z248" s="15" t="s">
        <v>120</v>
      </c>
      <c r="AA248" s="18"/>
      <c r="AB248" s="15" t="s">
        <v>117</v>
      </c>
      <c r="AC248" s="15" t="s">
        <v>117</v>
      </c>
      <c r="AD248" s="15" t="s">
        <v>1699</v>
      </c>
      <c r="AE248" s="15" t="s">
        <v>120</v>
      </c>
      <c r="AF248" s="18"/>
      <c r="AG248" s="15" t="s">
        <v>120</v>
      </c>
      <c r="AH248" s="18"/>
      <c r="AI248" s="15" t="s">
        <v>120</v>
      </c>
      <c r="AJ248" s="18"/>
      <c r="AK248" s="18"/>
      <c r="AL248" s="15" t="s">
        <v>141</v>
      </c>
      <c r="AM248" s="15" t="s">
        <v>242</v>
      </c>
      <c r="AN248" s="15" t="s">
        <v>128</v>
      </c>
      <c r="AO248" s="15" t="s">
        <v>129</v>
      </c>
      <c r="AP248" s="15"/>
    </row>
    <row r="249" ht="22.5" customHeight="1">
      <c r="A249" s="15" t="s">
        <v>3610</v>
      </c>
      <c r="B249" s="15" t="s">
        <v>3611</v>
      </c>
      <c r="C249" s="15" t="s">
        <v>37</v>
      </c>
      <c r="D249" s="41">
        <v>39641.0</v>
      </c>
      <c r="E249" s="15" t="s">
        <v>98</v>
      </c>
      <c r="F249" s="15">
        <v>5.564311123E9</v>
      </c>
      <c r="G249" s="15" t="s">
        <v>3612</v>
      </c>
      <c r="H249" s="15" t="s">
        <v>382</v>
      </c>
      <c r="I249" s="18"/>
      <c r="J249" s="15" t="s">
        <v>3613</v>
      </c>
      <c r="K249" s="15" t="s">
        <v>3612</v>
      </c>
      <c r="L249" s="15">
        <v>5.517467916E9</v>
      </c>
      <c r="M249" s="15" t="s">
        <v>3614</v>
      </c>
      <c r="N249" s="15" t="s">
        <v>3615</v>
      </c>
      <c r="O249" s="15">
        <v>9.982707621E9</v>
      </c>
      <c r="P249" s="20">
        <v>17.0</v>
      </c>
      <c r="Q249" s="22">
        <v>46024.67518518519</v>
      </c>
      <c r="R249" s="15" t="s">
        <v>107</v>
      </c>
      <c r="S249" s="15" t="s">
        <v>109</v>
      </c>
      <c r="T249" s="15" t="s">
        <v>192</v>
      </c>
      <c r="U249" s="15" t="s">
        <v>195</v>
      </c>
      <c r="V249" s="15" t="s">
        <v>198</v>
      </c>
      <c r="W249" s="15" t="s">
        <v>200</v>
      </c>
      <c r="X249" s="15" t="s">
        <v>120</v>
      </c>
      <c r="Y249" s="18"/>
      <c r="Z249" s="15" t="s">
        <v>120</v>
      </c>
      <c r="AA249" s="18"/>
      <c r="AB249" s="15" t="s">
        <v>120</v>
      </c>
      <c r="AC249" s="18"/>
      <c r="AD249" s="18"/>
      <c r="AE249" s="15" t="s">
        <v>120</v>
      </c>
      <c r="AF249" s="18"/>
      <c r="AG249" s="15" t="s">
        <v>120</v>
      </c>
      <c r="AH249" s="18"/>
      <c r="AI249" s="15" t="s">
        <v>120</v>
      </c>
      <c r="AJ249" s="18"/>
      <c r="AK249" s="18"/>
      <c r="AL249" s="15" t="s">
        <v>129</v>
      </c>
      <c r="AM249" s="15" t="s">
        <v>126</v>
      </c>
      <c r="AN249" s="15" t="s">
        <v>156</v>
      </c>
      <c r="AO249" s="15" t="s">
        <v>185</v>
      </c>
      <c r="AP249" s="15"/>
    </row>
    <row r="250" ht="22.5" customHeight="1">
      <c r="A250" s="15" t="s">
        <v>3616</v>
      </c>
      <c r="B250" s="15" t="s">
        <v>3617</v>
      </c>
      <c r="C250" s="15" t="s">
        <v>3618</v>
      </c>
      <c r="D250" s="41">
        <v>40039.0</v>
      </c>
      <c r="E250" s="15" t="s">
        <v>177</v>
      </c>
      <c r="F250" s="15">
        <v>5.527999327E9</v>
      </c>
      <c r="G250" s="15" t="s">
        <v>3619</v>
      </c>
      <c r="H250" s="15" t="s">
        <v>101</v>
      </c>
      <c r="I250" s="23" t="s">
        <v>3620</v>
      </c>
      <c r="J250" s="15" t="s">
        <v>3621</v>
      </c>
      <c r="K250" s="15" t="s">
        <v>3622</v>
      </c>
      <c r="L250" s="15">
        <v>5.578992955E9</v>
      </c>
      <c r="M250" s="15" t="s">
        <v>3623</v>
      </c>
      <c r="N250" s="15" t="s">
        <v>3624</v>
      </c>
      <c r="O250" s="15">
        <v>7.3521861E9</v>
      </c>
      <c r="P250" s="20">
        <v>16.0</v>
      </c>
      <c r="Q250" s="22">
        <v>46033.72758101852</v>
      </c>
      <c r="R250" s="15" t="s">
        <v>107</v>
      </c>
      <c r="S250" s="15" t="s">
        <v>109</v>
      </c>
      <c r="T250" s="15" t="s">
        <v>171</v>
      </c>
      <c r="U250" s="15" t="s">
        <v>173</v>
      </c>
      <c r="V250" s="15" t="s">
        <v>167</v>
      </c>
      <c r="W250" s="15" t="s">
        <v>175</v>
      </c>
      <c r="X250" s="15" t="s">
        <v>120</v>
      </c>
      <c r="Y250" s="18"/>
      <c r="Z250" s="15" t="s">
        <v>120</v>
      </c>
      <c r="AA250" s="18"/>
      <c r="AB250" s="15" t="s">
        <v>120</v>
      </c>
      <c r="AC250" s="18"/>
      <c r="AD250" s="18"/>
      <c r="AE250" s="15" t="s">
        <v>120</v>
      </c>
      <c r="AF250" s="18"/>
      <c r="AG250" s="15" t="s">
        <v>120</v>
      </c>
      <c r="AH250" s="18"/>
      <c r="AI250" s="15" t="s">
        <v>120</v>
      </c>
      <c r="AJ250" s="18"/>
      <c r="AK250" s="18"/>
      <c r="AL250" s="15" t="s">
        <v>126</v>
      </c>
      <c r="AM250" s="15" t="s">
        <v>156</v>
      </c>
      <c r="AN250" s="15" t="s">
        <v>185</v>
      </c>
      <c r="AO250" s="15" t="s">
        <v>124</v>
      </c>
      <c r="AP250" s="15"/>
    </row>
    <row r="251" ht="22.5" customHeight="1">
      <c r="A251" s="15" t="s">
        <v>3625</v>
      </c>
      <c r="B251" s="15" t="s">
        <v>3626</v>
      </c>
      <c r="C251" s="18"/>
      <c r="D251" s="41">
        <v>41110.0</v>
      </c>
      <c r="E251" s="15" t="s">
        <v>177</v>
      </c>
      <c r="F251" s="15">
        <v>3.411050729E9</v>
      </c>
      <c r="G251" s="15" t="s">
        <v>3627</v>
      </c>
      <c r="H251" s="15" t="s">
        <v>140</v>
      </c>
      <c r="I251" s="18"/>
      <c r="J251" s="15" t="s">
        <v>3628</v>
      </c>
      <c r="K251" s="15" t="s">
        <v>3629</v>
      </c>
      <c r="L251" s="15">
        <v>3.411050729E9</v>
      </c>
      <c r="M251" s="15" t="s">
        <v>3630</v>
      </c>
      <c r="N251" s="15" t="s">
        <v>3631</v>
      </c>
      <c r="O251" s="15">
        <v>5.561794268E9</v>
      </c>
      <c r="P251" s="20">
        <v>13.0</v>
      </c>
      <c r="Q251" s="22">
        <v>46026.743483796294</v>
      </c>
      <c r="R251" s="15" t="s">
        <v>107</v>
      </c>
      <c r="S251" s="15" t="s">
        <v>109</v>
      </c>
      <c r="T251" s="15" t="s">
        <v>204</v>
      </c>
      <c r="U251" s="15" t="s">
        <v>205</v>
      </c>
      <c r="V251" s="15" t="s">
        <v>206</v>
      </c>
      <c r="W251" s="15" t="s">
        <v>207</v>
      </c>
      <c r="X251" s="15" t="s">
        <v>120</v>
      </c>
      <c r="Y251" s="18"/>
      <c r="Z251" s="15" t="s">
        <v>120</v>
      </c>
      <c r="AA251" s="18"/>
      <c r="AB251" s="15" t="s">
        <v>120</v>
      </c>
      <c r="AC251" s="18"/>
      <c r="AD251" s="18"/>
      <c r="AE251" s="15" t="s">
        <v>120</v>
      </c>
      <c r="AF251" s="18"/>
      <c r="AG251" s="15" t="s">
        <v>120</v>
      </c>
      <c r="AH251" s="18"/>
      <c r="AI251" s="15" t="s">
        <v>120</v>
      </c>
      <c r="AJ251" s="18"/>
      <c r="AK251" s="18"/>
      <c r="AL251" s="15" t="s">
        <v>240</v>
      </c>
      <c r="AM251" s="15" t="s">
        <v>138</v>
      </c>
      <c r="AN251" s="15" t="s">
        <v>128</v>
      </c>
      <c r="AO251" s="15" t="s">
        <v>156</v>
      </c>
      <c r="AP251" s="15"/>
    </row>
    <row r="252" ht="22.5" customHeight="1">
      <c r="A252" s="15" t="s">
        <v>1510</v>
      </c>
      <c r="B252" s="15" t="s">
        <v>1513</v>
      </c>
      <c r="C252" s="15" t="s">
        <v>1514</v>
      </c>
      <c r="D252" s="41">
        <v>40459.0</v>
      </c>
      <c r="E252" s="15" t="s">
        <v>177</v>
      </c>
      <c r="F252" s="15" t="s">
        <v>1515</v>
      </c>
      <c r="G252" s="15" t="s">
        <v>1516</v>
      </c>
      <c r="H252" s="15" t="s">
        <v>150</v>
      </c>
      <c r="I252" s="18"/>
      <c r="J252" s="15" t="s">
        <v>1519</v>
      </c>
      <c r="K252" s="15" t="s">
        <v>1521</v>
      </c>
      <c r="L252" s="15">
        <v>5.586136085E9</v>
      </c>
      <c r="M252" s="18"/>
      <c r="N252" s="18"/>
      <c r="O252" s="18"/>
      <c r="P252" s="20">
        <v>15.0</v>
      </c>
      <c r="Q252" s="22">
        <v>46020.466678240744</v>
      </c>
      <c r="R252" s="15" t="s">
        <v>107</v>
      </c>
      <c r="S252" s="15" t="s">
        <v>109</v>
      </c>
      <c r="T252" s="15" t="s">
        <v>208</v>
      </c>
      <c r="U252" s="15" t="s">
        <v>428</v>
      </c>
      <c r="V252" s="15" t="s">
        <v>429</v>
      </c>
      <c r="W252" s="15" t="s">
        <v>430</v>
      </c>
      <c r="X252" s="15" t="s">
        <v>120</v>
      </c>
      <c r="Y252" s="18"/>
      <c r="Z252" s="15" t="s">
        <v>120</v>
      </c>
      <c r="AA252" s="18"/>
      <c r="AB252" s="15" t="s">
        <v>120</v>
      </c>
      <c r="AC252" s="15" t="s">
        <v>117</v>
      </c>
      <c r="AD252" s="18"/>
      <c r="AE252" s="15" t="s">
        <v>120</v>
      </c>
      <c r="AF252" s="18"/>
      <c r="AG252" s="15" t="s">
        <v>120</v>
      </c>
      <c r="AH252" s="18"/>
      <c r="AI252" s="15" t="s">
        <v>117</v>
      </c>
      <c r="AJ252" s="15" t="s">
        <v>1540</v>
      </c>
      <c r="AK252" s="18"/>
      <c r="AL252" s="15" t="s">
        <v>185</v>
      </c>
      <c r="AM252" s="15" t="s">
        <v>156</v>
      </c>
      <c r="AN252" s="15" t="s">
        <v>124</v>
      </c>
      <c r="AO252" s="15" t="s">
        <v>138</v>
      </c>
      <c r="AP252" s="15"/>
    </row>
    <row r="253" ht="22.5" customHeight="1">
      <c r="A253" s="15" t="s">
        <v>3635</v>
      </c>
      <c r="B253" s="15" t="s">
        <v>3636</v>
      </c>
      <c r="C253" s="15" t="s">
        <v>3637</v>
      </c>
      <c r="D253" s="41">
        <v>39486.0</v>
      </c>
      <c r="E253" s="15" t="s">
        <v>177</v>
      </c>
      <c r="F253" s="15">
        <v>5.582397952E9</v>
      </c>
      <c r="G253" s="15" t="s">
        <v>3638</v>
      </c>
      <c r="H253" s="15" t="s">
        <v>150</v>
      </c>
      <c r="I253" s="18"/>
      <c r="J253" s="15" t="s">
        <v>3639</v>
      </c>
      <c r="K253" s="15" t="s">
        <v>3640</v>
      </c>
      <c r="L253" s="15">
        <v>5.522184089E9</v>
      </c>
      <c r="M253" s="18"/>
      <c r="N253" s="18"/>
      <c r="O253" s="18"/>
      <c r="P253" s="20">
        <v>18.0</v>
      </c>
      <c r="Q253" s="22">
        <v>46036.83524305555</v>
      </c>
      <c r="R253" s="15" t="s">
        <v>107</v>
      </c>
      <c r="S253" s="15" t="s">
        <v>109</v>
      </c>
      <c r="T253" s="15" t="s">
        <v>192</v>
      </c>
      <c r="U253" s="15" t="s">
        <v>505</v>
      </c>
      <c r="V253" s="15" t="s">
        <v>506</v>
      </c>
      <c r="W253" s="15" t="s">
        <v>507</v>
      </c>
      <c r="X253" s="15" t="s">
        <v>120</v>
      </c>
      <c r="Y253" s="18"/>
      <c r="Z253" s="15" t="s">
        <v>120</v>
      </c>
      <c r="AA253" s="18"/>
      <c r="AB253" s="15" t="s">
        <v>120</v>
      </c>
      <c r="AC253" s="18"/>
      <c r="AD253" s="18"/>
      <c r="AE253" s="15" t="s">
        <v>120</v>
      </c>
      <c r="AF253" s="18"/>
      <c r="AG253" s="15" t="s">
        <v>120</v>
      </c>
      <c r="AH253" s="18"/>
      <c r="AI253" s="15" t="s">
        <v>120</v>
      </c>
      <c r="AJ253" s="18"/>
      <c r="AK253" s="18"/>
      <c r="AL253" s="15" t="s">
        <v>185</v>
      </c>
      <c r="AM253" s="15" t="s">
        <v>141</v>
      </c>
      <c r="AN253" s="15" t="s">
        <v>216</v>
      </c>
      <c r="AO253" s="15" t="s">
        <v>242</v>
      </c>
      <c r="AP253" s="15"/>
    </row>
    <row r="254" ht="22.5" customHeight="1">
      <c r="A254" s="15" t="s">
        <v>451</v>
      </c>
      <c r="B254" s="15" t="s">
        <v>1912</v>
      </c>
      <c r="C254" s="15" t="s">
        <v>1913</v>
      </c>
      <c r="D254" s="41">
        <v>40257.0</v>
      </c>
      <c r="E254" s="15" t="s">
        <v>98</v>
      </c>
      <c r="F254" s="15">
        <v>5.642992795E9</v>
      </c>
      <c r="G254" s="15" t="s">
        <v>1920</v>
      </c>
      <c r="H254" s="15" t="s">
        <v>150</v>
      </c>
      <c r="I254" s="23" t="s">
        <v>2351</v>
      </c>
      <c r="J254" s="15" t="s">
        <v>1924</v>
      </c>
      <c r="K254" s="15" t="s">
        <v>1925</v>
      </c>
      <c r="L254" s="15">
        <v>5.546144414E9</v>
      </c>
      <c r="M254" s="15" t="s">
        <v>1928</v>
      </c>
      <c r="N254" s="15" t="s">
        <v>1929</v>
      </c>
      <c r="O254" s="15">
        <v>5.616834998E9</v>
      </c>
      <c r="P254" s="20">
        <v>15.0</v>
      </c>
      <c r="Q254" s="22">
        <v>46025.64896990741</v>
      </c>
      <c r="R254" s="15" t="s">
        <v>546</v>
      </c>
      <c r="S254" s="15" t="s">
        <v>109</v>
      </c>
      <c r="T254" s="15" t="s">
        <v>127</v>
      </c>
      <c r="U254" s="15" t="s">
        <v>531</v>
      </c>
      <c r="V254" s="15" t="s">
        <v>532</v>
      </c>
      <c r="W254" s="15" t="s">
        <v>534</v>
      </c>
      <c r="X254" s="15" t="s">
        <v>120</v>
      </c>
      <c r="Y254" s="18"/>
      <c r="Z254" s="15" t="s">
        <v>120</v>
      </c>
      <c r="AA254" s="18"/>
      <c r="AB254" s="15" t="s">
        <v>120</v>
      </c>
      <c r="AC254" s="18"/>
      <c r="AD254" s="15" t="s">
        <v>2360</v>
      </c>
      <c r="AE254" s="15" t="s">
        <v>117</v>
      </c>
      <c r="AF254" s="15" t="s">
        <v>2362</v>
      </c>
      <c r="AG254" s="15" t="s">
        <v>120</v>
      </c>
      <c r="AH254" s="18"/>
      <c r="AI254" s="15" t="s">
        <v>117</v>
      </c>
      <c r="AJ254" s="15" t="s">
        <v>2364</v>
      </c>
      <c r="AK254" s="18"/>
      <c r="AL254" s="15" t="s">
        <v>185</v>
      </c>
      <c r="AM254" s="15" t="s">
        <v>240</v>
      </c>
      <c r="AN254" s="15" t="s">
        <v>156</v>
      </c>
      <c r="AO254" s="15" t="s">
        <v>124</v>
      </c>
      <c r="AP254" s="15"/>
    </row>
    <row r="255" ht="22.5" customHeight="1">
      <c r="A255" s="15" t="s">
        <v>3641</v>
      </c>
      <c r="B255" s="15" t="s">
        <v>3642</v>
      </c>
      <c r="C255" s="15" t="s">
        <v>3643</v>
      </c>
      <c r="D255" s="41">
        <v>40796.0</v>
      </c>
      <c r="E255" s="15" t="s">
        <v>98</v>
      </c>
      <c r="F255" s="15">
        <v>5.636792081E9</v>
      </c>
      <c r="G255" s="15" t="s">
        <v>3644</v>
      </c>
      <c r="H255" s="15" t="s">
        <v>101</v>
      </c>
      <c r="I255" s="18"/>
      <c r="J255" s="15" t="s">
        <v>3645</v>
      </c>
      <c r="K255" s="15" t="s">
        <v>3644</v>
      </c>
      <c r="L255" s="15">
        <v>5.5173931E9</v>
      </c>
      <c r="M255" s="18"/>
      <c r="N255" s="18"/>
      <c r="O255" s="18"/>
      <c r="P255" s="20">
        <v>14.0</v>
      </c>
      <c r="Q255" s="22">
        <v>46039.94065972222</v>
      </c>
      <c r="R255" s="15" t="s">
        <v>107</v>
      </c>
      <c r="S255" s="15" t="s">
        <v>109</v>
      </c>
      <c r="T255" s="15" t="s">
        <v>208</v>
      </c>
      <c r="U255" s="15" t="s">
        <v>1599</v>
      </c>
      <c r="V255" s="15" t="s">
        <v>1600</v>
      </c>
      <c r="W255" s="15" t="s">
        <v>1602</v>
      </c>
      <c r="X255" s="15" t="s">
        <v>120</v>
      </c>
      <c r="Y255" s="18"/>
      <c r="Z255" s="15" t="s">
        <v>120</v>
      </c>
      <c r="AA255" s="18"/>
      <c r="AB255" s="15" t="s">
        <v>120</v>
      </c>
      <c r="AC255" s="15" t="s">
        <v>120</v>
      </c>
      <c r="AD255" s="18"/>
      <c r="AE255" s="15" t="s">
        <v>120</v>
      </c>
      <c r="AF255" s="18"/>
      <c r="AG255" s="15" t="s">
        <v>120</v>
      </c>
      <c r="AH255" s="18"/>
      <c r="AI255" s="15" t="s">
        <v>120</v>
      </c>
      <c r="AJ255" s="18"/>
      <c r="AK255" s="18"/>
      <c r="AL255" s="15" t="s">
        <v>141</v>
      </c>
      <c r="AM255" s="15" t="s">
        <v>129</v>
      </c>
      <c r="AN255" s="15" t="s">
        <v>138</v>
      </c>
      <c r="AO255" s="15" t="s">
        <v>216</v>
      </c>
      <c r="AP255" s="15"/>
    </row>
    <row r="256" ht="22.5" customHeight="1">
      <c r="A256" s="15" t="s">
        <v>1542</v>
      </c>
      <c r="B256" s="15" t="s">
        <v>1543</v>
      </c>
      <c r="C256" s="15" t="s">
        <v>1544</v>
      </c>
      <c r="D256" s="41">
        <v>40653.0</v>
      </c>
      <c r="E256" s="15" t="s">
        <v>177</v>
      </c>
      <c r="F256" s="15">
        <v>5.610274297E9</v>
      </c>
      <c r="G256" s="15" t="s">
        <v>1547</v>
      </c>
      <c r="H256" s="15" t="s">
        <v>140</v>
      </c>
      <c r="I256" s="23" t="s">
        <v>1549</v>
      </c>
      <c r="J256" s="15" t="s">
        <v>1551</v>
      </c>
      <c r="K256" s="15" t="s">
        <v>1547</v>
      </c>
      <c r="L256" s="15">
        <v>5.610274297E9</v>
      </c>
      <c r="M256" s="18"/>
      <c r="N256" s="18"/>
      <c r="O256" s="18"/>
      <c r="P256" s="20">
        <v>14.0</v>
      </c>
      <c r="Q256" s="22">
        <v>46039.70263888889</v>
      </c>
      <c r="R256" s="15" t="s">
        <v>107</v>
      </c>
      <c r="S256" s="15" t="s">
        <v>109</v>
      </c>
      <c r="T256" s="15" t="s">
        <v>204</v>
      </c>
      <c r="U256" s="15" t="s">
        <v>311</v>
      </c>
      <c r="V256" s="15" t="s">
        <v>312</v>
      </c>
      <c r="W256" s="15" t="s">
        <v>313</v>
      </c>
      <c r="X256" s="15" t="s">
        <v>120</v>
      </c>
      <c r="Y256" s="18"/>
      <c r="Z256" s="15" t="s">
        <v>120</v>
      </c>
      <c r="AA256" s="18"/>
      <c r="AB256" s="15" t="s">
        <v>117</v>
      </c>
      <c r="AC256" s="15" t="s">
        <v>117</v>
      </c>
      <c r="AD256" s="15" t="s">
        <v>1566</v>
      </c>
      <c r="AE256" s="15" t="s">
        <v>120</v>
      </c>
      <c r="AF256" s="18"/>
      <c r="AG256" s="15" t="s">
        <v>120</v>
      </c>
      <c r="AH256" s="18"/>
      <c r="AI256" s="15" t="s">
        <v>117</v>
      </c>
      <c r="AJ256" s="15" t="s">
        <v>178</v>
      </c>
      <c r="AK256" s="18"/>
      <c r="AL256" s="15" t="s">
        <v>141</v>
      </c>
      <c r="AM256" s="15" t="s">
        <v>129</v>
      </c>
      <c r="AN256" s="15" t="s">
        <v>138</v>
      </c>
      <c r="AO256" s="15" t="s">
        <v>126</v>
      </c>
      <c r="AP256" s="15"/>
    </row>
    <row r="257" ht="22.5" customHeight="1">
      <c r="A257" s="15" t="s">
        <v>3230</v>
      </c>
      <c r="B257" s="15" t="s">
        <v>3646</v>
      </c>
      <c r="C257" s="15" t="s">
        <v>3647</v>
      </c>
      <c r="D257" s="41">
        <v>39724.0</v>
      </c>
      <c r="E257" s="15" t="s">
        <v>98</v>
      </c>
      <c r="F257" s="18" t="str">
        <f>+52 56 3377 8229</f>
        <v>#ERROR!</v>
      </c>
      <c r="G257" s="15" t="s">
        <v>3648</v>
      </c>
      <c r="H257" s="15" t="s">
        <v>101</v>
      </c>
      <c r="I257" s="23" t="s">
        <v>120</v>
      </c>
      <c r="J257" s="15" t="s">
        <v>3649</v>
      </c>
      <c r="K257" s="15" t="s">
        <v>3650</v>
      </c>
      <c r="L257" s="18" t="str">
        <f>+52 56 1156 7898</f>
        <v>#ERROR!</v>
      </c>
      <c r="M257" s="15" t="s">
        <v>3651</v>
      </c>
      <c r="N257" s="15" t="s">
        <v>3652</v>
      </c>
      <c r="O257" s="18" t="str">
        <f>+52 56 1156 7898</f>
        <v>#ERROR!</v>
      </c>
      <c r="P257" s="20">
        <v>17.0</v>
      </c>
      <c r="Q257" s="22">
        <v>46037.47555555555</v>
      </c>
      <c r="R257" s="15" t="s">
        <v>107</v>
      </c>
      <c r="S257" s="15" t="s">
        <v>109</v>
      </c>
      <c r="T257" s="15" t="s">
        <v>204</v>
      </c>
      <c r="U257" s="15" t="s">
        <v>357</v>
      </c>
      <c r="V257" s="15" t="s">
        <v>359</v>
      </c>
      <c r="W257" s="15" t="s">
        <v>362</v>
      </c>
      <c r="X257" s="15" t="s">
        <v>120</v>
      </c>
      <c r="Y257" s="18"/>
      <c r="Z257" s="15" t="s">
        <v>120</v>
      </c>
      <c r="AA257" s="18"/>
      <c r="AB257" s="15" t="s">
        <v>120</v>
      </c>
      <c r="AC257" s="15" t="s">
        <v>120</v>
      </c>
      <c r="AD257" s="18"/>
      <c r="AE257" s="15" t="s">
        <v>120</v>
      </c>
      <c r="AF257" s="18"/>
      <c r="AG257" s="15" t="s">
        <v>120</v>
      </c>
      <c r="AH257" s="18"/>
      <c r="AI257" s="15" t="s">
        <v>120</v>
      </c>
      <c r="AJ257" s="18"/>
      <c r="AK257" s="18"/>
      <c r="AL257" s="15" t="s">
        <v>129</v>
      </c>
      <c r="AM257" s="15" t="s">
        <v>156</v>
      </c>
      <c r="AN257" s="15" t="s">
        <v>126</v>
      </c>
      <c r="AO257" s="15" t="s">
        <v>185</v>
      </c>
      <c r="AP257" s="15"/>
    </row>
    <row r="258" ht="22.5" customHeight="1">
      <c r="A258" s="15" t="s">
        <v>3653</v>
      </c>
      <c r="B258" s="15" t="s">
        <v>1604</v>
      </c>
      <c r="C258" s="15" t="s">
        <v>3654</v>
      </c>
      <c r="D258" s="41">
        <v>39496.0</v>
      </c>
      <c r="E258" s="15" t="s">
        <v>98</v>
      </c>
      <c r="F258" s="15">
        <v>5.519330748E9</v>
      </c>
      <c r="G258" s="15" t="s">
        <v>3655</v>
      </c>
      <c r="H258" s="15" t="s">
        <v>101</v>
      </c>
      <c r="I258" s="18"/>
      <c r="J258" s="15" t="s">
        <v>3656</v>
      </c>
      <c r="K258" s="15" t="s">
        <v>1610</v>
      </c>
      <c r="L258" s="15">
        <v>5.537705539E9</v>
      </c>
      <c r="M258" s="18"/>
      <c r="N258" s="18"/>
      <c r="O258" s="18"/>
      <c r="P258" s="20">
        <v>18.0</v>
      </c>
      <c r="Q258" s="22">
        <v>46025.83641203704</v>
      </c>
      <c r="R258" s="15" t="s">
        <v>107</v>
      </c>
      <c r="S258" s="15" t="s">
        <v>109</v>
      </c>
      <c r="T258" s="15" t="s">
        <v>208</v>
      </c>
      <c r="U258" s="15" t="s">
        <v>228</v>
      </c>
      <c r="V258" s="15" t="s">
        <v>229</v>
      </c>
      <c r="W258" s="15" t="s">
        <v>230</v>
      </c>
      <c r="X258" s="15" t="s">
        <v>120</v>
      </c>
      <c r="Y258" s="18"/>
      <c r="Z258" s="15" t="s">
        <v>120</v>
      </c>
      <c r="AA258" s="18"/>
      <c r="AB258" s="15" t="s">
        <v>120</v>
      </c>
      <c r="AC258" s="15" t="s">
        <v>120</v>
      </c>
      <c r="AD258" s="18"/>
      <c r="AE258" s="15" t="s">
        <v>120</v>
      </c>
      <c r="AF258" s="18"/>
      <c r="AG258" s="15" t="s">
        <v>120</v>
      </c>
      <c r="AH258" s="18"/>
      <c r="AI258" s="15" t="s">
        <v>120</v>
      </c>
      <c r="AJ258" s="18"/>
      <c r="AK258" s="18"/>
      <c r="AL258" s="15" t="s">
        <v>185</v>
      </c>
      <c r="AM258" s="15" t="s">
        <v>156</v>
      </c>
      <c r="AN258" s="15" t="s">
        <v>242</v>
      </c>
      <c r="AO258" s="15" t="s">
        <v>138</v>
      </c>
      <c r="AP258" s="15"/>
    </row>
    <row r="259" ht="22.5" customHeight="1">
      <c r="A259" s="15" t="s">
        <v>2641</v>
      </c>
      <c r="B259" s="15" t="s">
        <v>2643</v>
      </c>
      <c r="C259" s="15" t="s">
        <v>2646</v>
      </c>
      <c r="D259" s="41">
        <v>40221.0</v>
      </c>
      <c r="E259" s="15" t="s">
        <v>98</v>
      </c>
      <c r="F259" s="15" t="s">
        <v>2648</v>
      </c>
      <c r="G259" s="15" t="s">
        <v>2650</v>
      </c>
      <c r="H259" s="15" t="s">
        <v>101</v>
      </c>
      <c r="I259" s="18"/>
      <c r="J259" s="15" t="s">
        <v>2652</v>
      </c>
      <c r="K259" s="15" t="s">
        <v>2653</v>
      </c>
      <c r="L259" s="15">
        <v>5.545993258E9</v>
      </c>
      <c r="M259" s="18"/>
      <c r="N259" s="18"/>
      <c r="O259" s="18"/>
      <c r="P259" s="20">
        <v>16.0</v>
      </c>
      <c r="Q259" s="22">
        <v>46040.64071759259</v>
      </c>
      <c r="R259" s="15" t="s">
        <v>107</v>
      </c>
      <c r="S259" s="15" t="s">
        <v>109</v>
      </c>
      <c r="T259" s="15" t="s">
        <v>192</v>
      </c>
      <c r="U259" s="15" t="s">
        <v>485</v>
      </c>
      <c r="V259" s="15" t="s">
        <v>486</v>
      </c>
      <c r="W259" s="15" t="s">
        <v>487</v>
      </c>
      <c r="X259" s="15" t="s">
        <v>120</v>
      </c>
      <c r="Y259" s="18"/>
      <c r="Z259" s="15" t="s">
        <v>120</v>
      </c>
      <c r="AA259" s="18"/>
      <c r="AB259" s="15" t="s">
        <v>120</v>
      </c>
      <c r="AC259" s="15" t="s">
        <v>120</v>
      </c>
      <c r="AD259" s="18"/>
      <c r="AE259" s="15" t="s">
        <v>120</v>
      </c>
      <c r="AF259" s="18"/>
      <c r="AG259" s="15" t="s">
        <v>117</v>
      </c>
      <c r="AH259" s="15" t="s">
        <v>2659</v>
      </c>
      <c r="AI259" s="15" t="s">
        <v>120</v>
      </c>
      <c r="AJ259" s="18"/>
      <c r="AK259" s="18"/>
      <c r="AL259" s="15" t="s">
        <v>216</v>
      </c>
      <c r="AM259" s="15" t="s">
        <v>141</v>
      </c>
      <c r="AN259" s="15" t="s">
        <v>124</v>
      </c>
      <c r="AO259" s="15" t="s">
        <v>129</v>
      </c>
      <c r="AP259" s="15"/>
    </row>
    <row r="260" ht="22.5" customHeight="1">
      <c r="A260" s="15" t="s">
        <v>510</v>
      </c>
      <c r="B260" s="15" t="s">
        <v>3657</v>
      </c>
      <c r="C260" s="15" t="s">
        <v>3658</v>
      </c>
      <c r="D260" s="41">
        <v>40914.0</v>
      </c>
      <c r="E260" s="15" t="s">
        <v>98</v>
      </c>
      <c r="F260" s="15">
        <v>5.512475416E9</v>
      </c>
      <c r="G260" s="15" t="s">
        <v>3659</v>
      </c>
      <c r="H260" s="15" t="s">
        <v>140</v>
      </c>
      <c r="I260" s="23" t="s">
        <v>3660</v>
      </c>
      <c r="J260" s="15" t="s">
        <v>3661</v>
      </c>
      <c r="K260" s="15" t="s">
        <v>3662</v>
      </c>
      <c r="L260" s="15">
        <v>5.536499641E9</v>
      </c>
      <c r="M260" s="15" t="s">
        <v>3663</v>
      </c>
      <c r="N260" s="15" t="s">
        <v>3664</v>
      </c>
      <c r="O260" s="15">
        <v>5.518098804E9</v>
      </c>
      <c r="P260" s="20">
        <v>14.0</v>
      </c>
      <c r="Q260" s="22">
        <v>46026.8765162037</v>
      </c>
      <c r="R260" s="15" t="s">
        <v>107</v>
      </c>
      <c r="S260" s="15" t="s">
        <v>109</v>
      </c>
      <c r="T260" s="15" t="s">
        <v>204</v>
      </c>
      <c r="U260" s="15" t="s">
        <v>295</v>
      </c>
      <c r="V260" s="15" t="s">
        <v>298</v>
      </c>
      <c r="W260" s="15" t="s">
        <v>299</v>
      </c>
      <c r="X260" s="15" t="s">
        <v>120</v>
      </c>
      <c r="Y260" s="18"/>
      <c r="Z260" s="15" t="s">
        <v>117</v>
      </c>
      <c r="AA260" s="49" t="s">
        <v>3665</v>
      </c>
      <c r="AB260" s="15" t="s">
        <v>120</v>
      </c>
      <c r="AC260" s="15" t="s">
        <v>120</v>
      </c>
      <c r="AD260" s="18"/>
      <c r="AE260" s="15" t="s">
        <v>120</v>
      </c>
      <c r="AF260" s="18"/>
      <c r="AG260" s="15" t="s">
        <v>120</v>
      </c>
      <c r="AH260" s="18"/>
      <c r="AI260" s="15" t="s">
        <v>120</v>
      </c>
      <c r="AJ260" s="18"/>
      <c r="AK260" s="18"/>
      <c r="AL260" s="15" t="s">
        <v>242</v>
      </c>
      <c r="AM260" s="15" t="s">
        <v>216</v>
      </c>
      <c r="AN260" s="15" t="s">
        <v>156</v>
      </c>
      <c r="AO260" s="15" t="s">
        <v>129</v>
      </c>
      <c r="AP260" s="15"/>
    </row>
    <row r="261" ht="22.5" customHeight="1">
      <c r="A261" s="15" t="s">
        <v>3680</v>
      </c>
      <c r="B261" s="15" t="s">
        <v>3681</v>
      </c>
      <c r="C261" s="15" t="s">
        <v>3682</v>
      </c>
      <c r="D261" s="41">
        <v>40431.0</v>
      </c>
      <c r="E261" s="15" t="s">
        <v>177</v>
      </c>
      <c r="F261" s="15">
        <v>5.634257222E9</v>
      </c>
      <c r="G261" s="15" t="s">
        <v>3683</v>
      </c>
      <c r="H261" s="15" t="s">
        <v>150</v>
      </c>
      <c r="I261" s="18"/>
      <c r="J261" s="15" t="s">
        <v>3684</v>
      </c>
      <c r="K261" s="15" t="s">
        <v>3685</v>
      </c>
      <c r="L261" s="15">
        <v>5.559335189E9</v>
      </c>
      <c r="M261" s="18"/>
      <c r="N261" s="18"/>
      <c r="O261" s="18"/>
      <c r="P261" s="20">
        <v>15.0</v>
      </c>
      <c r="Q261" s="22">
        <v>46039.402141203704</v>
      </c>
      <c r="R261" s="15" t="s">
        <v>107</v>
      </c>
      <c r="S261" s="15" t="s">
        <v>109</v>
      </c>
      <c r="T261" s="15" t="s">
        <v>160</v>
      </c>
      <c r="U261" s="15" t="s">
        <v>308</v>
      </c>
      <c r="V261" s="15" t="s">
        <v>309</v>
      </c>
      <c r="W261" s="15" t="s">
        <v>310</v>
      </c>
      <c r="X261" s="15" t="s">
        <v>120</v>
      </c>
      <c r="Y261" s="18"/>
      <c r="Z261" s="15" t="s">
        <v>120</v>
      </c>
      <c r="AA261" s="18"/>
      <c r="AB261" s="15" t="s">
        <v>120</v>
      </c>
      <c r="AC261" s="18"/>
      <c r="AD261" s="18"/>
      <c r="AE261" s="15" t="s">
        <v>120</v>
      </c>
      <c r="AF261" s="18"/>
      <c r="AG261" s="15" t="s">
        <v>120</v>
      </c>
      <c r="AH261" s="18"/>
      <c r="AI261" s="15" t="s">
        <v>120</v>
      </c>
      <c r="AJ261" s="18"/>
      <c r="AK261" s="18"/>
      <c r="AL261" s="15" t="s">
        <v>242</v>
      </c>
      <c r="AM261" s="15" t="s">
        <v>185</v>
      </c>
      <c r="AN261" s="15" t="s">
        <v>128</v>
      </c>
      <c r="AO261" s="15" t="s">
        <v>124</v>
      </c>
      <c r="AP261" s="15"/>
    </row>
    <row r="262" ht="22.5" customHeight="1">
      <c r="A262" s="15" t="s">
        <v>3672</v>
      </c>
      <c r="B262" s="15" t="s">
        <v>3673</v>
      </c>
      <c r="C262" s="15" t="s">
        <v>3674</v>
      </c>
      <c r="D262" s="41">
        <v>39823.0</v>
      </c>
      <c r="E262" s="15" t="s">
        <v>98</v>
      </c>
      <c r="F262" s="15">
        <v>5.547120653E9</v>
      </c>
      <c r="G262" s="15" t="s">
        <v>3675</v>
      </c>
      <c r="H262" s="15" t="s">
        <v>140</v>
      </c>
      <c r="I262" s="18"/>
      <c r="J262" s="15" t="s">
        <v>3676</v>
      </c>
      <c r="K262" s="15" t="s">
        <v>3677</v>
      </c>
      <c r="L262" s="15">
        <v>5.632782761E9</v>
      </c>
      <c r="M262" s="15" t="s">
        <v>3678</v>
      </c>
      <c r="N262" s="15" t="s">
        <v>3679</v>
      </c>
      <c r="O262" s="15">
        <v>5.52570131E9</v>
      </c>
      <c r="P262" s="20">
        <v>17.0</v>
      </c>
      <c r="Q262" s="22">
        <v>46033.481307870374</v>
      </c>
      <c r="R262" s="15" t="s">
        <v>107</v>
      </c>
      <c r="S262" s="15" t="s">
        <v>109</v>
      </c>
      <c r="T262" s="15" t="s">
        <v>192</v>
      </c>
      <c r="U262" s="15" t="s">
        <v>609</v>
      </c>
      <c r="V262" s="15" t="s">
        <v>611</v>
      </c>
      <c r="W262" s="15" t="s">
        <v>612</v>
      </c>
      <c r="X262" s="15" t="s">
        <v>120</v>
      </c>
      <c r="Y262" s="18"/>
      <c r="Z262" s="15" t="s">
        <v>117</v>
      </c>
      <c r="AA262" s="58" t="s">
        <v>1729</v>
      </c>
      <c r="AB262" s="15" t="s">
        <v>120</v>
      </c>
      <c r="AC262" s="18"/>
      <c r="AD262" s="18"/>
      <c r="AE262" s="15" t="s">
        <v>120</v>
      </c>
      <c r="AF262" s="18"/>
      <c r="AG262" s="15" t="s">
        <v>120</v>
      </c>
      <c r="AH262" s="18"/>
      <c r="AI262" s="15" t="s">
        <v>120</v>
      </c>
      <c r="AJ262" s="18"/>
      <c r="AK262" s="18"/>
      <c r="AL262" s="15" t="s">
        <v>129</v>
      </c>
      <c r="AM262" s="15" t="s">
        <v>138</v>
      </c>
      <c r="AN262" s="15" t="s">
        <v>185</v>
      </c>
      <c r="AO262" s="15" t="s">
        <v>156</v>
      </c>
      <c r="AP262" s="15"/>
    </row>
    <row r="263" ht="22.5" customHeight="1">
      <c r="A263" s="15" t="s">
        <v>2508</v>
      </c>
      <c r="B263" s="15" t="s">
        <v>3686</v>
      </c>
      <c r="C263" s="15" t="s">
        <v>3687</v>
      </c>
      <c r="D263" s="41">
        <v>40750.0</v>
      </c>
      <c r="E263" s="15" t="s">
        <v>177</v>
      </c>
      <c r="F263" s="15">
        <v>5.635575044E9</v>
      </c>
      <c r="G263" s="15" t="s">
        <v>3688</v>
      </c>
      <c r="H263" s="15" t="s">
        <v>101</v>
      </c>
      <c r="I263" s="18"/>
      <c r="J263" s="15" t="s">
        <v>3689</v>
      </c>
      <c r="K263" s="15" t="s">
        <v>3690</v>
      </c>
      <c r="L263" s="15">
        <v>5.518134754E9</v>
      </c>
      <c r="M263" s="15" t="s">
        <v>3691</v>
      </c>
      <c r="N263" s="15" t="s">
        <v>3692</v>
      </c>
      <c r="O263" s="15">
        <v>5.518290991E9</v>
      </c>
      <c r="P263" s="20">
        <v>14.0</v>
      </c>
      <c r="Q263" s="22">
        <v>46035.893796296295</v>
      </c>
      <c r="R263" s="15" t="s">
        <v>107</v>
      </c>
      <c r="S263" s="15" t="s">
        <v>109</v>
      </c>
      <c r="T263" s="15" t="s">
        <v>171</v>
      </c>
      <c r="U263" s="15" t="s">
        <v>444</v>
      </c>
      <c r="V263" s="15" t="s">
        <v>445</v>
      </c>
      <c r="W263" s="15" t="s">
        <v>446</v>
      </c>
      <c r="X263" s="15" t="s">
        <v>120</v>
      </c>
      <c r="Y263" s="18"/>
      <c r="Z263" s="15" t="s">
        <v>120</v>
      </c>
      <c r="AA263" s="18"/>
      <c r="AB263" s="15" t="s">
        <v>120</v>
      </c>
      <c r="AC263" s="15" t="s">
        <v>120</v>
      </c>
      <c r="AD263" s="18"/>
      <c r="AE263" s="15" t="s">
        <v>120</v>
      </c>
      <c r="AF263" s="18"/>
      <c r="AG263" s="15" t="s">
        <v>120</v>
      </c>
      <c r="AH263" s="18"/>
      <c r="AI263" s="15" t="s">
        <v>120</v>
      </c>
      <c r="AJ263" s="18"/>
      <c r="AK263" s="18"/>
      <c r="AL263" s="15" t="s">
        <v>129</v>
      </c>
      <c r="AM263" s="15" t="s">
        <v>156</v>
      </c>
      <c r="AN263" s="15" t="s">
        <v>242</v>
      </c>
      <c r="AO263" s="15" t="s">
        <v>240</v>
      </c>
      <c r="AP263" s="15"/>
    </row>
    <row r="264" ht="22.5" customHeight="1">
      <c r="A264" s="15" t="s">
        <v>3693</v>
      </c>
      <c r="B264" s="15" t="s">
        <v>3694</v>
      </c>
      <c r="C264" s="18"/>
      <c r="D264" s="41">
        <v>40975.0</v>
      </c>
      <c r="E264" s="15" t="s">
        <v>177</v>
      </c>
      <c r="F264" s="15">
        <v>5.540710941E9</v>
      </c>
      <c r="G264" s="15" t="s">
        <v>3695</v>
      </c>
      <c r="H264" s="15" t="s">
        <v>140</v>
      </c>
      <c r="I264" s="18"/>
      <c r="J264" s="15" t="s">
        <v>3696</v>
      </c>
      <c r="K264" s="15" t="s">
        <v>3695</v>
      </c>
      <c r="L264" s="15">
        <v>5.540710941E9</v>
      </c>
      <c r="M264" s="18"/>
      <c r="N264" s="18"/>
      <c r="O264" s="18"/>
      <c r="P264" s="20">
        <v>13.0</v>
      </c>
      <c r="Q264" s="22">
        <v>46027.54618055555</v>
      </c>
      <c r="R264" s="15" t="s">
        <v>107</v>
      </c>
      <c r="S264" s="15" t="s">
        <v>109</v>
      </c>
      <c r="T264" s="15" t="s">
        <v>171</v>
      </c>
      <c r="U264" s="15" t="s">
        <v>2149</v>
      </c>
      <c r="V264" s="15" t="s">
        <v>2141</v>
      </c>
      <c r="W264" s="15" t="s">
        <v>2151</v>
      </c>
      <c r="X264" s="15" t="s">
        <v>120</v>
      </c>
      <c r="Y264" s="18"/>
      <c r="Z264" s="15" t="s">
        <v>120</v>
      </c>
      <c r="AA264" s="18"/>
      <c r="AB264" s="15" t="s">
        <v>120</v>
      </c>
      <c r="AC264" s="18"/>
      <c r="AD264" s="18"/>
      <c r="AE264" s="15" t="s">
        <v>120</v>
      </c>
      <c r="AF264" s="18"/>
      <c r="AG264" s="15" t="s">
        <v>120</v>
      </c>
      <c r="AH264" s="18"/>
      <c r="AI264" s="15" t="s">
        <v>120</v>
      </c>
      <c r="AJ264" s="18"/>
      <c r="AK264" s="18"/>
      <c r="AL264" s="15" t="s">
        <v>141</v>
      </c>
      <c r="AM264" s="15" t="s">
        <v>126</v>
      </c>
      <c r="AN264" s="15" t="s">
        <v>156</v>
      </c>
      <c r="AO264" s="15" t="s">
        <v>185</v>
      </c>
      <c r="AP264" s="15"/>
    </row>
    <row r="265" ht="22.5" customHeight="1">
      <c r="A265" s="15" t="s">
        <v>3697</v>
      </c>
      <c r="B265" s="15" t="s">
        <v>3698</v>
      </c>
      <c r="C265" s="18"/>
      <c r="D265" s="41">
        <v>40150.0</v>
      </c>
      <c r="E265" s="15" t="s">
        <v>98</v>
      </c>
      <c r="F265" s="15">
        <v>5.564169361E9</v>
      </c>
      <c r="G265" s="15" t="s">
        <v>3699</v>
      </c>
      <c r="H265" s="15" t="s">
        <v>140</v>
      </c>
      <c r="I265" s="23" t="s">
        <v>135</v>
      </c>
      <c r="J265" s="15" t="s">
        <v>3700</v>
      </c>
      <c r="K265" s="15" t="s">
        <v>3701</v>
      </c>
      <c r="L265" s="15">
        <v>5.619159062E9</v>
      </c>
      <c r="M265" s="18"/>
      <c r="N265" s="18"/>
      <c r="O265" s="18"/>
      <c r="P265" s="20">
        <v>16.0</v>
      </c>
      <c r="Q265" s="22">
        <v>46036.3815625</v>
      </c>
      <c r="R265" s="15" t="s">
        <v>107</v>
      </c>
      <c r="S265" s="15" t="s">
        <v>109</v>
      </c>
      <c r="T265" s="15" t="s">
        <v>208</v>
      </c>
      <c r="U265" s="15" t="s">
        <v>788</v>
      </c>
      <c r="V265" s="15" t="s">
        <v>789</v>
      </c>
      <c r="W265" s="15" t="s">
        <v>790</v>
      </c>
      <c r="X265" s="15" t="s">
        <v>120</v>
      </c>
      <c r="Y265" s="18"/>
      <c r="Z265" s="15" t="s">
        <v>120</v>
      </c>
      <c r="AA265" s="18"/>
      <c r="AB265" s="15" t="s">
        <v>120</v>
      </c>
      <c r="AC265" s="18"/>
      <c r="AD265" s="18"/>
      <c r="AE265" s="15" t="s">
        <v>120</v>
      </c>
      <c r="AF265" s="18"/>
      <c r="AG265" s="15" t="s">
        <v>120</v>
      </c>
      <c r="AH265" s="18"/>
      <c r="AI265" s="15" t="s">
        <v>120</v>
      </c>
      <c r="AJ265" s="18"/>
      <c r="AK265" s="15" t="s">
        <v>135</v>
      </c>
      <c r="AL265" s="15" t="s">
        <v>156</v>
      </c>
      <c r="AM265" s="15" t="s">
        <v>124</v>
      </c>
      <c r="AN265" s="15" t="s">
        <v>126</v>
      </c>
      <c r="AO265" s="15" t="s">
        <v>138</v>
      </c>
      <c r="AP265" s="15"/>
    </row>
    <row r="266" ht="22.5" customHeight="1">
      <c r="A266" s="15" t="s">
        <v>3702</v>
      </c>
      <c r="B266" s="15" t="s">
        <v>3703</v>
      </c>
      <c r="C266" s="15" t="s">
        <v>3704</v>
      </c>
      <c r="D266" s="41">
        <v>40829.0</v>
      </c>
      <c r="E266" s="15" t="s">
        <v>98</v>
      </c>
      <c r="F266" s="15">
        <v>5.568829028E9</v>
      </c>
      <c r="G266" s="15" t="s">
        <v>3705</v>
      </c>
      <c r="H266" s="15" t="s">
        <v>101</v>
      </c>
      <c r="I266" s="18"/>
      <c r="J266" s="15" t="s">
        <v>3706</v>
      </c>
      <c r="K266" s="15" t="s">
        <v>3707</v>
      </c>
      <c r="L266" s="15">
        <v>5.611440041E9</v>
      </c>
      <c r="M266" s="15" t="s">
        <v>3708</v>
      </c>
      <c r="N266" s="15" t="s">
        <v>3705</v>
      </c>
      <c r="O266" s="15">
        <v>5.523071805E9</v>
      </c>
      <c r="P266" s="20">
        <v>14.0</v>
      </c>
      <c r="Q266" s="22">
        <v>46024.691400462965</v>
      </c>
      <c r="R266" s="15" t="s">
        <v>107</v>
      </c>
      <c r="S266" s="15" t="s">
        <v>109</v>
      </c>
      <c r="T266" s="15" t="s">
        <v>127</v>
      </c>
      <c r="U266" s="15" t="s">
        <v>234</v>
      </c>
      <c r="V266" s="15" t="s">
        <v>227</v>
      </c>
      <c r="W266" s="15" t="s">
        <v>236</v>
      </c>
      <c r="X266" s="15" t="s">
        <v>120</v>
      </c>
      <c r="Y266" s="18"/>
      <c r="Z266" s="15" t="s">
        <v>120</v>
      </c>
      <c r="AA266" s="18"/>
      <c r="AB266" s="15" t="s">
        <v>120</v>
      </c>
      <c r="AC266" s="18"/>
      <c r="AD266" s="18"/>
      <c r="AE266" s="15" t="s">
        <v>120</v>
      </c>
      <c r="AF266" s="18"/>
      <c r="AG266" s="15" t="s">
        <v>120</v>
      </c>
      <c r="AH266" s="18"/>
      <c r="AI266" s="15" t="s">
        <v>120</v>
      </c>
      <c r="AJ266" s="18"/>
      <c r="AK266" s="18"/>
      <c r="AL266" s="15" t="s">
        <v>242</v>
      </c>
      <c r="AM266" s="15" t="s">
        <v>185</v>
      </c>
      <c r="AN266" s="15" t="s">
        <v>129</v>
      </c>
      <c r="AO266" s="15" t="s">
        <v>141</v>
      </c>
      <c r="AP266" s="15"/>
    </row>
    <row r="267" ht="22.5" customHeight="1">
      <c r="A267" s="15" t="s">
        <v>2450</v>
      </c>
      <c r="B267" s="15" t="s">
        <v>3709</v>
      </c>
      <c r="C267" s="15" t="s">
        <v>3710</v>
      </c>
      <c r="D267" s="41">
        <v>40078.0</v>
      </c>
      <c r="E267" s="15" t="s">
        <v>177</v>
      </c>
      <c r="F267" s="15">
        <v>5.611891588E9</v>
      </c>
      <c r="G267" s="15" t="s">
        <v>3711</v>
      </c>
      <c r="H267" s="15" t="s">
        <v>101</v>
      </c>
      <c r="I267" s="18"/>
      <c r="J267" s="15" t="s">
        <v>3712</v>
      </c>
      <c r="K267" s="15" t="s">
        <v>3713</v>
      </c>
      <c r="L267" s="15">
        <v>5.611891588E9</v>
      </c>
      <c r="M267" s="18"/>
      <c r="N267" s="18"/>
      <c r="O267" s="18"/>
      <c r="P267" s="20">
        <v>16.0</v>
      </c>
      <c r="Q267" s="22">
        <v>46040.53364583333</v>
      </c>
      <c r="R267" s="15" t="s">
        <v>107</v>
      </c>
      <c r="S267" s="15" t="s">
        <v>109</v>
      </c>
      <c r="T267" s="15" t="s">
        <v>204</v>
      </c>
      <c r="U267" s="15" t="s">
        <v>205</v>
      </c>
      <c r="V267" s="15" t="s">
        <v>206</v>
      </c>
      <c r="W267" s="15" t="s">
        <v>207</v>
      </c>
      <c r="X267" s="15" t="s">
        <v>120</v>
      </c>
      <c r="Y267" s="18"/>
      <c r="Z267" s="15" t="s">
        <v>120</v>
      </c>
      <c r="AA267" s="18"/>
      <c r="AB267" s="15" t="s">
        <v>120</v>
      </c>
      <c r="AC267" s="18"/>
      <c r="AD267" s="18"/>
      <c r="AE267" s="15" t="s">
        <v>120</v>
      </c>
      <c r="AF267" s="18"/>
      <c r="AG267" s="15" t="s">
        <v>120</v>
      </c>
      <c r="AH267" s="18"/>
      <c r="AI267" s="15" t="s">
        <v>120</v>
      </c>
      <c r="AJ267" s="18"/>
      <c r="AK267" s="18"/>
      <c r="AL267" s="15" t="s">
        <v>141</v>
      </c>
      <c r="AM267" s="15" t="s">
        <v>138</v>
      </c>
      <c r="AN267" s="15" t="s">
        <v>128</v>
      </c>
      <c r="AO267" s="15" t="s">
        <v>156</v>
      </c>
      <c r="AP267" s="15"/>
    </row>
    <row r="268" ht="22.5" customHeight="1">
      <c r="A268" s="15" t="s">
        <v>3714</v>
      </c>
      <c r="B268" s="15" t="s">
        <v>2510</v>
      </c>
      <c r="C268" s="15" t="s">
        <v>3715</v>
      </c>
      <c r="D268" s="41">
        <v>40312.0</v>
      </c>
      <c r="E268" s="15" t="s">
        <v>177</v>
      </c>
      <c r="F268" s="15">
        <v>5.563381959E9</v>
      </c>
      <c r="G268" s="15" t="s">
        <v>2515</v>
      </c>
      <c r="H268" s="15" t="s">
        <v>101</v>
      </c>
      <c r="I268" s="23" t="s">
        <v>2513</v>
      </c>
      <c r="J268" s="15" t="s">
        <v>2514</v>
      </c>
      <c r="K268" s="15" t="s">
        <v>2515</v>
      </c>
      <c r="L268" s="15">
        <v>5.527229124E9</v>
      </c>
      <c r="M268" s="15" t="s">
        <v>3716</v>
      </c>
      <c r="N268" s="15" t="s">
        <v>3717</v>
      </c>
      <c r="O268" s="15">
        <v>5.550756595E9</v>
      </c>
      <c r="P268" s="20">
        <v>15.0</v>
      </c>
      <c r="Q268" s="22">
        <v>46033.861238425925</v>
      </c>
      <c r="R268" s="15" t="s">
        <v>546</v>
      </c>
      <c r="S268" s="15" t="s">
        <v>109</v>
      </c>
      <c r="T268" s="15" t="s">
        <v>111</v>
      </c>
      <c r="U268" s="15" t="s">
        <v>657</v>
      </c>
      <c r="V268" s="15" t="s">
        <v>659</v>
      </c>
      <c r="W268" s="15" t="s">
        <v>662</v>
      </c>
      <c r="X268" s="15" t="s">
        <v>120</v>
      </c>
      <c r="Y268" s="18"/>
      <c r="Z268" s="15" t="s">
        <v>120</v>
      </c>
      <c r="AA268" s="18"/>
      <c r="AB268" s="15" t="s">
        <v>120</v>
      </c>
      <c r="AC268" s="18"/>
      <c r="AD268" s="18"/>
      <c r="AE268" s="15" t="s">
        <v>120</v>
      </c>
      <c r="AF268" s="18"/>
      <c r="AG268" s="15" t="s">
        <v>120</v>
      </c>
      <c r="AH268" s="18"/>
      <c r="AI268" s="15" t="s">
        <v>120</v>
      </c>
      <c r="AJ268" s="18"/>
      <c r="AK268" s="18"/>
      <c r="AL268" s="15" t="s">
        <v>129</v>
      </c>
      <c r="AM268" s="15" t="s">
        <v>126</v>
      </c>
      <c r="AN268" s="15" t="s">
        <v>185</v>
      </c>
      <c r="AO268" s="15" t="s">
        <v>128</v>
      </c>
      <c r="AP268" s="15"/>
    </row>
    <row r="269" ht="22.5" customHeight="1">
      <c r="A269" s="15" t="s">
        <v>3718</v>
      </c>
      <c r="B269" s="15" t="s">
        <v>3719</v>
      </c>
      <c r="C269" s="15" t="s">
        <v>3720</v>
      </c>
      <c r="D269" s="41">
        <v>39956.0</v>
      </c>
      <c r="E269" s="15" t="s">
        <v>177</v>
      </c>
      <c r="F269" s="15">
        <v>5.630856207E9</v>
      </c>
      <c r="G269" s="15" t="s">
        <v>3721</v>
      </c>
      <c r="H269" s="15" t="s">
        <v>140</v>
      </c>
      <c r="I269" s="18"/>
      <c r="J269" s="15" t="s">
        <v>3722</v>
      </c>
      <c r="K269" s="15" t="s">
        <v>3723</v>
      </c>
      <c r="L269" s="15">
        <v>5.621157172E9</v>
      </c>
      <c r="M269" s="15" t="s">
        <v>3724</v>
      </c>
      <c r="N269" s="15" t="s">
        <v>3725</v>
      </c>
      <c r="O269" s="15">
        <v>5.585792169E9</v>
      </c>
      <c r="P269" s="20">
        <v>16.0</v>
      </c>
      <c r="Q269" s="22">
        <v>46020.700891203705</v>
      </c>
      <c r="R269" s="15" t="s">
        <v>107</v>
      </c>
      <c r="S269" s="15" t="s">
        <v>109</v>
      </c>
      <c r="T269" s="15" t="s">
        <v>192</v>
      </c>
      <c r="U269" s="15" t="s">
        <v>485</v>
      </c>
      <c r="V269" s="15" t="s">
        <v>486</v>
      </c>
      <c r="W269" s="15" t="s">
        <v>487</v>
      </c>
      <c r="X269" s="15" t="s">
        <v>120</v>
      </c>
      <c r="Y269" s="18"/>
      <c r="Z269" s="15" t="s">
        <v>120</v>
      </c>
      <c r="AA269" s="18"/>
      <c r="AB269" s="15" t="s">
        <v>120</v>
      </c>
      <c r="AC269" s="15" t="s">
        <v>120</v>
      </c>
      <c r="AD269" s="18"/>
      <c r="AE269" s="15" t="s">
        <v>120</v>
      </c>
      <c r="AF269" s="18"/>
      <c r="AG269" s="15" t="s">
        <v>120</v>
      </c>
      <c r="AH269" s="18"/>
      <c r="AI269" s="15" t="s">
        <v>120</v>
      </c>
      <c r="AJ269" s="18"/>
      <c r="AK269" s="18"/>
      <c r="AL269" s="15" t="s">
        <v>185</v>
      </c>
      <c r="AM269" s="15" t="s">
        <v>138</v>
      </c>
      <c r="AN269" s="15" t="s">
        <v>129</v>
      </c>
      <c r="AO269" s="15" t="s">
        <v>124</v>
      </c>
      <c r="AP269" s="15"/>
    </row>
    <row r="270" ht="22.5" customHeight="1">
      <c r="A270" s="15" t="s">
        <v>1940</v>
      </c>
      <c r="B270" s="15" t="s">
        <v>3726</v>
      </c>
      <c r="C270" s="15" t="s">
        <v>3727</v>
      </c>
      <c r="D270" s="41">
        <v>40541.0</v>
      </c>
      <c r="E270" s="15" t="s">
        <v>98</v>
      </c>
      <c r="F270" s="15">
        <v>5.532711712E9</v>
      </c>
      <c r="G270" s="15" t="s">
        <v>3728</v>
      </c>
      <c r="H270" s="15" t="s">
        <v>140</v>
      </c>
      <c r="I270" s="18"/>
      <c r="J270" s="15" t="s">
        <v>3729</v>
      </c>
      <c r="K270" s="15" t="s">
        <v>3730</v>
      </c>
      <c r="L270" s="15">
        <v>5.616949542E9</v>
      </c>
      <c r="M270" s="15" t="s">
        <v>3731</v>
      </c>
      <c r="N270" s="15" t="s">
        <v>3732</v>
      </c>
      <c r="O270" s="15">
        <v>5.610047278E9</v>
      </c>
      <c r="P270" s="20">
        <v>15.0</v>
      </c>
      <c r="Q270" s="22">
        <v>46032.81028935185</v>
      </c>
      <c r="R270" s="15" t="s">
        <v>107</v>
      </c>
      <c r="S270" s="15" t="s">
        <v>109</v>
      </c>
      <c r="T270" s="15" t="s">
        <v>127</v>
      </c>
      <c r="U270" s="15" t="s">
        <v>130</v>
      </c>
      <c r="V270" s="15" t="s">
        <v>131</v>
      </c>
      <c r="W270" s="15" t="s">
        <v>132</v>
      </c>
      <c r="X270" s="15" t="s">
        <v>120</v>
      </c>
      <c r="Y270" s="18"/>
      <c r="Z270" s="15" t="s">
        <v>117</v>
      </c>
      <c r="AA270" s="58" t="s">
        <v>3733</v>
      </c>
      <c r="AB270" s="15" t="s">
        <v>120</v>
      </c>
      <c r="AC270" s="18"/>
      <c r="AD270" s="18"/>
      <c r="AE270" s="15" t="s">
        <v>120</v>
      </c>
      <c r="AF270" s="18"/>
      <c r="AG270" s="15" t="s">
        <v>120</v>
      </c>
      <c r="AH270" s="18"/>
      <c r="AI270" s="15" t="s">
        <v>120</v>
      </c>
      <c r="AJ270" s="18"/>
      <c r="AK270" s="18"/>
      <c r="AL270" s="15" t="s">
        <v>216</v>
      </c>
      <c r="AM270" s="15" t="s">
        <v>156</v>
      </c>
      <c r="AN270" s="15" t="s">
        <v>242</v>
      </c>
      <c r="AO270" s="15" t="s">
        <v>138</v>
      </c>
      <c r="AP270" s="15"/>
    </row>
    <row r="271" ht="22.5" customHeight="1">
      <c r="A271" s="15" t="s">
        <v>3740</v>
      </c>
      <c r="B271" s="15" t="s">
        <v>3426</v>
      </c>
      <c r="C271" s="15" t="s">
        <v>3741</v>
      </c>
      <c r="D271" s="41">
        <v>40293.0</v>
      </c>
      <c r="E271" s="15" t="s">
        <v>98</v>
      </c>
      <c r="F271" s="15">
        <v>5.547033078E9</v>
      </c>
      <c r="G271" s="15" t="s">
        <v>3430</v>
      </c>
      <c r="H271" s="15" t="s">
        <v>140</v>
      </c>
      <c r="I271" s="18"/>
      <c r="J271" s="15" t="s">
        <v>3429</v>
      </c>
      <c r="K271" s="15" t="s">
        <v>3430</v>
      </c>
      <c r="L271" s="15">
        <v>5.547033078E9</v>
      </c>
      <c r="M271" s="18"/>
      <c r="N271" s="18"/>
      <c r="O271" s="18"/>
      <c r="P271" s="20">
        <v>15.0</v>
      </c>
      <c r="Q271" s="22">
        <v>46033.56175925926</v>
      </c>
      <c r="R271" s="15" t="s">
        <v>107</v>
      </c>
      <c r="S271" s="15" t="s">
        <v>109</v>
      </c>
      <c r="T271" s="15" t="s">
        <v>171</v>
      </c>
      <c r="U271" s="15" t="s">
        <v>262</v>
      </c>
      <c r="V271" s="15" t="s">
        <v>263</v>
      </c>
      <c r="W271" s="15" t="s">
        <v>264</v>
      </c>
      <c r="X271" s="15" t="s">
        <v>120</v>
      </c>
      <c r="Y271" s="18"/>
      <c r="Z271" s="15" t="s">
        <v>120</v>
      </c>
      <c r="AA271" s="18"/>
      <c r="AB271" s="15" t="s">
        <v>120</v>
      </c>
      <c r="AC271" s="18"/>
      <c r="AD271" s="18"/>
      <c r="AE271" s="15" t="s">
        <v>120</v>
      </c>
      <c r="AF271" s="18"/>
      <c r="AG271" s="15" t="s">
        <v>120</v>
      </c>
      <c r="AH271" s="18"/>
      <c r="AI271" s="15" t="s">
        <v>120</v>
      </c>
      <c r="AJ271" s="18"/>
      <c r="AK271" s="18"/>
      <c r="AL271" s="15" t="s">
        <v>126</v>
      </c>
      <c r="AM271" s="15" t="s">
        <v>156</v>
      </c>
      <c r="AN271" s="15" t="s">
        <v>124</v>
      </c>
      <c r="AO271" s="15" t="s">
        <v>129</v>
      </c>
      <c r="AP271" s="15"/>
    </row>
    <row r="272" ht="22.5" customHeight="1">
      <c r="A272" s="15" t="s">
        <v>2271</v>
      </c>
      <c r="B272" s="15" t="s">
        <v>2657</v>
      </c>
      <c r="C272" s="15" t="s">
        <v>3742</v>
      </c>
      <c r="D272" s="41">
        <v>41138.0</v>
      </c>
      <c r="E272" s="15" t="s">
        <v>177</v>
      </c>
      <c r="F272" s="15">
        <v>5.510074937E9</v>
      </c>
      <c r="G272" s="15" t="s">
        <v>2662</v>
      </c>
      <c r="H272" s="15" t="s">
        <v>101</v>
      </c>
      <c r="I272" s="18"/>
      <c r="J272" s="15" t="s">
        <v>2664</v>
      </c>
      <c r="K272" s="15" t="s">
        <v>2666</v>
      </c>
      <c r="L272" s="15">
        <v>5.540934708E9</v>
      </c>
      <c r="M272" s="18"/>
      <c r="N272" s="18"/>
      <c r="O272" s="18"/>
      <c r="P272" s="20">
        <v>13.0</v>
      </c>
      <c r="Q272" s="22">
        <v>46034.90195601852</v>
      </c>
      <c r="R272" s="15" t="s">
        <v>107</v>
      </c>
      <c r="S272" s="15" t="s">
        <v>109</v>
      </c>
      <c r="T272" s="15" t="s">
        <v>171</v>
      </c>
      <c r="U272" s="15" t="s">
        <v>444</v>
      </c>
      <c r="V272" s="15" t="s">
        <v>445</v>
      </c>
      <c r="W272" s="15" t="s">
        <v>446</v>
      </c>
      <c r="X272" s="15" t="s">
        <v>120</v>
      </c>
      <c r="Y272" s="18"/>
      <c r="Z272" s="15" t="s">
        <v>120</v>
      </c>
      <c r="AA272" s="18"/>
      <c r="AB272" s="15" t="s">
        <v>120</v>
      </c>
      <c r="AC272" s="15" t="s">
        <v>120</v>
      </c>
      <c r="AD272" s="18"/>
      <c r="AE272" s="15" t="s">
        <v>120</v>
      </c>
      <c r="AF272" s="18"/>
      <c r="AG272" s="15" t="s">
        <v>120</v>
      </c>
      <c r="AH272" s="18"/>
      <c r="AI272" s="15" t="s">
        <v>120</v>
      </c>
      <c r="AJ272" s="18"/>
      <c r="AK272" s="18"/>
      <c r="AL272" s="15" t="s">
        <v>141</v>
      </c>
      <c r="AM272" s="15" t="s">
        <v>126</v>
      </c>
      <c r="AN272" s="15" t="s">
        <v>185</v>
      </c>
      <c r="AO272" s="15" t="s">
        <v>242</v>
      </c>
      <c r="AP272" s="15"/>
    </row>
    <row r="273" ht="22.5" customHeight="1">
      <c r="A273" s="15" t="s">
        <v>1285</v>
      </c>
      <c r="B273" s="15" t="s">
        <v>1575</v>
      </c>
      <c r="C273" s="15" t="s">
        <v>1576</v>
      </c>
      <c r="D273" s="41">
        <v>39727.0</v>
      </c>
      <c r="E273" s="15" t="s">
        <v>98</v>
      </c>
      <c r="F273" s="15">
        <v>5.548718075E9</v>
      </c>
      <c r="G273" s="15" t="s">
        <v>1584</v>
      </c>
      <c r="H273" s="15" t="s">
        <v>110</v>
      </c>
      <c r="I273" s="18"/>
      <c r="J273" s="15" t="s">
        <v>1586</v>
      </c>
      <c r="K273" s="15" t="s">
        <v>1588</v>
      </c>
      <c r="L273" s="15">
        <v>5.564927995E9</v>
      </c>
      <c r="M273" s="18"/>
      <c r="N273" s="18"/>
      <c r="O273" s="18"/>
      <c r="P273" s="20">
        <v>17.0</v>
      </c>
      <c r="Q273" s="22">
        <v>46033.44185185185</v>
      </c>
      <c r="R273" s="15" t="s">
        <v>107</v>
      </c>
      <c r="S273" s="15" t="s">
        <v>109</v>
      </c>
      <c r="T273" s="15" t="s">
        <v>160</v>
      </c>
      <c r="U273" s="15" t="s">
        <v>308</v>
      </c>
      <c r="V273" s="15" t="s">
        <v>309</v>
      </c>
      <c r="W273" s="15" t="s">
        <v>310</v>
      </c>
      <c r="X273" s="15" t="s">
        <v>120</v>
      </c>
      <c r="Y273" s="18"/>
      <c r="Z273" s="15" t="s">
        <v>120</v>
      </c>
      <c r="AA273" s="18"/>
      <c r="AB273" s="15" t="s">
        <v>120</v>
      </c>
      <c r="AC273" s="18"/>
      <c r="AD273" s="18"/>
      <c r="AE273" s="15" t="s">
        <v>120</v>
      </c>
      <c r="AF273" s="18"/>
      <c r="AG273" s="15" t="s">
        <v>120</v>
      </c>
      <c r="AH273" s="18"/>
      <c r="AI273" s="15" t="s">
        <v>117</v>
      </c>
      <c r="AJ273" s="15" t="s">
        <v>1601</v>
      </c>
      <c r="AK273" s="18"/>
      <c r="AL273" s="15" t="s">
        <v>138</v>
      </c>
      <c r="AM273" s="15" t="s">
        <v>156</v>
      </c>
      <c r="AN273" s="15" t="s">
        <v>124</v>
      </c>
      <c r="AO273" s="15" t="s">
        <v>242</v>
      </c>
      <c r="AP273" s="15"/>
    </row>
    <row r="274" ht="22.5" customHeight="1">
      <c r="A274" s="15" t="s">
        <v>3743</v>
      </c>
      <c r="B274" s="15" t="s">
        <v>3744</v>
      </c>
      <c r="C274" s="15" t="s">
        <v>3745</v>
      </c>
      <c r="D274" s="41">
        <v>40135.0</v>
      </c>
      <c r="E274" s="15" t="s">
        <v>98</v>
      </c>
      <c r="F274" s="15">
        <v>5.522755524E9</v>
      </c>
      <c r="G274" s="15" t="s">
        <v>3746</v>
      </c>
      <c r="H274" s="15" t="s">
        <v>101</v>
      </c>
      <c r="I274" s="18"/>
      <c r="J274" s="15" t="s">
        <v>3747</v>
      </c>
      <c r="K274" s="15" t="s">
        <v>3748</v>
      </c>
      <c r="L274" s="15">
        <v>5.610044035E9</v>
      </c>
      <c r="M274" s="18"/>
      <c r="N274" s="18"/>
      <c r="O274" s="18"/>
      <c r="P274" s="20">
        <v>16.0</v>
      </c>
      <c r="Q274" s="22">
        <v>46027.829930555556</v>
      </c>
      <c r="R274" s="15" t="s">
        <v>107</v>
      </c>
      <c r="S274" s="15" t="s">
        <v>109</v>
      </c>
      <c r="T274" s="15" t="s">
        <v>171</v>
      </c>
      <c r="U274" s="15" t="s">
        <v>2149</v>
      </c>
      <c r="V274" s="15" t="s">
        <v>2141</v>
      </c>
      <c r="W274" s="15" t="s">
        <v>2151</v>
      </c>
      <c r="X274" s="15" t="s">
        <v>120</v>
      </c>
      <c r="Y274" s="18"/>
      <c r="Z274" s="15" t="s">
        <v>117</v>
      </c>
      <c r="AA274" s="58" t="s">
        <v>3749</v>
      </c>
      <c r="AB274" s="15" t="s">
        <v>120</v>
      </c>
      <c r="AC274" s="18"/>
      <c r="AD274" s="18"/>
      <c r="AE274" s="15" t="s">
        <v>120</v>
      </c>
      <c r="AF274" s="18"/>
      <c r="AG274" s="15" t="s">
        <v>120</v>
      </c>
      <c r="AH274" s="18"/>
      <c r="AI274" s="15" t="s">
        <v>120</v>
      </c>
      <c r="AJ274" s="18"/>
      <c r="AK274" s="18"/>
      <c r="AL274" s="15" t="s">
        <v>156</v>
      </c>
      <c r="AM274" s="15" t="s">
        <v>242</v>
      </c>
      <c r="AN274" s="15" t="s">
        <v>124</v>
      </c>
      <c r="AO274" s="15" t="s">
        <v>216</v>
      </c>
      <c r="AP274" s="15"/>
    </row>
    <row r="275" ht="22.5" customHeight="1">
      <c r="A275" s="15" t="s">
        <v>3750</v>
      </c>
      <c r="B275" s="15" t="s">
        <v>3751</v>
      </c>
      <c r="C275" s="18"/>
      <c r="D275" s="41">
        <v>40192.0</v>
      </c>
      <c r="E275" s="15" t="s">
        <v>177</v>
      </c>
      <c r="F275" s="15">
        <v>5.524223363E9</v>
      </c>
      <c r="G275" s="15" t="s">
        <v>3752</v>
      </c>
      <c r="H275" s="15" t="s">
        <v>150</v>
      </c>
      <c r="I275" s="23" t="s">
        <v>135</v>
      </c>
      <c r="J275" s="15" t="s">
        <v>3753</v>
      </c>
      <c r="K275" s="15" t="s">
        <v>789</v>
      </c>
      <c r="L275" s="15">
        <v>5.540703903E9</v>
      </c>
      <c r="M275" s="18"/>
      <c r="N275" s="18"/>
      <c r="O275" s="18"/>
      <c r="P275" s="20">
        <v>16.0</v>
      </c>
      <c r="Q275" s="22">
        <v>46039.78648148148</v>
      </c>
      <c r="R275" s="15" t="s">
        <v>107</v>
      </c>
      <c r="S275" s="15" t="s">
        <v>109</v>
      </c>
      <c r="T275" s="15" t="s">
        <v>208</v>
      </c>
      <c r="U275" s="15" t="s">
        <v>788</v>
      </c>
      <c r="V275" s="15" t="s">
        <v>789</v>
      </c>
      <c r="W275" s="15" t="s">
        <v>790</v>
      </c>
      <c r="X275" s="15" t="s">
        <v>120</v>
      </c>
      <c r="Y275" s="15" t="s">
        <v>696</v>
      </c>
      <c r="Z275" s="15" t="s">
        <v>120</v>
      </c>
      <c r="AA275" s="15" t="s">
        <v>696</v>
      </c>
      <c r="AB275" s="15" t="s">
        <v>120</v>
      </c>
      <c r="AC275" s="15" t="s">
        <v>120</v>
      </c>
      <c r="AD275" s="15" t="s">
        <v>696</v>
      </c>
      <c r="AE275" s="15" t="s">
        <v>120</v>
      </c>
      <c r="AF275" s="15" t="s">
        <v>696</v>
      </c>
      <c r="AG275" s="15" t="s">
        <v>120</v>
      </c>
      <c r="AH275" s="15" t="s">
        <v>696</v>
      </c>
      <c r="AI275" s="15" t="s">
        <v>120</v>
      </c>
      <c r="AJ275" s="15" t="s">
        <v>696</v>
      </c>
      <c r="AK275" s="15" t="s">
        <v>696</v>
      </c>
      <c r="AL275" s="15" t="s">
        <v>141</v>
      </c>
      <c r="AM275" s="15" t="s">
        <v>129</v>
      </c>
      <c r="AN275" s="15" t="s">
        <v>156</v>
      </c>
      <c r="AO275" s="15" t="s">
        <v>124</v>
      </c>
      <c r="AP275" s="15"/>
    </row>
    <row r="276" ht="22.5" customHeight="1">
      <c r="A276" s="15" t="s">
        <v>3754</v>
      </c>
      <c r="B276" s="15" t="s">
        <v>3755</v>
      </c>
      <c r="C276" s="15" t="s">
        <v>3756</v>
      </c>
      <c r="D276" s="41">
        <v>40880.0</v>
      </c>
      <c r="E276" s="15" t="s">
        <v>177</v>
      </c>
      <c r="F276" s="15">
        <v>5.578473775E9</v>
      </c>
      <c r="G276" s="15" t="s">
        <v>3757</v>
      </c>
      <c r="H276" s="15" t="s">
        <v>101</v>
      </c>
      <c r="I276" s="23" t="s">
        <v>3758</v>
      </c>
      <c r="J276" s="15" t="s">
        <v>3759</v>
      </c>
      <c r="K276" s="15" t="s">
        <v>3757</v>
      </c>
      <c r="L276" s="15">
        <v>5.591950131E9</v>
      </c>
      <c r="M276" s="15" t="s">
        <v>3760</v>
      </c>
      <c r="N276" s="15" t="s">
        <v>3757</v>
      </c>
      <c r="O276" s="15">
        <v>5.531789132E9</v>
      </c>
      <c r="P276" s="20">
        <v>14.0</v>
      </c>
      <c r="Q276" s="22">
        <v>46035.76498842592</v>
      </c>
      <c r="R276" s="15" t="s">
        <v>107</v>
      </c>
      <c r="S276" s="15" t="s">
        <v>109</v>
      </c>
      <c r="T276" s="15" t="s">
        <v>127</v>
      </c>
      <c r="U276" s="15" t="s">
        <v>234</v>
      </c>
      <c r="V276" s="15" t="s">
        <v>227</v>
      </c>
      <c r="W276" s="15" t="s">
        <v>236</v>
      </c>
      <c r="X276" s="15" t="s">
        <v>120</v>
      </c>
      <c r="Y276" s="18"/>
      <c r="Z276" s="15" t="s">
        <v>120</v>
      </c>
      <c r="AA276" s="18"/>
      <c r="AB276" s="15" t="s">
        <v>120</v>
      </c>
      <c r="AC276" s="15" t="s">
        <v>120</v>
      </c>
      <c r="AD276" s="15">
        <v>0.0</v>
      </c>
      <c r="AE276" s="15" t="s">
        <v>120</v>
      </c>
      <c r="AF276" s="18"/>
      <c r="AG276" s="15" t="s">
        <v>120</v>
      </c>
      <c r="AH276" s="18"/>
      <c r="AI276" s="15" t="s">
        <v>120</v>
      </c>
      <c r="AJ276" s="18"/>
      <c r="AK276" s="15" t="s">
        <v>1325</v>
      </c>
      <c r="AL276" s="15" t="s">
        <v>138</v>
      </c>
      <c r="AM276" s="15" t="s">
        <v>185</v>
      </c>
      <c r="AN276" s="15" t="s">
        <v>156</v>
      </c>
      <c r="AO276" s="15" t="s">
        <v>129</v>
      </c>
      <c r="AP276" s="15"/>
    </row>
    <row r="277" ht="22.5" customHeight="1">
      <c r="A277" s="15" t="s">
        <v>3761</v>
      </c>
      <c r="B277" s="15" t="s">
        <v>3762</v>
      </c>
      <c r="C277" s="15" t="s">
        <v>3763</v>
      </c>
      <c r="D277" s="41">
        <v>40775.0</v>
      </c>
      <c r="E277" s="15" t="s">
        <v>98</v>
      </c>
      <c r="F277" s="15">
        <v>5.538807295E9</v>
      </c>
      <c r="G277" s="15" t="s">
        <v>3764</v>
      </c>
      <c r="H277" s="15" t="s">
        <v>140</v>
      </c>
      <c r="I277" s="18"/>
      <c r="J277" s="15" t="s">
        <v>3765</v>
      </c>
      <c r="K277" s="15" t="s">
        <v>3764</v>
      </c>
      <c r="L277" s="15">
        <v>5.541889676E9</v>
      </c>
      <c r="M277" s="18"/>
      <c r="N277" s="18"/>
      <c r="O277" s="18"/>
      <c r="P277" s="20">
        <v>14.0</v>
      </c>
      <c r="Q277" s="22">
        <v>46031.089780092596</v>
      </c>
      <c r="R277" s="15" t="s">
        <v>107</v>
      </c>
      <c r="S277" s="15" t="s">
        <v>109</v>
      </c>
      <c r="T277" s="15" t="s">
        <v>192</v>
      </c>
      <c r="U277" s="15" t="s">
        <v>749</v>
      </c>
      <c r="V277" s="15" t="s">
        <v>750</v>
      </c>
      <c r="W277" s="15" t="s">
        <v>751</v>
      </c>
      <c r="X277" s="15" t="s">
        <v>120</v>
      </c>
      <c r="Y277" s="18"/>
      <c r="Z277" s="15" t="s">
        <v>120</v>
      </c>
      <c r="AA277" s="18"/>
      <c r="AB277" s="15" t="s">
        <v>120</v>
      </c>
      <c r="AC277" s="18"/>
      <c r="AD277" s="18"/>
      <c r="AE277" s="15" t="s">
        <v>120</v>
      </c>
      <c r="AF277" s="18"/>
      <c r="AG277" s="15" t="s">
        <v>120</v>
      </c>
      <c r="AH277" s="18"/>
      <c r="AI277" s="15" t="s">
        <v>120</v>
      </c>
      <c r="AJ277" s="18"/>
      <c r="AK277" s="18"/>
      <c r="AL277" s="15" t="s">
        <v>156</v>
      </c>
      <c r="AM277" s="15" t="s">
        <v>129</v>
      </c>
      <c r="AN277" s="15" t="s">
        <v>138</v>
      </c>
      <c r="AO277" s="15" t="s">
        <v>124</v>
      </c>
      <c r="AP277" s="15"/>
    </row>
    <row r="278" ht="22.5" customHeight="1">
      <c r="A278" s="15" t="s">
        <v>3771</v>
      </c>
      <c r="B278" s="15" t="s">
        <v>3772</v>
      </c>
      <c r="C278" s="15" t="s">
        <v>3773</v>
      </c>
      <c r="D278" s="41">
        <v>39931.0</v>
      </c>
      <c r="E278" s="15" t="s">
        <v>98</v>
      </c>
      <c r="F278" s="15">
        <v>5.643633128E9</v>
      </c>
      <c r="G278" s="15" t="s">
        <v>3774</v>
      </c>
      <c r="H278" s="15" t="s">
        <v>382</v>
      </c>
      <c r="I278" s="18"/>
      <c r="J278" s="15" t="s">
        <v>3775</v>
      </c>
      <c r="K278" s="15" t="s">
        <v>3776</v>
      </c>
      <c r="L278" s="15">
        <v>5.580670908E9</v>
      </c>
      <c r="M278" s="15" t="s">
        <v>3777</v>
      </c>
      <c r="N278" s="15" t="s">
        <v>3778</v>
      </c>
      <c r="O278" s="15">
        <v>5.583842484E9</v>
      </c>
      <c r="P278" s="20">
        <v>16.0</v>
      </c>
      <c r="Q278" s="22">
        <v>46033.4844212963</v>
      </c>
      <c r="R278" s="15" t="s">
        <v>107</v>
      </c>
      <c r="S278" s="15" t="s">
        <v>109</v>
      </c>
      <c r="T278" s="15" t="s">
        <v>160</v>
      </c>
      <c r="U278" s="15" t="s">
        <v>329</v>
      </c>
      <c r="V278" s="15" t="s">
        <v>331</v>
      </c>
      <c r="W278" s="15" t="s">
        <v>332</v>
      </c>
      <c r="X278" s="15" t="s">
        <v>120</v>
      </c>
      <c r="Y278" s="18"/>
      <c r="Z278" s="15" t="s">
        <v>120</v>
      </c>
      <c r="AA278" s="18"/>
      <c r="AB278" s="15" t="s">
        <v>120</v>
      </c>
      <c r="AC278" s="18"/>
      <c r="AD278" s="18"/>
      <c r="AE278" s="15" t="s">
        <v>120</v>
      </c>
      <c r="AF278" s="18"/>
      <c r="AG278" s="15" t="s">
        <v>120</v>
      </c>
      <c r="AH278" s="18"/>
      <c r="AI278" s="15" t="s">
        <v>120</v>
      </c>
      <c r="AJ278" s="18"/>
      <c r="AK278" s="18"/>
      <c r="AL278" s="15" t="s">
        <v>240</v>
      </c>
      <c r="AM278" s="15" t="s">
        <v>126</v>
      </c>
      <c r="AN278" s="15" t="s">
        <v>141</v>
      </c>
      <c r="AO278" s="15" t="s">
        <v>242</v>
      </c>
      <c r="AP278" s="15"/>
    </row>
    <row r="279" ht="22.5" customHeight="1">
      <c r="A279" s="15" t="s">
        <v>3779</v>
      </c>
      <c r="B279" s="15" t="s">
        <v>3359</v>
      </c>
      <c r="C279" s="15" t="s">
        <v>3780</v>
      </c>
      <c r="D279" s="41">
        <v>39501.0</v>
      </c>
      <c r="E279" s="15" t="s">
        <v>177</v>
      </c>
      <c r="F279" s="15">
        <v>5.662733378E9</v>
      </c>
      <c r="G279" s="15" t="s">
        <v>3361</v>
      </c>
      <c r="H279" s="15" t="s">
        <v>101</v>
      </c>
      <c r="I279" s="23" t="s">
        <v>979</v>
      </c>
      <c r="J279" s="15" t="s">
        <v>3362</v>
      </c>
      <c r="K279" s="15" t="s">
        <v>3361</v>
      </c>
      <c r="L279" s="15">
        <v>5.546686041E9</v>
      </c>
      <c r="M279" s="18"/>
      <c r="N279" s="18"/>
      <c r="O279" s="18"/>
      <c r="P279" s="20">
        <v>18.0</v>
      </c>
      <c r="Q279" s="22">
        <v>46040.51221064815</v>
      </c>
      <c r="R279" s="15" t="s">
        <v>107</v>
      </c>
      <c r="S279" s="15" t="s">
        <v>109</v>
      </c>
      <c r="T279" s="15" t="s">
        <v>160</v>
      </c>
      <c r="U279" s="15" t="s">
        <v>308</v>
      </c>
      <c r="V279" s="15" t="s">
        <v>309</v>
      </c>
      <c r="W279" s="15" t="s">
        <v>310</v>
      </c>
      <c r="X279" s="15" t="s">
        <v>120</v>
      </c>
      <c r="Y279" s="18"/>
      <c r="Z279" s="15" t="s">
        <v>120</v>
      </c>
      <c r="AA279" s="18"/>
      <c r="AB279" s="15" t="s">
        <v>120</v>
      </c>
      <c r="AC279" s="18"/>
      <c r="AD279" s="18"/>
      <c r="AE279" s="15" t="s">
        <v>120</v>
      </c>
      <c r="AF279" s="18"/>
      <c r="AG279" s="15" t="s">
        <v>120</v>
      </c>
      <c r="AH279" s="18"/>
      <c r="AI279" s="15" t="s">
        <v>120</v>
      </c>
      <c r="AJ279" s="18"/>
      <c r="AK279" s="18"/>
      <c r="AL279" s="15" t="s">
        <v>129</v>
      </c>
      <c r="AM279" s="15" t="s">
        <v>138</v>
      </c>
      <c r="AN279" s="15" t="s">
        <v>156</v>
      </c>
      <c r="AO279" s="15" t="s">
        <v>124</v>
      </c>
      <c r="AP279" s="15"/>
    </row>
    <row r="280" ht="22.5" customHeight="1">
      <c r="A280" s="15" t="s">
        <v>1730</v>
      </c>
      <c r="B280" s="15" t="s">
        <v>1731</v>
      </c>
      <c r="C280" s="15" t="s">
        <v>1733</v>
      </c>
      <c r="D280" s="41">
        <v>40382.0</v>
      </c>
      <c r="E280" s="15" t="s">
        <v>177</v>
      </c>
      <c r="F280" s="15">
        <v>8.434719935E9</v>
      </c>
      <c r="G280" s="15" t="s">
        <v>1735</v>
      </c>
      <c r="H280" s="15" t="s">
        <v>101</v>
      </c>
      <c r="I280" s="18"/>
      <c r="J280" s="15" t="s">
        <v>1736</v>
      </c>
      <c r="K280" s="15" t="s">
        <v>1737</v>
      </c>
      <c r="L280" s="15">
        <v>5.522714514E9</v>
      </c>
      <c r="M280" s="18"/>
      <c r="N280" s="18"/>
      <c r="O280" s="18"/>
      <c r="P280" s="20">
        <v>15.0</v>
      </c>
      <c r="Q280" s="22">
        <v>46037.40195601852</v>
      </c>
      <c r="R280" s="15" t="s">
        <v>260</v>
      </c>
      <c r="S280" s="15" t="s">
        <v>109</v>
      </c>
      <c r="T280" s="15" t="s">
        <v>171</v>
      </c>
      <c r="U280" s="15" t="s">
        <v>1048</v>
      </c>
      <c r="V280" s="15" t="s">
        <v>1050</v>
      </c>
      <c r="W280" s="15" t="s">
        <v>1051</v>
      </c>
      <c r="X280" s="15" t="s">
        <v>120</v>
      </c>
      <c r="Y280" s="18"/>
      <c r="Z280" s="15" t="s">
        <v>117</v>
      </c>
      <c r="AA280" s="58" t="s">
        <v>1742</v>
      </c>
      <c r="AB280" s="15" t="s">
        <v>117</v>
      </c>
      <c r="AC280" s="15" t="s">
        <v>117</v>
      </c>
      <c r="AD280" s="23" t="s">
        <v>1743</v>
      </c>
      <c r="AE280" s="15" t="s">
        <v>120</v>
      </c>
      <c r="AF280" s="18"/>
      <c r="AG280" s="15" t="s">
        <v>120</v>
      </c>
      <c r="AH280" s="18"/>
      <c r="AI280" s="15" t="s">
        <v>120</v>
      </c>
      <c r="AJ280" s="18"/>
      <c r="AK280" s="18"/>
      <c r="AL280" s="15" t="s">
        <v>126</v>
      </c>
      <c r="AM280" s="15" t="s">
        <v>138</v>
      </c>
      <c r="AN280" s="15" t="s">
        <v>141</v>
      </c>
      <c r="AO280" s="15" t="s">
        <v>185</v>
      </c>
      <c r="AP280" s="15"/>
    </row>
    <row r="281" ht="22.5" customHeight="1">
      <c r="A281" s="15" t="s">
        <v>3781</v>
      </c>
      <c r="B281" s="15" t="s">
        <v>3782</v>
      </c>
      <c r="C281" s="15" t="s">
        <v>46</v>
      </c>
      <c r="D281" s="41">
        <v>40006.0</v>
      </c>
      <c r="E281" s="15" t="s">
        <v>98</v>
      </c>
      <c r="F281" s="15">
        <v>5.635072935E9</v>
      </c>
      <c r="G281" s="15" t="s">
        <v>3783</v>
      </c>
      <c r="H281" s="15" t="s">
        <v>101</v>
      </c>
      <c r="I281" s="23" t="s">
        <v>1238</v>
      </c>
      <c r="J281" s="15" t="s">
        <v>3784</v>
      </c>
      <c r="K281" s="15" t="s">
        <v>3785</v>
      </c>
      <c r="L281" s="15">
        <v>5.571183596E9</v>
      </c>
      <c r="M281" s="18"/>
      <c r="N281" s="18"/>
      <c r="O281" s="18"/>
      <c r="P281" s="20">
        <v>16.0</v>
      </c>
      <c r="Q281" s="22">
        <v>46040.83939814815</v>
      </c>
      <c r="R281" s="15" t="s">
        <v>107</v>
      </c>
      <c r="S281" s="15" t="s">
        <v>109</v>
      </c>
      <c r="T281" s="15" t="s">
        <v>111</v>
      </c>
      <c r="U281" s="15" t="s">
        <v>2654</v>
      </c>
      <c r="V281" s="15" t="s">
        <v>2655</v>
      </c>
      <c r="W281" s="15" t="s">
        <v>2656</v>
      </c>
      <c r="X281" s="15" t="s">
        <v>120</v>
      </c>
      <c r="Y281" s="18"/>
      <c r="Z281" s="15" t="s">
        <v>120</v>
      </c>
      <c r="AA281" s="18"/>
      <c r="AB281" s="15" t="s">
        <v>120</v>
      </c>
      <c r="AC281" s="15" t="s">
        <v>120</v>
      </c>
      <c r="AD281" s="18"/>
      <c r="AE281" s="15" t="s">
        <v>120</v>
      </c>
      <c r="AF281" s="18"/>
      <c r="AG281" s="15" t="s">
        <v>120</v>
      </c>
      <c r="AH281" s="18"/>
      <c r="AI281" s="15" t="s">
        <v>120</v>
      </c>
      <c r="AJ281" s="18"/>
      <c r="AK281" s="18"/>
      <c r="AL281" s="15" t="s">
        <v>141</v>
      </c>
      <c r="AM281" s="15" t="s">
        <v>126</v>
      </c>
      <c r="AN281" s="15" t="s">
        <v>138</v>
      </c>
      <c r="AO281" s="15" t="s">
        <v>124</v>
      </c>
      <c r="AP281" s="15"/>
    </row>
    <row r="282" ht="22.5" customHeight="1">
      <c r="A282" s="15" t="s">
        <v>3792</v>
      </c>
      <c r="B282" s="15" t="s">
        <v>3793</v>
      </c>
      <c r="C282" s="15" t="s">
        <v>3794</v>
      </c>
      <c r="D282" s="41">
        <v>40032.0</v>
      </c>
      <c r="E282" s="15" t="s">
        <v>98</v>
      </c>
      <c r="F282" s="15">
        <v>9.951048284E9</v>
      </c>
      <c r="G282" s="15" t="s">
        <v>3795</v>
      </c>
      <c r="H282" s="15" t="s">
        <v>140</v>
      </c>
      <c r="I282" s="18"/>
      <c r="J282" s="15" t="s">
        <v>3796</v>
      </c>
      <c r="K282" s="15" t="s">
        <v>3797</v>
      </c>
      <c r="L282" s="15">
        <v>5.525725637E9</v>
      </c>
      <c r="M282" s="18"/>
      <c r="N282" s="18"/>
      <c r="O282" s="18"/>
      <c r="P282" s="20">
        <v>16.0</v>
      </c>
      <c r="Q282" s="22">
        <v>46047.515011574076</v>
      </c>
      <c r="R282" s="15" t="s">
        <v>107</v>
      </c>
      <c r="S282" s="15" t="s">
        <v>109</v>
      </c>
      <c r="T282" s="15" t="s">
        <v>192</v>
      </c>
      <c r="U282" s="15" t="s">
        <v>749</v>
      </c>
      <c r="V282" s="15" t="s">
        <v>750</v>
      </c>
      <c r="W282" s="15" t="s">
        <v>751</v>
      </c>
      <c r="X282" s="15" t="s">
        <v>120</v>
      </c>
      <c r="Y282" s="18"/>
      <c r="Z282" s="15" t="s">
        <v>120</v>
      </c>
      <c r="AA282" s="18"/>
      <c r="AB282" s="15" t="s">
        <v>120</v>
      </c>
      <c r="AC282" s="18"/>
      <c r="AD282" s="18"/>
      <c r="AE282" s="15" t="s">
        <v>120</v>
      </c>
      <c r="AF282" s="18"/>
      <c r="AG282" s="15" t="s">
        <v>120</v>
      </c>
      <c r="AH282" s="18"/>
      <c r="AI282" s="15" t="s">
        <v>120</v>
      </c>
      <c r="AJ282" s="18"/>
      <c r="AK282" s="18"/>
      <c r="AL282" s="15" t="s">
        <v>185</v>
      </c>
      <c r="AM282" s="15" t="s">
        <v>138</v>
      </c>
      <c r="AN282" s="15" t="s">
        <v>242</v>
      </c>
      <c r="AO282" s="15" t="s">
        <v>126</v>
      </c>
      <c r="AP282" s="15"/>
    </row>
    <row r="283" ht="22.5" customHeight="1">
      <c r="A283" s="15" t="s">
        <v>3805</v>
      </c>
      <c r="B283" s="15" t="s">
        <v>3806</v>
      </c>
      <c r="C283" s="15" t="s">
        <v>3807</v>
      </c>
      <c r="D283" s="41">
        <v>40931.0</v>
      </c>
      <c r="E283" s="15" t="s">
        <v>98</v>
      </c>
      <c r="F283" s="15">
        <v>5.574619175E9</v>
      </c>
      <c r="G283" s="15" t="s">
        <v>3808</v>
      </c>
      <c r="H283" s="15" t="s">
        <v>101</v>
      </c>
      <c r="I283" s="23" t="s">
        <v>1325</v>
      </c>
      <c r="J283" s="15" t="s">
        <v>3809</v>
      </c>
      <c r="K283" s="15" t="s">
        <v>3810</v>
      </c>
      <c r="L283" s="15">
        <v>5.540917209E9</v>
      </c>
      <c r="M283" s="15" t="s">
        <v>3811</v>
      </c>
      <c r="N283" s="15" t="s">
        <v>3810</v>
      </c>
      <c r="O283" s="15">
        <v>5.629919141E9</v>
      </c>
      <c r="P283" s="20">
        <v>14.0</v>
      </c>
      <c r="Q283" s="22">
        <v>46036.735555555555</v>
      </c>
      <c r="R283" s="15" t="s">
        <v>107</v>
      </c>
      <c r="S283" s="15" t="s">
        <v>109</v>
      </c>
      <c r="T283" s="15" t="s">
        <v>111</v>
      </c>
      <c r="U283" s="15" t="s">
        <v>1979</v>
      </c>
      <c r="V283" s="15" t="s">
        <v>1980</v>
      </c>
      <c r="W283" s="15" t="s">
        <v>1981</v>
      </c>
      <c r="X283" s="15" t="s">
        <v>120</v>
      </c>
      <c r="Y283" s="18"/>
      <c r="Z283" s="15" t="s">
        <v>120</v>
      </c>
      <c r="AA283" s="18"/>
      <c r="AB283" s="15" t="s">
        <v>120</v>
      </c>
      <c r="AC283" s="18"/>
      <c r="AD283" s="18"/>
      <c r="AE283" s="15" t="s">
        <v>120</v>
      </c>
      <c r="AF283" s="18"/>
      <c r="AG283" s="15" t="s">
        <v>120</v>
      </c>
      <c r="AH283" s="18"/>
      <c r="AI283" s="15" t="s">
        <v>120</v>
      </c>
      <c r="AJ283" s="18"/>
      <c r="AK283" s="18"/>
      <c r="AL283" s="15" t="s">
        <v>240</v>
      </c>
      <c r="AM283" s="15" t="s">
        <v>138</v>
      </c>
      <c r="AN283" s="15" t="s">
        <v>126</v>
      </c>
      <c r="AO283" s="15" t="s">
        <v>156</v>
      </c>
      <c r="AP283" s="15"/>
    </row>
    <row r="284" ht="22.5" customHeight="1">
      <c r="A284" s="15" t="s">
        <v>3812</v>
      </c>
      <c r="B284" s="15" t="s">
        <v>3813</v>
      </c>
      <c r="C284" s="15" t="s">
        <v>3814</v>
      </c>
      <c r="D284" s="41">
        <v>40813.0</v>
      </c>
      <c r="E284" s="15" t="s">
        <v>177</v>
      </c>
      <c r="F284" s="15" t="s">
        <v>3815</v>
      </c>
      <c r="G284" s="15" t="s">
        <v>3816</v>
      </c>
      <c r="H284" s="15" t="s">
        <v>150</v>
      </c>
      <c r="I284" s="23" t="s">
        <v>584</v>
      </c>
      <c r="J284" s="15" t="s">
        <v>3817</v>
      </c>
      <c r="K284" s="15" t="s">
        <v>3818</v>
      </c>
      <c r="L284" s="15" t="s">
        <v>3819</v>
      </c>
      <c r="M284" s="18"/>
      <c r="N284" s="18"/>
      <c r="O284" s="18"/>
      <c r="P284" s="20">
        <v>14.0</v>
      </c>
      <c r="Q284" s="22">
        <v>46039.95636574074</v>
      </c>
      <c r="R284" s="15" t="s">
        <v>107</v>
      </c>
      <c r="S284" s="15" t="s">
        <v>109</v>
      </c>
      <c r="T284" s="15" t="s">
        <v>171</v>
      </c>
      <c r="U284" s="15" t="s">
        <v>2149</v>
      </c>
      <c r="V284" s="15" t="s">
        <v>2141</v>
      </c>
      <c r="W284" s="15" t="s">
        <v>2151</v>
      </c>
      <c r="X284" s="15" t="s">
        <v>120</v>
      </c>
      <c r="Y284" s="18"/>
      <c r="Z284" s="15" t="s">
        <v>120</v>
      </c>
      <c r="AA284" s="18"/>
      <c r="AB284" s="15" t="s">
        <v>120</v>
      </c>
      <c r="AC284" s="15" t="s">
        <v>120</v>
      </c>
      <c r="AD284" s="18"/>
      <c r="AE284" s="15" t="s">
        <v>120</v>
      </c>
      <c r="AF284" s="18"/>
      <c r="AG284" s="15" t="s">
        <v>120</v>
      </c>
      <c r="AH284" s="18"/>
      <c r="AI284" s="15" t="s">
        <v>120</v>
      </c>
      <c r="AJ284" s="18"/>
      <c r="AK284" s="18"/>
      <c r="AL284" s="15" t="s">
        <v>126</v>
      </c>
      <c r="AM284" s="15" t="s">
        <v>141</v>
      </c>
      <c r="AN284" s="15" t="s">
        <v>185</v>
      </c>
      <c r="AO284" s="15" t="s">
        <v>242</v>
      </c>
      <c r="AP284" s="15"/>
    </row>
    <row r="285" ht="22.5" customHeight="1">
      <c r="A285" s="15" t="s">
        <v>1802</v>
      </c>
      <c r="B285" s="15" t="s">
        <v>3820</v>
      </c>
      <c r="C285" s="15" t="s">
        <v>3821</v>
      </c>
      <c r="D285" s="41">
        <v>40994.0</v>
      </c>
      <c r="E285" s="15" t="s">
        <v>177</v>
      </c>
      <c r="F285" s="15">
        <v>5.515671069E9</v>
      </c>
      <c r="G285" s="15" t="s">
        <v>3822</v>
      </c>
      <c r="H285" s="15" t="s">
        <v>101</v>
      </c>
      <c r="I285" s="18"/>
      <c r="J285" s="15" t="s">
        <v>3823</v>
      </c>
      <c r="K285" s="15" t="s">
        <v>3824</v>
      </c>
      <c r="L285" s="15">
        <v>5.647533079E9</v>
      </c>
      <c r="M285" s="18"/>
      <c r="N285" s="18"/>
      <c r="O285" s="18"/>
      <c r="P285" s="20">
        <v>13.0</v>
      </c>
      <c r="Q285" s="22">
        <v>46040.73303240741</v>
      </c>
      <c r="R285" s="15" t="s">
        <v>107</v>
      </c>
      <c r="S285" s="15" t="s">
        <v>109</v>
      </c>
      <c r="T285" s="15" t="s">
        <v>127</v>
      </c>
      <c r="U285" s="15" t="s">
        <v>766</v>
      </c>
      <c r="V285" s="15" t="s">
        <v>767</v>
      </c>
      <c r="W285" s="15" t="s">
        <v>768</v>
      </c>
      <c r="X285" s="15" t="s">
        <v>120</v>
      </c>
      <c r="Y285" s="18"/>
      <c r="Z285" s="15" t="s">
        <v>120</v>
      </c>
      <c r="AA285" s="18"/>
      <c r="AB285" s="15" t="s">
        <v>120</v>
      </c>
      <c r="AC285" s="15" t="s">
        <v>120</v>
      </c>
      <c r="AD285" s="18"/>
      <c r="AE285" s="15" t="s">
        <v>120</v>
      </c>
      <c r="AF285" s="18"/>
      <c r="AG285" s="15" t="s">
        <v>120</v>
      </c>
      <c r="AH285" s="18"/>
      <c r="AI285" s="15" t="s">
        <v>120</v>
      </c>
      <c r="AJ285" s="18"/>
      <c r="AK285" s="18"/>
      <c r="AL285" s="15" t="s">
        <v>141</v>
      </c>
      <c r="AM285" s="15" t="s">
        <v>138</v>
      </c>
      <c r="AN285" s="15" t="s">
        <v>242</v>
      </c>
      <c r="AO285" s="15" t="s">
        <v>124</v>
      </c>
      <c r="AP285" s="15"/>
    </row>
    <row r="286" ht="22.5" customHeight="1">
      <c r="A286" s="15" t="s">
        <v>3833</v>
      </c>
      <c r="B286" s="15" t="s">
        <v>1408</v>
      </c>
      <c r="C286" s="15" t="s">
        <v>3834</v>
      </c>
      <c r="D286" s="41">
        <v>40614.0</v>
      </c>
      <c r="E286" s="15" t="s">
        <v>98</v>
      </c>
      <c r="F286" s="15">
        <v>5.637324953E9</v>
      </c>
      <c r="G286" s="15" t="s">
        <v>3835</v>
      </c>
      <c r="H286" s="15" t="s">
        <v>101</v>
      </c>
      <c r="I286" s="18"/>
      <c r="J286" s="15" t="s">
        <v>702</v>
      </c>
      <c r="K286" s="15" t="s">
        <v>700</v>
      </c>
      <c r="L286" s="15">
        <v>5.518729991E9</v>
      </c>
      <c r="M286" s="18"/>
      <c r="N286" s="18"/>
      <c r="O286" s="18"/>
      <c r="P286" s="20">
        <v>14.0</v>
      </c>
      <c r="Q286" s="22">
        <v>46019.85018518518</v>
      </c>
      <c r="R286" s="15" t="s">
        <v>107</v>
      </c>
      <c r="S286" s="15" t="s">
        <v>109</v>
      </c>
      <c r="T286" s="15" t="s">
        <v>204</v>
      </c>
      <c r="U286" s="15" t="s">
        <v>699</v>
      </c>
      <c r="V286" s="15" t="s">
        <v>700</v>
      </c>
      <c r="W286" s="15" t="s">
        <v>702</v>
      </c>
      <c r="X286" s="15" t="s">
        <v>120</v>
      </c>
      <c r="Y286" s="18"/>
      <c r="Z286" s="15" t="s">
        <v>120</v>
      </c>
      <c r="AA286" s="18"/>
      <c r="AB286" s="15" t="s">
        <v>120</v>
      </c>
      <c r="AC286" s="15" t="s">
        <v>120</v>
      </c>
      <c r="AD286" s="18"/>
      <c r="AE286" s="15" t="s">
        <v>120</v>
      </c>
      <c r="AF286" s="18"/>
      <c r="AG286" s="15" t="s">
        <v>120</v>
      </c>
      <c r="AH286" s="18"/>
      <c r="AI286" s="15" t="s">
        <v>120</v>
      </c>
      <c r="AJ286" s="18"/>
      <c r="AK286" s="18"/>
      <c r="AL286" s="15" t="s">
        <v>141</v>
      </c>
      <c r="AM286" s="15" t="s">
        <v>129</v>
      </c>
      <c r="AN286" s="15" t="s">
        <v>156</v>
      </c>
      <c r="AO286" s="15" t="s">
        <v>185</v>
      </c>
      <c r="AP286" s="15"/>
    </row>
    <row r="287" ht="22.5" customHeight="1">
      <c r="A287" s="15" t="s">
        <v>3836</v>
      </c>
      <c r="B287" s="15" t="s">
        <v>3837</v>
      </c>
      <c r="C287" s="15" t="s">
        <v>3838</v>
      </c>
      <c r="D287" s="41">
        <v>40842.0</v>
      </c>
      <c r="E287" s="15" t="s">
        <v>98</v>
      </c>
      <c r="F287" s="15">
        <v>5.5564055554E11</v>
      </c>
      <c r="G287" s="15" t="s">
        <v>3839</v>
      </c>
      <c r="H287" s="15" t="s">
        <v>101</v>
      </c>
      <c r="I287" s="18"/>
      <c r="J287" s="15" t="s">
        <v>3840</v>
      </c>
      <c r="K287" s="15" t="s">
        <v>3841</v>
      </c>
      <c r="L287" s="15">
        <v>5.530060956E9</v>
      </c>
      <c r="M287" s="18"/>
      <c r="N287" s="18"/>
      <c r="O287" s="18"/>
      <c r="P287" s="20">
        <v>14.0</v>
      </c>
      <c r="Q287" s="22">
        <v>46040.86219907407</v>
      </c>
      <c r="R287" s="15" t="s">
        <v>107</v>
      </c>
      <c r="S287" s="15" t="s">
        <v>109</v>
      </c>
      <c r="T287" s="15" t="s">
        <v>208</v>
      </c>
      <c r="U287" s="15" t="s">
        <v>428</v>
      </c>
      <c r="V287" s="15" t="s">
        <v>429</v>
      </c>
      <c r="W287" s="15" t="s">
        <v>430</v>
      </c>
      <c r="X287" s="15" t="s">
        <v>120</v>
      </c>
      <c r="Y287" s="18"/>
      <c r="Z287" s="15" t="s">
        <v>120</v>
      </c>
      <c r="AA287" s="18"/>
      <c r="AB287" s="15" t="s">
        <v>120</v>
      </c>
      <c r="AC287" s="18"/>
      <c r="AD287" s="18"/>
      <c r="AE287" s="15" t="s">
        <v>120</v>
      </c>
      <c r="AF287" s="18"/>
      <c r="AG287" s="15" t="s">
        <v>120</v>
      </c>
      <c r="AH287" s="18"/>
      <c r="AI287" s="15" t="s">
        <v>120</v>
      </c>
      <c r="AJ287" s="18"/>
      <c r="AK287" s="18"/>
      <c r="AL287" s="15" t="s">
        <v>129</v>
      </c>
      <c r="AM287" s="15" t="s">
        <v>141</v>
      </c>
      <c r="AN287" s="15" t="s">
        <v>242</v>
      </c>
      <c r="AO287" s="15" t="s">
        <v>216</v>
      </c>
      <c r="AP287" s="15"/>
    </row>
    <row r="288" ht="22.5" customHeight="1">
      <c r="A288" s="15" t="s">
        <v>3842</v>
      </c>
      <c r="B288" s="15" t="s">
        <v>3843</v>
      </c>
      <c r="C288" s="15" t="s">
        <v>3844</v>
      </c>
      <c r="D288" s="41">
        <v>39698.0</v>
      </c>
      <c r="E288" s="15" t="s">
        <v>98</v>
      </c>
      <c r="F288" s="15">
        <v>5.532809133E9</v>
      </c>
      <c r="G288" s="15" t="s">
        <v>3845</v>
      </c>
      <c r="H288" s="15" t="s">
        <v>140</v>
      </c>
      <c r="I288" s="23" t="s">
        <v>3846</v>
      </c>
      <c r="J288" s="15" t="s">
        <v>3847</v>
      </c>
      <c r="K288" s="15" t="s">
        <v>3848</v>
      </c>
      <c r="L288" s="15">
        <v>5.520672915E9</v>
      </c>
      <c r="M288" s="18"/>
      <c r="N288" s="18"/>
      <c r="O288" s="18"/>
      <c r="P288" s="20">
        <v>17.0</v>
      </c>
      <c r="Q288" s="22">
        <v>46032.7231712963</v>
      </c>
      <c r="R288" s="15" t="s">
        <v>107</v>
      </c>
      <c r="S288" s="15" t="s">
        <v>109</v>
      </c>
      <c r="T288" s="15" t="s">
        <v>127</v>
      </c>
      <c r="U288" s="15" t="s">
        <v>766</v>
      </c>
      <c r="V288" s="15" t="s">
        <v>767</v>
      </c>
      <c r="W288" s="15" t="s">
        <v>768</v>
      </c>
      <c r="X288" s="15" t="s">
        <v>120</v>
      </c>
      <c r="Y288" s="18"/>
      <c r="Z288" s="15" t="s">
        <v>120</v>
      </c>
      <c r="AA288" s="18"/>
      <c r="AB288" s="15" t="s">
        <v>120</v>
      </c>
      <c r="AC288" s="18"/>
      <c r="AD288" s="18"/>
      <c r="AE288" s="15" t="s">
        <v>120</v>
      </c>
      <c r="AF288" s="18"/>
      <c r="AG288" s="15" t="s">
        <v>120</v>
      </c>
      <c r="AH288" s="18"/>
      <c r="AI288" s="15" t="s">
        <v>120</v>
      </c>
      <c r="AJ288" s="18"/>
      <c r="AK288" s="18"/>
      <c r="AL288" s="15" t="s">
        <v>216</v>
      </c>
      <c r="AM288" s="15" t="s">
        <v>126</v>
      </c>
      <c r="AN288" s="15" t="s">
        <v>185</v>
      </c>
      <c r="AO288" s="15" t="s">
        <v>242</v>
      </c>
      <c r="AP288" s="15"/>
    </row>
    <row r="289" ht="22.5" customHeight="1">
      <c r="A289" s="15" t="s">
        <v>3849</v>
      </c>
      <c r="B289" s="15" t="s">
        <v>3850</v>
      </c>
      <c r="C289" s="15" t="s">
        <v>3851</v>
      </c>
      <c r="D289" s="41">
        <v>41039.0</v>
      </c>
      <c r="E289" s="15" t="s">
        <v>98</v>
      </c>
      <c r="F289" s="15">
        <v>5.636802806E9</v>
      </c>
      <c r="G289" s="15" t="s">
        <v>3852</v>
      </c>
      <c r="H289" s="15" t="s">
        <v>140</v>
      </c>
      <c r="I289" s="18"/>
      <c r="J289" s="15" t="s">
        <v>3853</v>
      </c>
      <c r="K289" s="15" t="s">
        <v>3854</v>
      </c>
      <c r="L289" s="15">
        <v>5.527421809E9</v>
      </c>
      <c r="M289" s="15" t="s">
        <v>3855</v>
      </c>
      <c r="N289" s="15" t="s">
        <v>3856</v>
      </c>
      <c r="O289" s="15">
        <v>5.536088717E9</v>
      </c>
      <c r="P289" s="20">
        <v>13.0</v>
      </c>
      <c r="Q289" s="22">
        <v>46026.85931712963</v>
      </c>
      <c r="R289" s="15" t="s">
        <v>107</v>
      </c>
      <c r="S289" s="15" t="s">
        <v>109</v>
      </c>
      <c r="T289" s="15" t="s">
        <v>160</v>
      </c>
      <c r="U289" s="15" t="s">
        <v>279</v>
      </c>
      <c r="V289" s="15" t="s">
        <v>280</v>
      </c>
      <c r="W289" s="15" t="s">
        <v>282</v>
      </c>
      <c r="X289" s="15" t="s">
        <v>120</v>
      </c>
      <c r="Y289" s="18"/>
      <c r="Z289" s="15" t="s">
        <v>120</v>
      </c>
      <c r="AA289" s="18"/>
      <c r="AB289" s="15" t="s">
        <v>120</v>
      </c>
      <c r="AC289" s="18"/>
      <c r="AD289" s="18"/>
      <c r="AE289" s="15" t="s">
        <v>120</v>
      </c>
      <c r="AF289" s="18"/>
      <c r="AG289" s="15" t="s">
        <v>120</v>
      </c>
      <c r="AH289" s="18"/>
      <c r="AI289" s="15" t="s">
        <v>120</v>
      </c>
      <c r="AJ289" s="18"/>
      <c r="AK289" s="18"/>
      <c r="AL289" s="15" t="s">
        <v>138</v>
      </c>
      <c r="AM289" s="15" t="s">
        <v>156</v>
      </c>
      <c r="AN289" s="15" t="s">
        <v>129</v>
      </c>
      <c r="AO289" s="15" t="s">
        <v>128</v>
      </c>
      <c r="AP289" s="15"/>
    </row>
    <row r="290" ht="22.5" customHeight="1">
      <c r="A290" s="15" t="s">
        <v>3857</v>
      </c>
      <c r="B290" s="15" t="s">
        <v>3858</v>
      </c>
      <c r="C290" s="18"/>
      <c r="D290" s="41">
        <v>41210.0</v>
      </c>
      <c r="E290" s="15" t="s">
        <v>98</v>
      </c>
      <c r="F290" s="15">
        <v>5.527064934E9</v>
      </c>
      <c r="G290" s="15" t="s">
        <v>1600</v>
      </c>
      <c r="H290" s="15" t="s">
        <v>101</v>
      </c>
      <c r="I290" s="18"/>
      <c r="J290" s="15" t="s">
        <v>3859</v>
      </c>
      <c r="K290" s="15" t="s">
        <v>3860</v>
      </c>
      <c r="L290" s="15">
        <v>5.52321027E9</v>
      </c>
      <c r="M290" s="18"/>
      <c r="N290" s="18"/>
      <c r="O290" s="18"/>
      <c r="P290" s="20">
        <v>13.0</v>
      </c>
      <c r="Q290" s="22">
        <v>46039.891226851854</v>
      </c>
      <c r="R290" s="15" t="s">
        <v>107</v>
      </c>
      <c r="S290" s="15" t="s">
        <v>109</v>
      </c>
      <c r="T290" s="15" t="s">
        <v>208</v>
      </c>
      <c r="U290" s="15" t="s">
        <v>1599</v>
      </c>
      <c r="V290" s="15" t="s">
        <v>1600</v>
      </c>
      <c r="W290" s="15" t="s">
        <v>1602</v>
      </c>
      <c r="X290" s="15" t="s">
        <v>120</v>
      </c>
      <c r="Y290" s="18"/>
      <c r="Z290" s="15" t="s">
        <v>120</v>
      </c>
      <c r="AA290" s="18"/>
      <c r="AB290" s="15" t="s">
        <v>120</v>
      </c>
      <c r="AC290" s="15" t="s">
        <v>120</v>
      </c>
      <c r="AD290" s="18"/>
      <c r="AE290" s="15" t="s">
        <v>120</v>
      </c>
      <c r="AF290" s="18"/>
      <c r="AG290" s="15" t="s">
        <v>120</v>
      </c>
      <c r="AH290" s="18"/>
      <c r="AI290" s="15" t="s">
        <v>120</v>
      </c>
      <c r="AJ290" s="18"/>
      <c r="AK290" s="18"/>
      <c r="AL290" s="15" t="s">
        <v>129</v>
      </c>
      <c r="AM290" s="15" t="s">
        <v>126</v>
      </c>
      <c r="AN290" s="15" t="s">
        <v>126</v>
      </c>
      <c r="AO290" s="15" t="s">
        <v>216</v>
      </c>
      <c r="AP290" s="15"/>
    </row>
    <row r="291" ht="22.5" customHeight="1">
      <c r="A291" s="15" t="s">
        <v>1754</v>
      </c>
      <c r="B291" s="15" t="s">
        <v>3861</v>
      </c>
      <c r="C291" s="15" t="s">
        <v>65</v>
      </c>
      <c r="D291" s="41">
        <v>40374.0</v>
      </c>
      <c r="E291" s="15" t="s">
        <v>98</v>
      </c>
      <c r="F291" s="15">
        <v>5.527476157E9</v>
      </c>
      <c r="G291" s="15" t="s">
        <v>3862</v>
      </c>
      <c r="H291" s="15" t="s">
        <v>140</v>
      </c>
      <c r="I291" s="18"/>
      <c r="J291" s="15" t="s">
        <v>3863</v>
      </c>
      <c r="K291" s="15" t="s">
        <v>3864</v>
      </c>
      <c r="L291" s="15">
        <v>5.538381295E9</v>
      </c>
      <c r="M291" s="18"/>
      <c r="N291" s="18"/>
      <c r="O291" s="18"/>
      <c r="P291" s="20">
        <v>15.0</v>
      </c>
      <c r="Q291" s="22">
        <v>46033.507743055554</v>
      </c>
      <c r="R291" s="15" t="s">
        <v>107</v>
      </c>
      <c r="S291" s="15" t="s">
        <v>109</v>
      </c>
      <c r="T291" s="15" t="s">
        <v>171</v>
      </c>
      <c r="U291" s="15" t="s">
        <v>173</v>
      </c>
      <c r="V291" s="15" t="s">
        <v>167</v>
      </c>
      <c r="W291" s="15" t="s">
        <v>175</v>
      </c>
      <c r="X291" s="15" t="s">
        <v>120</v>
      </c>
      <c r="Y291" s="18"/>
      <c r="Z291" s="15" t="s">
        <v>120</v>
      </c>
      <c r="AA291" s="18"/>
      <c r="AB291" s="15" t="s">
        <v>120</v>
      </c>
      <c r="AC291" s="18"/>
      <c r="AD291" s="18"/>
      <c r="AE291" s="15" t="s">
        <v>120</v>
      </c>
      <c r="AF291" s="18"/>
      <c r="AG291" s="15" t="s">
        <v>120</v>
      </c>
      <c r="AH291" s="18"/>
      <c r="AI291" s="15" t="s">
        <v>120</v>
      </c>
      <c r="AJ291" s="18"/>
      <c r="AK291" s="18"/>
      <c r="AL291" s="15" t="s">
        <v>185</v>
      </c>
      <c r="AM291" s="15" t="s">
        <v>216</v>
      </c>
      <c r="AN291" s="15" t="s">
        <v>156</v>
      </c>
      <c r="AO291" s="15" t="s">
        <v>242</v>
      </c>
      <c r="AP291" s="15"/>
    </row>
    <row r="292" ht="22.5" customHeight="1">
      <c r="A292" s="15" t="s">
        <v>3247</v>
      </c>
      <c r="B292" s="15" t="s">
        <v>3865</v>
      </c>
      <c r="C292" s="15" t="s">
        <v>3866</v>
      </c>
      <c r="D292" s="41">
        <v>39838.0</v>
      </c>
      <c r="E292" s="15" t="s">
        <v>177</v>
      </c>
      <c r="F292" s="15">
        <v>5.518107195E9</v>
      </c>
      <c r="G292" s="15" t="s">
        <v>3867</v>
      </c>
      <c r="H292" s="15" t="s">
        <v>101</v>
      </c>
      <c r="I292" s="23" t="s">
        <v>1325</v>
      </c>
      <c r="J292" s="15" t="s">
        <v>3868</v>
      </c>
      <c r="K292" s="15" t="s">
        <v>3869</v>
      </c>
      <c r="L292" s="15">
        <v>5.579973753E9</v>
      </c>
      <c r="M292" s="18"/>
      <c r="N292" s="18"/>
      <c r="O292" s="18"/>
      <c r="P292" s="20">
        <v>17.0</v>
      </c>
      <c r="Q292" s="22">
        <v>46038.78423611111</v>
      </c>
      <c r="R292" s="15" t="s">
        <v>107</v>
      </c>
      <c r="S292" s="15" t="s">
        <v>109</v>
      </c>
      <c r="T292" s="15" t="s">
        <v>111</v>
      </c>
      <c r="U292" s="15" t="s">
        <v>112</v>
      </c>
      <c r="V292" s="15" t="s">
        <v>114</v>
      </c>
      <c r="W292" s="15" t="s">
        <v>115</v>
      </c>
      <c r="X292" s="15" t="s">
        <v>120</v>
      </c>
      <c r="Y292" s="18"/>
      <c r="Z292" s="15" t="s">
        <v>120</v>
      </c>
      <c r="AA292" s="18"/>
      <c r="AB292" s="15" t="s">
        <v>120</v>
      </c>
      <c r="AC292" s="18"/>
      <c r="AD292" s="18"/>
      <c r="AE292" s="15" t="s">
        <v>120</v>
      </c>
      <c r="AF292" s="18"/>
      <c r="AG292" s="15" t="s">
        <v>120</v>
      </c>
      <c r="AH292" s="18"/>
      <c r="AI292" s="15" t="s">
        <v>120</v>
      </c>
      <c r="AJ292" s="18"/>
      <c r="AK292" s="18"/>
      <c r="AL292" s="15" t="s">
        <v>242</v>
      </c>
      <c r="AM292" s="15" t="s">
        <v>126</v>
      </c>
      <c r="AN292" s="15" t="s">
        <v>124</v>
      </c>
      <c r="AO292" s="15" t="s">
        <v>216</v>
      </c>
      <c r="AP292" s="15"/>
    </row>
    <row r="293" ht="22.5" customHeight="1">
      <c r="A293" s="15" t="s">
        <v>3870</v>
      </c>
      <c r="B293" s="15" t="s">
        <v>3871</v>
      </c>
      <c r="C293" s="15" t="s">
        <v>3872</v>
      </c>
      <c r="D293" s="41">
        <v>39982.0</v>
      </c>
      <c r="E293" s="15" t="s">
        <v>177</v>
      </c>
      <c r="F293" s="15">
        <v>5.581737972E9</v>
      </c>
      <c r="G293" s="15" t="s">
        <v>3873</v>
      </c>
      <c r="H293" s="15" t="s">
        <v>150</v>
      </c>
      <c r="I293" s="18"/>
      <c r="J293" s="15" t="s">
        <v>3874</v>
      </c>
      <c r="K293" s="15" t="s">
        <v>3875</v>
      </c>
      <c r="L293" s="15">
        <v>5.587393366E9</v>
      </c>
      <c r="M293" s="15" t="s">
        <v>3876</v>
      </c>
      <c r="N293" s="15" t="s">
        <v>3877</v>
      </c>
      <c r="O293" s="15" t="s">
        <v>3878</v>
      </c>
      <c r="P293" s="20">
        <v>16.0</v>
      </c>
      <c r="Q293" s="22">
        <v>46039.84105324074</v>
      </c>
      <c r="R293" s="15" t="s">
        <v>107</v>
      </c>
      <c r="S293" s="15" t="s">
        <v>109</v>
      </c>
      <c r="T293" s="15" t="s">
        <v>160</v>
      </c>
      <c r="U293" s="15" t="s">
        <v>1265</v>
      </c>
      <c r="V293" s="15" t="s">
        <v>1267</v>
      </c>
      <c r="W293" s="15" t="s">
        <v>1268</v>
      </c>
      <c r="X293" s="15" t="s">
        <v>120</v>
      </c>
      <c r="Y293" s="18"/>
      <c r="Z293" s="15" t="s">
        <v>120</v>
      </c>
      <c r="AA293" s="18"/>
      <c r="AB293" s="15" t="s">
        <v>120</v>
      </c>
      <c r="AC293" s="18"/>
      <c r="AD293" s="18"/>
      <c r="AE293" s="15" t="s">
        <v>120</v>
      </c>
      <c r="AF293" s="18"/>
      <c r="AG293" s="15" t="s">
        <v>120</v>
      </c>
      <c r="AH293" s="18"/>
      <c r="AI293" s="15" t="s">
        <v>120</v>
      </c>
      <c r="AJ293" s="18"/>
      <c r="AK293" s="18"/>
      <c r="AL293" s="15" t="s">
        <v>126</v>
      </c>
      <c r="AM293" s="15" t="s">
        <v>242</v>
      </c>
      <c r="AN293" s="15" t="s">
        <v>185</v>
      </c>
      <c r="AO293" s="15" t="s">
        <v>128</v>
      </c>
      <c r="AP293" s="15"/>
    </row>
    <row r="294" ht="22.5" customHeight="1">
      <c r="A294" s="15" t="s">
        <v>3879</v>
      </c>
      <c r="B294" s="15" t="s">
        <v>3880</v>
      </c>
      <c r="C294" s="15" t="s">
        <v>3881</v>
      </c>
      <c r="D294" s="41">
        <v>40148.0</v>
      </c>
      <c r="E294" s="15" t="s">
        <v>177</v>
      </c>
      <c r="F294" s="15">
        <v>5.652545784E9</v>
      </c>
      <c r="G294" s="15" t="s">
        <v>3882</v>
      </c>
      <c r="H294" s="15" t="s">
        <v>150</v>
      </c>
      <c r="I294" s="18"/>
      <c r="J294" s="15" t="s">
        <v>3883</v>
      </c>
      <c r="K294" s="15" t="s">
        <v>3884</v>
      </c>
      <c r="L294" s="15">
        <v>5.529953024E9</v>
      </c>
      <c r="M294" s="18"/>
      <c r="N294" s="18"/>
      <c r="O294" s="18"/>
      <c r="P294" s="20">
        <v>16.0</v>
      </c>
      <c r="Q294" s="22">
        <v>46031.68806712963</v>
      </c>
      <c r="R294" s="15" t="s">
        <v>107</v>
      </c>
      <c r="S294" s="15" t="s">
        <v>109</v>
      </c>
      <c r="T294" s="15" t="s">
        <v>127</v>
      </c>
      <c r="U294" s="15" t="s">
        <v>531</v>
      </c>
      <c r="V294" s="15" t="s">
        <v>532</v>
      </c>
      <c r="W294" s="15" t="s">
        <v>534</v>
      </c>
      <c r="X294" s="15" t="s">
        <v>120</v>
      </c>
      <c r="Y294" s="18"/>
      <c r="Z294" s="15" t="s">
        <v>120</v>
      </c>
      <c r="AA294" s="18"/>
      <c r="AB294" s="15" t="s">
        <v>120</v>
      </c>
      <c r="AC294" s="15" t="s">
        <v>120</v>
      </c>
      <c r="AD294" s="18"/>
      <c r="AE294" s="15" t="s">
        <v>120</v>
      </c>
      <c r="AF294" s="18"/>
      <c r="AG294" s="15" t="s">
        <v>120</v>
      </c>
      <c r="AH294" s="18"/>
      <c r="AI294" s="15" t="s">
        <v>120</v>
      </c>
      <c r="AJ294" s="18"/>
      <c r="AK294" s="18"/>
      <c r="AL294" s="15" t="s">
        <v>138</v>
      </c>
      <c r="AM294" s="15" t="s">
        <v>185</v>
      </c>
      <c r="AN294" s="15" t="s">
        <v>128</v>
      </c>
      <c r="AO294" s="15" t="s">
        <v>242</v>
      </c>
      <c r="AP294" s="15"/>
    </row>
    <row r="295" ht="22.5" customHeight="1">
      <c r="A295" s="15" t="s">
        <v>1606</v>
      </c>
      <c r="B295" s="15" t="s">
        <v>1607</v>
      </c>
      <c r="C295" s="18"/>
      <c r="D295" s="41">
        <v>40159.0</v>
      </c>
      <c r="E295" s="15" t="s">
        <v>177</v>
      </c>
      <c r="F295" s="15">
        <v>5.588061619E9</v>
      </c>
      <c r="G295" s="15" t="s">
        <v>1613</v>
      </c>
      <c r="H295" s="15" t="s">
        <v>140</v>
      </c>
      <c r="I295" s="18"/>
      <c r="J295" s="15" t="s">
        <v>1616</v>
      </c>
      <c r="K295" s="15" t="s">
        <v>1613</v>
      </c>
      <c r="L295" s="15">
        <v>5.588061619E9</v>
      </c>
      <c r="M295" s="18"/>
      <c r="N295" s="18"/>
      <c r="O295" s="18"/>
      <c r="P295" s="20">
        <v>16.0</v>
      </c>
      <c r="Q295" s="22">
        <v>46040.59087962963</v>
      </c>
      <c r="R295" s="15" t="s">
        <v>107</v>
      </c>
      <c r="S295" s="15" t="s">
        <v>109</v>
      </c>
      <c r="T295" s="15" t="s">
        <v>192</v>
      </c>
      <c r="U295" s="15" t="s">
        <v>485</v>
      </c>
      <c r="V295" s="15" t="s">
        <v>486</v>
      </c>
      <c r="W295" s="15" t="s">
        <v>487</v>
      </c>
      <c r="X295" s="15" t="s">
        <v>120</v>
      </c>
      <c r="Y295" s="18"/>
      <c r="Z295" s="15" t="s">
        <v>117</v>
      </c>
      <c r="AA295" s="58" t="s">
        <v>1630</v>
      </c>
      <c r="AB295" s="15" t="s">
        <v>117</v>
      </c>
      <c r="AC295" s="15" t="s">
        <v>117</v>
      </c>
      <c r="AD295" s="15" t="s">
        <v>1634</v>
      </c>
      <c r="AE295" s="15" t="s">
        <v>117</v>
      </c>
      <c r="AF295" s="15" t="s">
        <v>843</v>
      </c>
      <c r="AG295" s="15" t="s">
        <v>120</v>
      </c>
      <c r="AH295" s="18"/>
      <c r="AI295" s="15" t="s">
        <v>117</v>
      </c>
      <c r="AJ295" s="15" t="s">
        <v>178</v>
      </c>
      <c r="AK295" s="15" t="s">
        <v>1638</v>
      </c>
      <c r="AL295" s="15" t="s">
        <v>129</v>
      </c>
      <c r="AM295" s="15" t="s">
        <v>156</v>
      </c>
      <c r="AN295" s="15" t="s">
        <v>216</v>
      </c>
      <c r="AO295" s="15" t="s">
        <v>185</v>
      </c>
      <c r="AP295" s="15"/>
    </row>
    <row r="296" ht="22.5" customHeight="1">
      <c r="A296" s="15" t="s">
        <v>3892</v>
      </c>
      <c r="B296" s="15" t="s">
        <v>1446</v>
      </c>
      <c r="C296" s="15" t="s">
        <v>3893</v>
      </c>
      <c r="D296" s="41">
        <v>39620.0</v>
      </c>
      <c r="E296" s="15" t="s">
        <v>98</v>
      </c>
      <c r="F296" s="15">
        <v>5.531932977E9</v>
      </c>
      <c r="G296" s="15" t="s">
        <v>3894</v>
      </c>
      <c r="H296" s="15" t="s">
        <v>101</v>
      </c>
      <c r="I296" s="18"/>
      <c r="J296" s="15" t="s">
        <v>3895</v>
      </c>
      <c r="K296" s="15" t="s">
        <v>1466</v>
      </c>
      <c r="L296" s="15">
        <v>5.512919582E9</v>
      </c>
      <c r="M296" s="15" t="s">
        <v>1460</v>
      </c>
      <c r="N296" s="15" t="s">
        <v>1457</v>
      </c>
      <c r="O296" s="15">
        <v>5.534837235E9</v>
      </c>
      <c r="P296" s="20">
        <v>17.0</v>
      </c>
      <c r="Q296" s="22">
        <v>46019.90435185185</v>
      </c>
      <c r="R296" s="15" t="s">
        <v>107</v>
      </c>
      <c r="S296" s="15" t="s">
        <v>109</v>
      </c>
      <c r="T296" s="15" t="s">
        <v>171</v>
      </c>
      <c r="U296" s="15" t="s">
        <v>1474</v>
      </c>
      <c r="V296" s="15" t="s">
        <v>1475</v>
      </c>
      <c r="W296" s="15" t="s">
        <v>1476</v>
      </c>
      <c r="X296" s="15" t="s">
        <v>120</v>
      </c>
      <c r="Y296" s="18"/>
      <c r="Z296" s="15" t="s">
        <v>117</v>
      </c>
      <c r="AA296" s="58" t="s">
        <v>3896</v>
      </c>
      <c r="AB296" s="15" t="s">
        <v>120</v>
      </c>
      <c r="AC296" s="18"/>
      <c r="AD296" s="18"/>
      <c r="AE296" s="15" t="s">
        <v>120</v>
      </c>
      <c r="AF296" s="18"/>
      <c r="AG296" s="15" t="s">
        <v>120</v>
      </c>
      <c r="AH296" s="18"/>
      <c r="AI296" s="15" t="s">
        <v>120</v>
      </c>
      <c r="AJ296" s="18"/>
      <c r="AK296" s="18"/>
      <c r="AL296" s="15" t="s">
        <v>242</v>
      </c>
      <c r="AM296" s="15" t="s">
        <v>185</v>
      </c>
      <c r="AN296" s="15" t="s">
        <v>124</v>
      </c>
      <c r="AO296" s="15" t="s">
        <v>138</v>
      </c>
      <c r="AP296" s="15"/>
    </row>
    <row r="297" ht="22.5" customHeight="1">
      <c r="A297" s="15" t="s">
        <v>3897</v>
      </c>
      <c r="B297" s="15" t="s">
        <v>3898</v>
      </c>
      <c r="C297" s="15" t="s">
        <v>88</v>
      </c>
      <c r="D297" s="41">
        <v>39648.0</v>
      </c>
      <c r="E297" s="15" t="s">
        <v>98</v>
      </c>
      <c r="F297" s="15">
        <v>5.540414293E9</v>
      </c>
      <c r="G297" s="15" t="s">
        <v>3899</v>
      </c>
      <c r="H297" s="15" t="s">
        <v>140</v>
      </c>
      <c r="I297" s="23" t="s">
        <v>3900</v>
      </c>
      <c r="J297" s="15" t="s">
        <v>3901</v>
      </c>
      <c r="K297" s="15" t="s">
        <v>3902</v>
      </c>
      <c r="L297" s="15">
        <v>5.564693643E9</v>
      </c>
      <c r="M297" s="15" t="s">
        <v>3903</v>
      </c>
      <c r="N297" s="15" t="s">
        <v>3904</v>
      </c>
      <c r="O297" s="15">
        <v>5.510084953E9</v>
      </c>
      <c r="P297" s="20">
        <v>17.0</v>
      </c>
      <c r="Q297" s="22">
        <v>46026.506886574076</v>
      </c>
      <c r="R297" s="15" t="s">
        <v>260</v>
      </c>
      <c r="S297" s="15" t="s">
        <v>109</v>
      </c>
      <c r="T297" s="15" t="s">
        <v>160</v>
      </c>
      <c r="U297" s="15" t="s">
        <v>1265</v>
      </c>
      <c r="V297" s="15" t="s">
        <v>1267</v>
      </c>
      <c r="W297" s="15" t="s">
        <v>1268</v>
      </c>
      <c r="X297" s="15" t="s">
        <v>120</v>
      </c>
      <c r="Y297" s="18"/>
      <c r="Z297" s="15" t="s">
        <v>120</v>
      </c>
      <c r="AA297" s="18"/>
      <c r="AB297" s="15" t="s">
        <v>120</v>
      </c>
      <c r="AC297" s="18"/>
      <c r="AD297" s="18"/>
      <c r="AE297" s="15" t="s">
        <v>120</v>
      </c>
      <c r="AF297" s="18"/>
      <c r="AG297" s="15" t="s">
        <v>120</v>
      </c>
      <c r="AH297" s="18"/>
      <c r="AI297" s="15" t="s">
        <v>120</v>
      </c>
      <c r="AJ297" s="18"/>
      <c r="AK297" s="18"/>
      <c r="AL297" s="15" t="s">
        <v>185</v>
      </c>
      <c r="AM297" s="15" t="s">
        <v>242</v>
      </c>
      <c r="AN297" s="15" t="s">
        <v>124</v>
      </c>
      <c r="AO297" s="15" t="s">
        <v>126</v>
      </c>
      <c r="AP297" s="15"/>
    </row>
    <row r="298" ht="22.5" customHeight="1">
      <c r="A298" s="15" t="s">
        <v>2473</v>
      </c>
      <c r="B298" s="15" t="s">
        <v>2474</v>
      </c>
      <c r="C298" s="15" t="s">
        <v>2475</v>
      </c>
      <c r="D298" s="41">
        <v>40324.0</v>
      </c>
      <c r="E298" s="15" t="s">
        <v>177</v>
      </c>
      <c r="F298" s="15">
        <v>5.651488548E9</v>
      </c>
      <c r="G298" s="15" t="s">
        <v>2476</v>
      </c>
      <c r="H298" s="15" t="s">
        <v>101</v>
      </c>
      <c r="I298" s="18"/>
      <c r="J298" s="15" t="s">
        <v>2477</v>
      </c>
      <c r="K298" s="15" t="s">
        <v>2478</v>
      </c>
      <c r="L298" s="15">
        <v>5.552487339E9</v>
      </c>
      <c r="M298" s="18"/>
      <c r="N298" s="18"/>
      <c r="O298" s="18"/>
      <c r="P298" s="20">
        <v>15.0</v>
      </c>
      <c r="Q298" s="22">
        <v>46034.87805555556</v>
      </c>
      <c r="R298" s="15" t="s">
        <v>107</v>
      </c>
      <c r="S298" s="15" t="s">
        <v>109</v>
      </c>
      <c r="T298" s="15" t="s">
        <v>160</v>
      </c>
      <c r="U298" s="15" t="s">
        <v>329</v>
      </c>
      <c r="V298" s="15" t="s">
        <v>331</v>
      </c>
      <c r="W298" s="15" t="s">
        <v>332</v>
      </c>
      <c r="X298" s="15" t="s">
        <v>120</v>
      </c>
      <c r="Y298" s="18"/>
      <c r="Z298" s="15" t="s">
        <v>117</v>
      </c>
      <c r="AA298" s="52" t="s">
        <v>2483</v>
      </c>
      <c r="AB298" s="15" t="s">
        <v>120</v>
      </c>
      <c r="AC298" s="15" t="s">
        <v>120</v>
      </c>
      <c r="AD298" s="18"/>
      <c r="AE298" s="15" t="s">
        <v>117</v>
      </c>
      <c r="AF298" s="15" t="s">
        <v>2488</v>
      </c>
      <c r="AG298" s="15" t="s">
        <v>120</v>
      </c>
      <c r="AH298" s="18"/>
      <c r="AI298" s="15" t="s">
        <v>120</v>
      </c>
      <c r="AJ298" s="18"/>
      <c r="AK298" s="18"/>
      <c r="AL298" s="15" t="s">
        <v>128</v>
      </c>
      <c r="AM298" s="15" t="s">
        <v>126</v>
      </c>
      <c r="AN298" s="15" t="s">
        <v>185</v>
      </c>
      <c r="AO298" s="15" t="s">
        <v>124</v>
      </c>
      <c r="AP298" s="15"/>
    </row>
    <row r="299" ht="22.5" customHeight="1">
      <c r="A299" s="15" t="s">
        <v>3905</v>
      </c>
      <c r="B299" s="15" t="s">
        <v>1330</v>
      </c>
      <c r="C299" s="15" t="s">
        <v>3906</v>
      </c>
      <c r="D299" s="41">
        <v>41159.0</v>
      </c>
      <c r="E299" s="15" t="s">
        <v>177</v>
      </c>
      <c r="F299" s="15">
        <v>5.575465161E9</v>
      </c>
      <c r="G299" s="15" t="s">
        <v>3907</v>
      </c>
      <c r="H299" s="15" t="s">
        <v>101</v>
      </c>
      <c r="I299" s="18"/>
      <c r="J299" s="15" t="s">
        <v>3557</v>
      </c>
      <c r="K299" s="15" t="s">
        <v>3558</v>
      </c>
      <c r="L299" s="15">
        <v>5.549072661E9</v>
      </c>
      <c r="M299" s="18"/>
      <c r="N299" s="18"/>
      <c r="O299" s="18"/>
      <c r="P299" s="20">
        <v>13.0</v>
      </c>
      <c r="Q299" s="22">
        <v>46033.42209490741</v>
      </c>
      <c r="R299" s="15" t="s">
        <v>107</v>
      </c>
      <c r="S299" s="15" t="s">
        <v>109</v>
      </c>
      <c r="T299" s="15" t="s">
        <v>160</v>
      </c>
      <c r="U299" s="15" t="s">
        <v>279</v>
      </c>
      <c r="V299" s="15" t="s">
        <v>280</v>
      </c>
      <c r="W299" s="15" t="s">
        <v>282</v>
      </c>
      <c r="X299" s="15" t="s">
        <v>120</v>
      </c>
      <c r="Y299" s="18"/>
      <c r="Z299" s="15" t="s">
        <v>120</v>
      </c>
      <c r="AA299" s="18"/>
      <c r="AB299" s="15" t="s">
        <v>120</v>
      </c>
      <c r="AC299" s="18"/>
      <c r="AD299" s="18"/>
      <c r="AE299" s="15" t="s">
        <v>120</v>
      </c>
      <c r="AF299" s="18"/>
      <c r="AG299" s="15" t="s">
        <v>120</v>
      </c>
      <c r="AH299" s="18"/>
      <c r="AI299" s="15" t="s">
        <v>120</v>
      </c>
      <c r="AJ299" s="18"/>
      <c r="AK299" s="18"/>
      <c r="AL299" s="15" t="s">
        <v>141</v>
      </c>
      <c r="AM299" s="15" t="s">
        <v>124</v>
      </c>
      <c r="AN299" s="15" t="s">
        <v>138</v>
      </c>
      <c r="AO299" s="15" t="s">
        <v>128</v>
      </c>
      <c r="AP299" s="15"/>
    </row>
    <row r="300" ht="22.5" customHeight="1">
      <c r="A300" s="15" t="s">
        <v>3908</v>
      </c>
      <c r="B300" s="15" t="s">
        <v>737</v>
      </c>
      <c r="C300" s="15" t="s">
        <v>3909</v>
      </c>
      <c r="D300" s="41">
        <v>39970.0</v>
      </c>
      <c r="E300" s="15" t="s">
        <v>177</v>
      </c>
      <c r="F300" s="18" t="str">
        <f>+52 55 1193 9586</f>
        <v>#ERROR!</v>
      </c>
      <c r="G300" s="15" t="s">
        <v>3910</v>
      </c>
      <c r="H300" s="15" t="s">
        <v>101</v>
      </c>
      <c r="I300" s="18"/>
      <c r="J300" s="15" t="s">
        <v>3911</v>
      </c>
      <c r="K300" s="15" t="s">
        <v>3912</v>
      </c>
      <c r="L300" s="15" t="s">
        <v>3913</v>
      </c>
      <c r="M300" s="15" t="s">
        <v>3914</v>
      </c>
      <c r="N300" s="15" t="s">
        <v>3912</v>
      </c>
      <c r="O300" s="15" t="s">
        <v>3915</v>
      </c>
      <c r="P300" s="20">
        <v>16.0</v>
      </c>
      <c r="Q300" s="22">
        <v>46026.90721064815</v>
      </c>
      <c r="R300" s="15" t="s">
        <v>107</v>
      </c>
      <c r="S300" s="15" t="s">
        <v>109</v>
      </c>
      <c r="T300" s="15" t="s">
        <v>192</v>
      </c>
      <c r="U300" s="15" t="s">
        <v>749</v>
      </c>
      <c r="V300" s="15" t="s">
        <v>750</v>
      </c>
      <c r="W300" s="15" t="s">
        <v>751</v>
      </c>
      <c r="X300" s="15" t="s">
        <v>120</v>
      </c>
      <c r="Y300" s="18"/>
      <c r="Z300" s="15" t="s">
        <v>120</v>
      </c>
      <c r="AA300" s="18"/>
      <c r="AB300" s="15" t="s">
        <v>120</v>
      </c>
      <c r="AC300" s="18"/>
      <c r="AD300" s="18"/>
      <c r="AE300" s="15" t="s">
        <v>120</v>
      </c>
      <c r="AF300" s="18"/>
      <c r="AG300" s="15" t="s">
        <v>120</v>
      </c>
      <c r="AH300" s="18"/>
      <c r="AI300" s="15" t="s">
        <v>120</v>
      </c>
      <c r="AJ300" s="18"/>
      <c r="AK300" s="18"/>
      <c r="AL300" s="15" t="s">
        <v>185</v>
      </c>
      <c r="AM300" s="15" t="s">
        <v>129</v>
      </c>
      <c r="AN300" s="15" t="s">
        <v>156</v>
      </c>
      <c r="AO300" s="15" t="s">
        <v>138</v>
      </c>
      <c r="AP300" s="15"/>
    </row>
    <row r="301" ht="22.5" customHeight="1">
      <c r="A301" s="15" t="s">
        <v>1640</v>
      </c>
      <c r="B301" s="15" t="s">
        <v>1642</v>
      </c>
      <c r="C301" s="15" t="s">
        <v>1643</v>
      </c>
      <c r="D301" s="41">
        <v>41117.0</v>
      </c>
      <c r="E301" s="15" t="s">
        <v>177</v>
      </c>
      <c r="F301" s="15" t="s">
        <v>1645</v>
      </c>
      <c r="G301" s="15" t="s">
        <v>1648</v>
      </c>
      <c r="H301" s="15" t="s">
        <v>101</v>
      </c>
      <c r="I301" s="23" t="s">
        <v>1652</v>
      </c>
      <c r="J301" s="15" t="s">
        <v>136</v>
      </c>
      <c r="K301" s="15" t="s">
        <v>1655</v>
      </c>
      <c r="L301" s="15">
        <v>5.583376421E9</v>
      </c>
      <c r="M301" s="18"/>
      <c r="N301" s="18"/>
      <c r="O301" s="18"/>
      <c r="P301" s="20">
        <v>13.0</v>
      </c>
      <c r="Q301" s="22">
        <v>46034.830671296295</v>
      </c>
      <c r="R301" s="15" t="s">
        <v>107</v>
      </c>
      <c r="S301" s="15" t="s">
        <v>109</v>
      </c>
      <c r="T301" s="15" t="s">
        <v>208</v>
      </c>
      <c r="U301" s="15" t="s">
        <v>788</v>
      </c>
      <c r="V301" s="15" t="s">
        <v>789</v>
      </c>
      <c r="W301" s="15" t="s">
        <v>790</v>
      </c>
      <c r="X301" s="15" t="s">
        <v>120</v>
      </c>
      <c r="Y301" s="18"/>
      <c r="Z301" s="15" t="s">
        <v>120</v>
      </c>
      <c r="AA301" s="18"/>
      <c r="AB301" s="15" t="s">
        <v>120</v>
      </c>
      <c r="AC301" s="18"/>
      <c r="AD301" s="15" t="s">
        <v>135</v>
      </c>
      <c r="AE301" s="15" t="s">
        <v>120</v>
      </c>
      <c r="AF301" s="18"/>
      <c r="AG301" s="15" t="s">
        <v>120</v>
      </c>
      <c r="AH301" s="18"/>
      <c r="AI301" s="15" t="s">
        <v>117</v>
      </c>
      <c r="AJ301" s="15" t="s">
        <v>1682</v>
      </c>
      <c r="AK301" s="15" t="s">
        <v>1684</v>
      </c>
      <c r="AL301" s="15" t="s">
        <v>138</v>
      </c>
      <c r="AM301" s="15" t="s">
        <v>128</v>
      </c>
      <c r="AN301" s="15" t="s">
        <v>156</v>
      </c>
      <c r="AO301" s="15" t="s">
        <v>185</v>
      </c>
      <c r="AP301" s="15"/>
    </row>
    <row r="302" ht="22.5" customHeight="1">
      <c r="A302" s="15" t="s">
        <v>3916</v>
      </c>
      <c r="B302" s="15" t="s">
        <v>3917</v>
      </c>
      <c r="C302" s="15" t="s">
        <v>3918</v>
      </c>
      <c r="D302" s="41">
        <v>40610.0</v>
      </c>
      <c r="E302" s="15" t="s">
        <v>98</v>
      </c>
      <c r="F302" s="15">
        <v>5.513782072E9</v>
      </c>
      <c r="G302" s="15" t="s">
        <v>3919</v>
      </c>
      <c r="H302" s="15" t="s">
        <v>140</v>
      </c>
      <c r="I302" s="23" t="s">
        <v>135</v>
      </c>
      <c r="J302" s="15" t="s">
        <v>3920</v>
      </c>
      <c r="K302" s="15" t="s">
        <v>3919</v>
      </c>
      <c r="L302" s="15">
        <v>5.513339557E9</v>
      </c>
      <c r="M302" s="15" t="s">
        <v>3921</v>
      </c>
      <c r="N302" s="15" t="s">
        <v>3922</v>
      </c>
      <c r="O302" s="15">
        <v>5.531064795E9</v>
      </c>
      <c r="P302" s="20">
        <v>14.0</v>
      </c>
      <c r="Q302" s="22">
        <v>46035.92015046296</v>
      </c>
      <c r="R302" s="15" t="s">
        <v>107</v>
      </c>
      <c r="S302" s="15" t="s">
        <v>109</v>
      </c>
      <c r="T302" s="15" t="s">
        <v>171</v>
      </c>
      <c r="U302" s="15" t="s">
        <v>1048</v>
      </c>
      <c r="V302" s="15" t="s">
        <v>1050</v>
      </c>
      <c r="W302" s="15" t="s">
        <v>1051</v>
      </c>
      <c r="X302" s="15" t="s">
        <v>120</v>
      </c>
      <c r="Y302" s="18"/>
      <c r="Z302" s="15" t="s">
        <v>117</v>
      </c>
      <c r="AA302" s="58" t="s">
        <v>285</v>
      </c>
      <c r="AB302" s="15" t="s">
        <v>120</v>
      </c>
      <c r="AC302" s="18"/>
      <c r="AD302" s="18"/>
      <c r="AE302" s="15" t="s">
        <v>120</v>
      </c>
      <c r="AF302" s="18"/>
      <c r="AG302" s="15" t="s">
        <v>120</v>
      </c>
      <c r="AH302" s="18"/>
      <c r="AI302" s="15" t="s">
        <v>120</v>
      </c>
      <c r="AJ302" s="18"/>
      <c r="AK302" s="18"/>
      <c r="AL302" s="15" t="s">
        <v>185</v>
      </c>
      <c r="AM302" s="15" t="s">
        <v>242</v>
      </c>
      <c r="AN302" s="15" t="s">
        <v>216</v>
      </c>
      <c r="AO302" s="15" t="s">
        <v>124</v>
      </c>
      <c r="AP302" s="15"/>
    </row>
    <row r="303" ht="22.5" customHeight="1">
      <c r="A303" s="15" t="s">
        <v>3923</v>
      </c>
      <c r="B303" s="15" t="s">
        <v>3924</v>
      </c>
      <c r="C303" s="15" t="s">
        <v>3925</v>
      </c>
      <c r="D303" s="41">
        <v>40941.0</v>
      </c>
      <c r="E303" s="15" t="s">
        <v>98</v>
      </c>
      <c r="F303" s="15">
        <v>5.535109752E9</v>
      </c>
      <c r="G303" s="15" t="s">
        <v>3926</v>
      </c>
      <c r="H303" s="15" t="s">
        <v>140</v>
      </c>
      <c r="I303" s="18"/>
      <c r="J303" s="15" t="s">
        <v>3927</v>
      </c>
      <c r="K303" s="15" t="s">
        <v>3926</v>
      </c>
      <c r="L303" s="15">
        <v>5.535109752E9</v>
      </c>
      <c r="M303" s="18"/>
      <c r="N303" s="18"/>
      <c r="O303" s="18"/>
      <c r="P303" s="20">
        <v>14.0</v>
      </c>
      <c r="Q303" s="22">
        <v>46044.44092592593</v>
      </c>
      <c r="R303" s="15" t="s">
        <v>107</v>
      </c>
      <c r="S303" s="15" t="s">
        <v>109</v>
      </c>
      <c r="T303" s="15" t="s">
        <v>171</v>
      </c>
      <c r="U303" s="15" t="s">
        <v>1048</v>
      </c>
      <c r="V303" s="15" t="s">
        <v>1050</v>
      </c>
      <c r="W303" s="15" t="s">
        <v>1051</v>
      </c>
      <c r="X303" s="15" t="s">
        <v>120</v>
      </c>
      <c r="Y303" s="18"/>
      <c r="Z303" s="15" t="s">
        <v>120</v>
      </c>
      <c r="AA303" s="18"/>
      <c r="AB303" s="15" t="s">
        <v>120</v>
      </c>
      <c r="AC303" s="15" t="s">
        <v>117</v>
      </c>
      <c r="AD303" s="18"/>
      <c r="AE303" s="15" t="s">
        <v>120</v>
      </c>
      <c r="AF303" s="18"/>
      <c r="AG303" s="15" t="s">
        <v>120</v>
      </c>
      <c r="AH303" s="18"/>
      <c r="AI303" s="15" t="s">
        <v>120</v>
      </c>
      <c r="AJ303" s="18"/>
      <c r="AK303" s="18"/>
      <c r="AL303" s="15" t="s">
        <v>138</v>
      </c>
      <c r="AM303" s="15" t="s">
        <v>156</v>
      </c>
      <c r="AN303" s="15" t="s">
        <v>240</v>
      </c>
      <c r="AO303" s="15" t="s">
        <v>216</v>
      </c>
      <c r="AP303" s="15"/>
    </row>
    <row r="304" ht="22.5" customHeight="1">
      <c r="A304" s="15" t="s">
        <v>3928</v>
      </c>
      <c r="B304" s="15" t="s">
        <v>3929</v>
      </c>
      <c r="C304" s="15" t="s">
        <v>3930</v>
      </c>
      <c r="D304" s="41">
        <v>40255.0</v>
      </c>
      <c r="E304" s="15" t="s">
        <v>177</v>
      </c>
      <c r="F304" s="15">
        <v>5.615763822E9</v>
      </c>
      <c r="G304" s="15" t="s">
        <v>3931</v>
      </c>
      <c r="H304" s="15" t="s">
        <v>101</v>
      </c>
      <c r="I304" s="18"/>
      <c r="J304" s="15" t="s">
        <v>3932</v>
      </c>
      <c r="K304" s="15" t="s">
        <v>3933</v>
      </c>
      <c r="L304" s="15">
        <v>5.515373729E9</v>
      </c>
      <c r="M304" s="18"/>
      <c r="N304" s="18"/>
      <c r="O304" s="18"/>
      <c r="P304" s="20">
        <v>15.0</v>
      </c>
      <c r="Q304" s="22">
        <v>46026.5209375</v>
      </c>
      <c r="R304" s="15" t="s">
        <v>107</v>
      </c>
      <c r="S304" s="15" t="s">
        <v>109</v>
      </c>
      <c r="T304" s="15" t="s">
        <v>160</v>
      </c>
      <c r="U304" s="15" t="s">
        <v>308</v>
      </c>
      <c r="V304" s="15" t="s">
        <v>309</v>
      </c>
      <c r="W304" s="15" t="s">
        <v>310</v>
      </c>
      <c r="X304" s="15" t="s">
        <v>120</v>
      </c>
      <c r="Y304" s="18"/>
      <c r="Z304" s="15" t="s">
        <v>120</v>
      </c>
      <c r="AA304" s="18"/>
      <c r="AB304" s="15" t="s">
        <v>120</v>
      </c>
      <c r="AC304" s="18"/>
      <c r="AD304" s="18"/>
      <c r="AE304" s="15" t="s">
        <v>120</v>
      </c>
      <c r="AF304" s="18"/>
      <c r="AG304" s="15" t="s">
        <v>120</v>
      </c>
      <c r="AH304" s="18"/>
      <c r="AI304" s="15" t="s">
        <v>120</v>
      </c>
      <c r="AJ304" s="18"/>
      <c r="AK304" s="18"/>
      <c r="AL304" s="15" t="s">
        <v>128</v>
      </c>
      <c r="AM304" s="15" t="s">
        <v>242</v>
      </c>
      <c r="AN304" s="15" t="s">
        <v>185</v>
      </c>
      <c r="AO304" s="15" t="s">
        <v>216</v>
      </c>
      <c r="AP304" s="15"/>
    </row>
    <row r="305" ht="22.5" customHeight="1">
      <c r="A305" s="15" t="s">
        <v>934</v>
      </c>
      <c r="B305" s="15" t="s">
        <v>3934</v>
      </c>
      <c r="C305" s="15" t="s">
        <v>3935</v>
      </c>
      <c r="D305" s="41">
        <v>39911.0</v>
      </c>
      <c r="E305" s="15" t="s">
        <v>98</v>
      </c>
      <c r="F305" s="15">
        <v>5.543611566E9</v>
      </c>
      <c r="G305" s="15" t="s">
        <v>3936</v>
      </c>
      <c r="H305" s="15" t="s">
        <v>140</v>
      </c>
      <c r="I305" s="18"/>
      <c r="J305" s="15" t="s">
        <v>3937</v>
      </c>
      <c r="K305" s="15" t="s">
        <v>3938</v>
      </c>
      <c r="L305" s="15">
        <v>5.543611566E9</v>
      </c>
      <c r="M305" s="18"/>
      <c r="N305" s="18"/>
      <c r="O305" s="18"/>
      <c r="P305" s="20">
        <v>16.0</v>
      </c>
      <c r="Q305" s="22">
        <v>46020.99135416667</v>
      </c>
      <c r="R305" s="15" t="s">
        <v>107</v>
      </c>
      <c r="S305" s="15" t="s">
        <v>109</v>
      </c>
      <c r="T305" s="15" t="s">
        <v>208</v>
      </c>
      <c r="U305" s="15" t="s">
        <v>228</v>
      </c>
      <c r="V305" s="15" t="s">
        <v>229</v>
      </c>
      <c r="W305" s="15" t="s">
        <v>230</v>
      </c>
      <c r="X305" s="15" t="s">
        <v>120</v>
      </c>
      <c r="Y305" s="18"/>
      <c r="Z305" s="15" t="s">
        <v>117</v>
      </c>
      <c r="AA305" s="67" t="s">
        <v>3939</v>
      </c>
      <c r="AB305" s="15" t="s">
        <v>120</v>
      </c>
      <c r="AC305" s="15" t="s">
        <v>120</v>
      </c>
      <c r="AD305" s="18"/>
      <c r="AE305" s="15" t="s">
        <v>120</v>
      </c>
      <c r="AF305" s="18"/>
      <c r="AG305" s="15" t="s">
        <v>120</v>
      </c>
      <c r="AH305" s="18"/>
      <c r="AI305" s="15" t="s">
        <v>120</v>
      </c>
      <c r="AJ305" s="18"/>
      <c r="AK305" s="18"/>
      <c r="AL305" s="15" t="s">
        <v>138</v>
      </c>
      <c r="AM305" s="15" t="s">
        <v>242</v>
      </c>
      <c r="AN305" s="15" t="s">
        <v>126</v>
      </c>
      <c r="AO305" s="15" t="s">
        <v>185</v>
      </c>
      <c r="AP305" s="15"/>
    </row>
    <row r="306" ht="22.5" customHeight="1">
      <c r="A306" s="15" t="s">
        <v>3940</v>
      </c>
      <c r="B306" s="15" t="s">
        <v>2914</v>
      </c>
      <c r="C306" s="15" t="s">
        <v>3941</v>
      </c>
      <c r="D306" s="41">
        <v>39952.0</v>
      </c>
      <c r="E306" s="15" t="s">
        <v>177</v>
      </c>
      <c r="F306" s="15">
        <v>5.542613145E9</v>
      </c>
      <c r="G306" s="15" t="s">
        <v>3942</v>
      </c>
      <c r="H306" s="15" t="s">
        <v>140</v>
      </c>
      <c r="I306" s="23" t="s">
        <v>2397</v>
      </c>
      <c r="J306" s="15" t="s">
        <v>3943</v>
      </c>
      <c r="K306" s="15" t="s">
        <v>3944</v>
      </c>
      <c r="L306" s="15">
        <v>5.619340608E9</v>
      </c>
      <c r="M306" s="15" t="s">
        <v>2917</v>
      </c>
      <c r="N306" s="15" t="s">
        <v>3945</v>
      </c>
      <c r="O306" s="15">
        <v>5.516267037E9</v>
      </c>
      <c r="P306" s="20">
        <v>16.0</v>
      </c>
      <c r="Q306" s="22">
        <v>46035.41017361111</v>
      </c>
      <c r="R306" s="15" t="s">
        <v>107</v>
      </c>
      <c r="S306" s="15" t="s">
        <v>109</v>
      </c>
      <c r="T306" s="15" t="s">
        <v>171</v>
      </c>
      <c r="U306" s="15" t="s">
        <v>2149</v>
      </c>
      <c r="V306" s="15" t="s">
        <v>2141</v>
      </c>
      <c r="W306" s="15" t="s">
        <v>2151</v>
      </c>
      <c r="X306" s="15" t="s">
        <v>120</v>
      </c>
      <c r="Y306" s="18"/>
      <c r="Z306" s="15" t="s">
        <v>120</v>
      </c>
      <c r="AA306" s="18"/>
      <c r="AB306" s="15" t="s">
        <v>120</v>
      </c>
      <c r="AC306" s="15" t="s">
        <v>120</v>
      </c>
      <c r="AD306" s="18"/>
      <c r="AE306" s="15" t="s">
        <v>120</v>
      </c>
      <c r="AF306" s="18"/>
      <c r="AG306" s="15" t="s">
        <v>120</v>
      </c>
      <c r="AH306" s="18"/>
      <c r="AI306" s="15" t="s">
        <v>120</v>
      </c>
      <c r="AJ306" s="18"/>
      <c r="AK306" s="18"/>
      <c r="AL306" s="15" t="s">
        <v>156</v>
      </c>
      <c r="AM306" s="15" t="s">
        <v>124</v>
      </c>
      <c r="AN306" s="15" t="s">
        <v>128</v>
      </c>
      <c r="AO306" s="15" t="s">
        <v>242</v>
      </c>
      <c r="AP306" s="15"/>
    </row>
    <row r="307" ht="22.5" customHeight="1">
      <c r="A307" s="15" t="s">
        <v>1802</v>
      </c>
      <c r="B307" s="15" t="s">
        <v>1803</v>
      </c>
      <c r="C307" s="15" t="s">
        <v>1804</v>
      </c>
      <c r="D307" s="41">
        <v>40969.0</v>
      </c>
      <c r="E307" s="15" t="s">
        <v>177</v>
      </c>
      <c r="F307" s="15">
        <v>5.5513217637E10</v>
      </c>
      <c r="G307" s="15" t="s">
        <v>1805</v>
      </c>
      <c r="H307" s="15" t="s">
        <v>140</v>
      </c>
      <c r="I307" s="18"/>
      <c r="J307" s="15" t="s">
        <v>1806</v>
      </c>
      <c r="K307" s="15" t="s">
        <v>1805</v>
      </c>
      <c r="L307" s="15">
        <v>5.539074387E9</v>
      </c>
      <c r="M307" s="18"/>
      <c r="N307" s="18"/>
      <c r="O307" s="18"/>
      <c r="P307" s="20">
        <v>14.0</v>
      </c>
      <c r="Q307" s="22">
        <v>46026.84447916667</v>
      </c>
      <c r="R307" s="15" t="s">
        <v>107</v>
      </c>
      <c r="S307" s="15" t="s">
        <v>109</v>
      </c>
      <c r="T307" s="15" t="s">
        <v>208</v>
      </c>
      <c r="U307" s="15" t="s">
        <v>228</v>
      </c>
      <c r="V307" s="15" t="s">
        <v>229</v>
      </c>
      <c r="W307" s="15" t="s">
        <v>230</v>
      </c>
      <c r="X307" s="15" t="s">
        <v>120</v>
      </c>
      <c r="Y307" s="18"/>
      <c r="Z307" s="15" t="s">
        <v>120</v>
      </c>
      <c r="AA307" s="18"/>
      <c r="AB307" s="15" t="s">
        <v>117</v>
      </c>
      <c r="AC307" s="15" t="s">
        <v>120</v>
      </c>
      <c r="AD307" s="18"/>
      <c r="AE307" s="15" t="s">
        <v>120</v>
      </c>
      <c r="AF307" s="18"/>
      <c r="AG307" s="15" t="s">
        <v>120</v>
      </c>
      <c r="AH307" s="18"/>
      <c r="AI307" s="15" t="s">
        <v>120</v>
      </c>
      <c r="AJ307" s="18"/>
      <c r="AK307" s="18"/>
      <c r="AL307" s="15" t="s">
        <v>242</v>
      </c>
      <c r="AM307" s="15" t="s">
        <v>156</v>
      </c>
      <c r="AN307" s="15" t="s">
        <v>216</v>
      </c>
      <c r="AO307" s="15" t="s">
        <v>185</v>
      </c>
      <c r="AP307" s="15"/>
    </row>
    <row r="308" ht="22.5" customHeight="1">
      <c r="A308" s="15" t="s">
        <v>3946</v>
      </c>
      <c r="B308" s="15" t="s">
        <v>3917</v>
      </c>
      <c r="C308" s="15" t="s">
        <v>3947</v>
      </c>
      <c r="D308" s="41">
        <v>39453.0</v>
      </c>
      <c r="E308" s="15" t="s">
        <v>177</v>
      </c>
      <c r="F308" s="15">
        <v>5.559632302E9</v>
      </c>
      <c r="G308" s="15" t="s">
        <v>3948</v>
      </c>
      <c r="H308" s="15" t="s">
        <v>101</v>
      </c>
      <c r="I308" s="18"/>
      <c r="J308" s="15" t="s">
        <v>3920</v>
      </c>
      <c r="K308" s="15" t="s">
        <v>3919</v>
      </c>
      <c r="L308" s="15">
        <v>5.513339557E9</v>
      </c>
      <c r="M308" s="15" t="s">
        <v>3921</v>
      </c>
      <c r="N308" s="15" t="s">
        <v>3922</v>
      </c>
      <c r="O308" s="15">
        <v>5.531064795E9</v>
      </c>
      <c r="P308" s="20">
        <v>18.0</v>
      </c>
      <c r="Q308" s="22">
        <v>46035.929027777776</v>
      </c>
      <c r="R308" s="15" t="s">
        <v>107</v>
      </c>
      <c r="S308" s="15" t="s">
        <v>109</v>
      </c>
      <c r="T308" s="15" t="s">
        <v>171</v>
      </c>
      <c r="U308" s="15" t="s">
        <v>1048</v>
      </c>
      <c r="V308" s="15" t="s">
        <v>1050</v>
      </c>
      <c r="W308" s="15" t="s">
        <v>1051</v>
      </c>
      <c r="X308" s="15" t="s">
        <v>120</v>
      </c>
      <c r="Y308" s="18"/>
      <c r="Z308" s="15" t="s">
        <v>117</v>
      </c>
      <c r="AA308" s="58" t="s">
        <v>285</v>
      </c>
      <c r="AB308" s="15" t="s">
        <v>120</v>
      </c>
      <c r="AC308" s="18"/>
      <c r="AD308" s="18"/>
      <c r="AE308" s="15" t="s">
        <v>120</v>
      </c>
      <c r="AF308" s="18"/>
      <c r="AG308" s="15" t="s">
        <v>120</v>
      </c>
      <c r="AH308" s="18"/>
      <c r="AI308" s="15" t="s">
        <v>120</v>
      </c>
      <c r="AJ308" s="18"/>
      <c r="AK308" s="18"/>
      <c r="AL308" s="15" t="s">
        <v>242</v>
      </c>
      <c r="AM308" s="15" t="s">
        <v>185</v>
      </c>
      <c r="AN308" s="15" t="s">
        <v>216</v>
      </c>
      <c r="AO308" s="15" t="s">
        <v>124</v>
      </c>
      <c r="AP308" s="15"/>
    </row>
    <row r="309" ht="22.5" customHeight="1">
      <c r="A309" s="15" t="s">
        <v>3949</v>
      </c>
      <c r="B309" s="15" t="s">
        <v>3950</v>
      </c>
      <c r="C309" s="18"/>
      <c r="D309" s="41">
        <v>41099.0</v>
      </c>
      <c r="E309" s="15" t="s">
        <v>177</v>
      </c>
      <c r="F309" s="15">
        <v>5.52050567E9</v>
      </c>
      <c r="G309" s="15" t="s">
        <v>1600</v>
      </c>
      <c r="H309" s="15" t="s">
        <v>140</v>
      </c>
      <c r="I309" s="18"/>
      <c r="J309" s="15" t="s">
        <v>3951</v>
      </c>
      <c r="K309" s="15" t="s">
        <v>3952</v>
      </c>
      <c r="L309" s="15">
        <v>5.560679361E9</v>
      </c>
      <c r="M309" s="18"/>
      <c r="N309" s="18"/>
      <c r="O309" s="18"/>
      <c r="P309" s="20">
        <v>13.0</v>
      </c>
      <c r="Q309" s="22">
        <v>46039.63317129629</v>
      </c>
      <c r="R309" s="15" t="s">
        <v>107</v>
      </c>
      <c r="S309" s="15" t="s">
        <v>109</v>
      </c>
      <c r="T309" s="15" t="s">
        <v>208</v>
      </c>
      <c r="U309" s="15" t="s">
        <v>1599</v>
      </c>
      <c r="V309" s="15" t="s">
        <v>1600</v>
      </c>
      <c r="W309" s="15" t="s">
        <v>1602</v>
      </c>
      <c r="X309" s="15" t="s">
        <v>120</v>
      </c>
      <c r="Y309" s="18"/>
      <c r="Z309" s="15" t="s">
        <v>120</v>
      </c>
      <c r="AA309" s="18"/>
      <c r="AB309" s="15" t="s">
        <v>120</v>
      </c>
      <c r="AC309" s="18"/>
      <c r="AD309" s="18"/>
      <c r="AE309" s="15" t="s">
        <v>120</v>
      </c>
      <c r="AF309" s="18"/>
      <c r="AG309" s="15" t="s">
        <v>120</v>
      </c>
      <c r="AH309" s="18"/>
      <c r="AI309" s="15" t="s">
        <v>120</v>
      </c>
      <c r="AJ309" s="18"/>
      <c r="AK309" s="18"/>
      <c r="AL309" s="15" t="s">
        <v>124</v>
      </c>
      <c r="AM309" s="15" t="s">
        <v>129</v>
      </c>
      <c r="AN309" s="15" t="s">
        <v>240</v>
      </c>
      <c r="AO309" s="15" t="s">
        <v>128</v>
      </c>
      <c r="AP309" s="15"/>
    </row>
    <row r="310" ht="22.5" customHeight="1">
      <c r="A310" s="15" t="s">
        <v>3953</v>
      </c>
      <c r="B310" s="15" t="s">
        <v>3954</v>
      </c>
      <c r="C310" s="15" t="s">
        <v>3955</v>
      </c>
      <c r="D310" s="41">
        <v>40111.0</v>
      </c>
      <c r="E310" s="15" t="s">
        <v>98</v>
      </c>
      <c r="F310" s="15">
        <v>5.592603355E9</v>
      </c>
      <c r="G310" s="15" t="s">
        <v>3956</v>
      </c>
      <c r="H310" s="15" t="s">
        <v>140</v>
      </c>
      <c r="I310" s="18"/>
      <c r="J310" s="15" t="s">
        <v>3957</v>
      </c>
      <c r="K310" s="15" t="s">
        <v>3958</v>
      </c>
      <c r="L310" s="15">
        <v>5.548480439E9</v>
      </c>
      <c r="M310" s="18"/>
      <c r="N310" s="18"/>
      <c r="O310" s="18"/>
      <c r="P310" s="20">
        <v>16.0</v>
      </c>
      <c r="Q310" s="22">
        <v>46019.976631944446</v>
      </c>
      <c r="R310" s="15" t="s">
        <v>107</v>
      </c>
      <c r="S310" s="15" t="s">
        <v>109</v>
      </c>
      <c r="T310" s="15" t="s">
        <v>160</v>
      </c>
      <c r="U310" s="15" t="s">
        <v>308</v>
      </c>
      <c r="V310" s="15" t="s">
        <v>309</v>
      </c>
      <c r="W310" s="15" t="s">
        <v>310</v>
      </c>
      <c r="X310" s="15" t="s">
        <v>120</v>
      </c>
      <c r="Y310" s="18"/>
      <c r="Z310" s="15" t="s">
        <v>117</v>
      </c>
      <c r="AA310" s="52" t="s">
        <v>1641</v>
      </c>
      <c r="AB310" s="15" t="s">
        <v>120</v>
      </c>
      <c r="AC310" s="15" t="s">
        <v>120</v>
      </c>
      <c r="AD310" s="18"/>
      <c r="AE310" s="15" t="s">
        <v>120</v>
      </c>
      <c r="AF310" s="18"/>
      <c r="AG310" s="15" t="s">
        <v>120</v>
      </c>
      <c r="AH310" s="18"/>
      <c r="AI310" s="15" t="s">
        <v>120</v>
      </c>
      <c r="AJ310" s="18"/>
      <c r="AK310" s="18"/>
      <c r="AL310" s="15" t="s">
        <v>185</v>
      </c>
      <c r="AM310" s="15" t="s">
        <v>185</v>
      </c>
      <c r="AN310" s="15" t="s">
        <v>216</v>
      </c>
      <c r="AO310" s="15" t="s">
        <v>126</v>
      </c>
      <c r="AP310" s="15"/>
    </row>
    <row r="311" ht="22.5" customHeight="1">
      <c r="A311" s="15" t="s">
        <v>3959</v>
      </c>
      <c r="B311" s="15" t="s">
        <v>3526</v>
      </c>
      <c r="C311" s="15" t="s">
        <v>3960</v>
      </c>
      <c r="D311" s="41">
        <v>39741.0</v>
      </c>
      <c r="E311" s="15" t="s">
        <v>177</v>
      </c>
      <c r="F311" s="15">
        <v>5.545286273E9</v>
      </c>
      <c r="G311" s="15" t="s">
        <v>3961</v>
      </c>
      <c r="H311" s="15" t="s">
        <v>150</v>
      </c>
      <c r="I311" s="18"/>
      <c r="J311" s="15" t="s">
        <v>3529</v>
      </c>
      <c r="K311" s="15" t="s">
        <v>3530</v>
      </c>
      <c r="L311" s="15">
        <v>5.566295204E9</v>
      </c>
      <c r="M311" s="18"/>
      <c r="N311" s="18"/>
      <c r="O311" s="18"/>
      <c r="P311" s="20">
        <v>17.0</v>
      </c>
      <c r="Q311" s="22">
        <v>46034.51435185185</v>
      </c>
      <c r="R311" s="15" t="s">
        <v>107</v>
      </c>
      <c r="S311" s="15" t="s">
        <v>109</v>
      </c>
      <c r="T311" s="15" t="s">
        <v>171</v>
      </c>
      <c r="U311" s="15" t="s">
        <v>638</v>
      </c>
      <c r="V311" s="15" t="s">
        <v>639</v>
      </c>
      <c r="W311" s="15" t="s">
        <v>641</v>
      </c>
      <c r="X311" s="15" t="s">
        <v>120</v>
      </c>
      <c r="Y311" s="18"/>
      <c r="Z311" s="15" t="s">
        <v>120</v>
      </c>
      <c r="AA311" s="18"/>
      <c r="AB311" s="15" t="s">
        <v>120</v>
      </c>
      <c r="AC311" s="18"/>
      <c r="AD311" s="18"/>
      <c r="AE311" s="15" t="s">
        <v>120</v>
      </c>
      <c r="AF311" s="18"/>
      <c r="AG311" s="15" t="s">
        <v>120</v>
      </c>
      <c r="AH311" s="18"/>
      <c r="AI311" s="15" t="s">
        <v>120</v>
      </c>
      <c r="AJ311" s="18"/>
      <c r="AK311" s="18"/>
      <c r="AL311" s="15" t="s">
        <v>126</v>
      </c>
      <c r="AM311" s="15" t="s">
        <v>185</v>
      </c>
      <c r="AN311" s="15" t="s">
        <v>216</v>
      </c>
      <c r="AO311" s="15" t="s">
        <v>242</v>
      </c>
      <c r="AP311" s="15"/>
    </row>
    <row r="312" ht="22.5" customHeight="1">
      <c r="A312" s="15" t="s">
        <v>3962</v>
      </c>
      <c r="B312" s="15" t="s">
        <v>3963</v>
      </c>
      <c r="C312" s="15" t="s">
        <v>3964</v>
      </c>
      <c r="D312" s="41">
        <v>40911.0</v>
      </c>
      <c r="E312" s="15" t="s">
        <v>98</v>
      </c>
      <c r="F312" s="15">
        <v>5.64338495E9</v>
      </c>
      <c r="G312" s="15" t="s">
        <v>1293</v>
      </c>
      <c r="H312" s="15" t="s">
        <v>101</v>
      </c>
      <c r="I312" s="23" t="s">
        <v>3965</v>
      </c>
      <c r="J312" s="15" t="s">
        <v>3966</v>
      </c>
      <c r="K312" s="15" t="s">
        <v>1293</v>
      </c>
      <c r="L312" s="15">
        <v>5.64338495E9</v>
      </c>
      <c r="M312" s="18"/>
      <c r="N312" s="18"/>
      <c r="O312" s="18"/>
      <c r="P312" s="20">
        <v>14.0</v>
      </c>
      <c r="Q312" s="22">
        <v>46035.599814814814</v>
      </c>
      <c r="R312" s="15" t="s">
        <v>107</v>
      </c>
      <c r="S312" s="15" t="s">
        <v>109</v>
      </c>
      <c r="T312" s="15" t="s">
        <v>204</v>
      </c>
      <c r="U312" s="15" t="s">
        <v>205</v>
      </c>
      <c r="V312" s="15" t="s">
        <v>206</v>
      </c>
      <c r="W312" s="15" t="s">
        <v>207</v>
      </c>
      <c r="X312" s="15" t="s">
        <v>120</v>
      </c>
      <c r="Y312" s="18"/>
      <c r="Z312" s="15" t="s">
        <v>120</v>
      </c>
      <c r="AA312" s="18"/>
      <c r="AB312" s="15" t="s">
        <v>120</v>
      </c>
      <c r="AC312" s="18"/>
      <c r="AD312" s="18"/>
      <c r="AE312" s="15" t="s">
        <v>120</v>
      </c>
      <c r="AF312" s="18"/>
      <c r="AG312" s="15" t="s">
        <v>120</v>
      </c>
      <c r="AH312" s="18"/>
      <c r="AI312" s="15" t="s">
        <v>120</v>
      </c>
      <c r="AJ312" s="18"/>
      <c r="AK312" s="18"/>
      <c r="AL312" s="15" t="s">
        <v>138</v>
      </c>
      <c r="AM312" s="15" t="s">
        <v>156</v>
      </c>
      <c r="AN312" s="15" t="s">
        <v>240</v>
      </c>
      <c r="AO312" s="15" t="s">
        <v>242</v>
      </c>
      <c r="AP312" s="15"/>
    </row>
    <row r="313" ht="22.5" customHeight="1">
      <c r="A313" s="15" t="s">
        <v>934</v>
      </c>
      <c r="B313" s="15" t="s">
        <v>1826</v>
      </c>
      <c r="C313" s="15" t="s">
        <v>1827</v>
      </c>
      <c r="D313" s="41">
        <v>39823.0</v>
      </c>
      <c r="E313" s="15" t="s">
        <v>98</v>
      </c>
      <c r="F313" s="15">
        <v>5.540573868E9</v>
      </c>
      <c r="G313" s="15" t="s">
        <v>1829</v>
      </c>
      <c r="H313" s="15" t="s">
        <v>101</v>
      </c>
      <c r="I313" s="18"/>
      <c r="J313" s="15" t="s">
        <v>1830</v>
      </c>
      <c r="K313" s="15" t="s">
        <v>1831</v>
      </c>
      <c r="L313" s="15">
        <v>5.537869718E9</v>
      </c>
      <c r="M313" s="18"/>
      <c r="N313" s="18"/>
      <c r="O313" s="18"/>
      <c r="P313" s="20">
        <v>17.0</v>
      </c>
      <c r="Q313" s="22">
        <v>46040.591840277775</v>
      </c>
      <c r="R313" s="15" t="s">
        <v>107</v>
      </c>
      <c r="S313" s="15" t="s">
        <v>109</v>
      </c>
      <c r="T313" s="15" t="s">
        <v>192</v>
      </c>
      <c r="U313" s="15" t="s">
        <v>485</v>
      </c>
      <c r="V313" s="15" t="s">
        <v>486</v>
      </c>
      <c r="W313" s="15" t="s">
        <v>487</v>
      </c>
      <c r="X313" s="15" t="s">
        <v>120</v>
      </c>
      <c r="Y313" s="18"/>
      <c r="Z313" s="15" t="s">
        <v>117</v>
      </c>
      <c r="AA313" s="58" t="s">
        <v>1846</v>
      </c>
      <c r="AB313" s="15" t="s">
        <v>117</v>
      </c>
      <c r="AC313" s="15" t="s">
        <v>117</v>
      </c>
      <c r="AD313" s="18"/>
      <c r="AE313" s="15" t="s">
        <v>120</v>
      </c>
      <c r="AF313" s="18"/>
      <c r="AG313" s="15" t="s">
        <v>117</v>
      </c>
      <c r="AH313" s="15" t="s">
        <v>1850</v>
      </c>
      <c r="AI313" s="15" t="s">
        <v>120</v>
      </c>
      <c r="AJ313" s="18"/>
      <c r="AK313" s="18"/>
      <c r="AL313" s="15" t="s">
        <v>216</v>
      </c>
      <c r="AM313" s="15" t="s">
        <v>141</v>
      </c>
      <c r="AN313" s="15" t="s">
        <v>138</v>
      </c>
      <c r="AO313" s="15" t="s">
        <v>156</v>
      </c>
      <c r="AP313" s="15"/>
    </row>
    <row r="314" ht="22.5" customHeight="1">
      <c r="A314" s="15" t="s">
        <v>3967</v>
      </c>
      <c r="B314" s="15" t="s">
        <v>3968</v>
      </c>
      <c r="C314" s="18"/>
      <c r="D314" s="41">
        <v>40176.0</v>
      </c>
      <c r="E314" s="15" t="s">
        <v>98</v>
      </c>
      <c r="F314" s="15">
        <v>5.658046567E9</v>
      </c>
      <c r="G314" s="15" t="s">
        <v>3969</v>
      </c>
      <c r="H314" s="15" t="s">
        <v>101</v>
      </c>
      <c r="I314" s="23" t="s">
        <v>135</v>
      </c>
      <c r="J314" s="15" t="s">
        <v>3970</v>
      </c>
      <c r="K314" s="15" t="s">
        <v>952</v>
      </c>
      <c r="L314" s="15">
        <v>5.519839417E9</v>
      </c>
      <c r="M314" s="18"/>
      <c r="N314" s="18"/>
      <c r="O314" s="18"/>
      <c r="P314" s="20">
        <v>16.0</v>
      </c>
      <c r="Q314" s="22">
        <v>46036.409050925926</v>
      </c>
      <c r="R314" s="15" t="s">
        <v>107</v>
      </c>
      <c r="S314" s="15" t="s">
        <v>109</v>
      </c>
      <c r="T314" s="15" t="s">
        <v>208</v>
      </c>
      <c r="U314" s="15" t="s">
        <v>788</v>
      </c>
      <c r="V314" s="15" t="s">
        <v>789</v>
      </c>
      <c r="W314" s="15" t="s">
        <v>790</v>
      </c>
      <c r="X314" s="15" t="s">
        <v>120</v>
      </c>
      <c r="Y314" s="18"/>
      <c r="Z314" s="15" t="s">
        <v>120</v>
      </c>
      <c r="AA314" s="18"/>
      <c r="AB314" s="15" t="s">
        <v>120</v>
      </c>
      <c r="AC314" s="15" t="s">
        <v>120</v>
      </c>
      <c r="AD314" s="18"/>
      <c r="AE314" s="15" t="s">
        <v>120</v>
      </c>
      <c r="AF314" s="18"/>
      <c r="AG314" s="15" t="s">
        <v>120</v>
      </c>
      <c r="AH314" s="18"/>
      <c r="AI314" s="15" t="s">
        <v>120</v>
      </c>
      <c r="AJ314" s="18"/>
      <c r="AK314" s="18"/>
      <c r="AL314" s="15" t="s">
        <v>156</v>
      </c>
      <c r="AM314" s="15" t="s">
        <v>185</v>
      </c>
      <c r="AN314" s="15" t="s">
        <v>126</v>
      </c>
      <c r="AO314" s="15" t="s">
        <v>138</v>
      </c>
      <c r="AP314" s="15"/>
    </row>
    <row r="315" ht="22.5" customHeight="1">
      <c r="A315" s="15" t="s">
        <v>3971</v>
      </c>
      <c r="B315" s="15" t="s">
        <v>2220</v>
      </c>
      <c r="C315" s="15" t="s">
        <v>3972</v>
      </c>
      <c r="D315" s="41">
        <v>40894.0</v>
      </c>
      <c r="E315" s="15" t="s">
        <v>177</v>
      </c>
      <c r="F315" s="15">
        <v>7.771751687E9</v>
      </c>
      <c r="G315" s="15" t="s">
        <v>3973</v>
      </c>
      <c r="H315" s="15" t="s">
        <v>101</v>
      </c>
      <c r="I315" s="18"/>
      <c r="J315" s="15" t="s">
        <v>2229</v>
      </c>
      <c r="K315" s="15" t="s">
        <v>2232</v>
      </c>
      <c r="L315" s="15">
        <v>5.534621137E9</v>
      </c>
      <c r="M315" s="18"/>
      <c r="N315" s="18"/>
      <c r="O315" s="18"/>
      <c r="P315" s="20">
        <v>14.0</v>
      </c>
      <c r="Q315" s="22">
        <v>46021.5772337963</v>
      </c>
      <c r="R315" s="15" t="s">
        <v>107</v>
      </c>
      <c r="S315" s="15" t="s">
        <v>109</v>
      </c>
      <c r="T315" s="15" t="s">
        <v>204</v>
      </c>
      <c r="U315" s="15" t="s">
        <v>205</v>
      </c>
      <c r="V315" s="15" t="s">
        <v>206</v>
      </c>
      <c r="W315" s="15" t="s">
        <v>207</v>
      </c>
      <c r="X315" s="15" t="s">
        <v>120</v>
      </c>
      <c r="Y315" s="18"/>
      <c r="Z315" s="15" t="s">
        <v>120</v>
      </c>
      <c r="AA315" s="18"/>
      <c r="AB315" s="15" t="s">
        <v>120</v>
      </c>
      <c r="AC315" s="15" t="s">
        <v>120</v>
      </c>
      <c r="AD315" s="18"/>
      <c r="AE315" s="15" t="s">
        <v>120</v>
      </c>
      <c r="AF315" s="18"/>
      <c r="AG315" s="15" t="s">
        <v>120</v>
      </c>
      <c r="AH315" s="18"/>
      <c r="AI315" s="15" t="s">
        <v>120</v>
      </c>
      <c r="AJ315" s="18"/>
      <c r="AK315" s="18"/>
      <c r="AL315" s="15" t="s">
        <v>126</v>
      </c>
      <c r="AM315" s="15" t="s">
        <v>185</v>
      </c>
      <c r="AN315" s="15" t="s">
        <v>242</v>
      </c>
      <c r="AO315" s="15" t="s">
        <v>138</v>
      </c>
      <c r="AP315" s="15"/>
    </row>
    <row r="316" ht="22.5" customHeight="1">
      <c r="A316" s="15" t="s">
        <v>3974</v>
      </c>
      <c r="B316" s="15" t="s">
        <v>3975</v>
      </c>
      <c r="C316" s="15" t="s">
        <v>3976</v>
      </c>
      <c r="D316" s="41">
        <v>40065.0</v>
      </c>
      <c r="E316" s="15" t="s">
        <v>177</v>
      </c>
      <c r="F316" s="15">
        <v>5.570495691E9</v>
      </c>
      <c r="G316" s="15" t="s">
        <v>3977</v>
      </c>
      <c r="H316" s="15" t="s">
        <v>150</v>
      </c>
      <c r="I316" s="23" t="s">
        <v>584</v>
      </c>
      <c r="J316" s="15" t="s">
        <v>3978</v>
      </c>
      <c r="K316" s="15" t="s">
        <v>3979</v>
      </c>
      <c r="L316" s="15">
        <v>5.534224358E9</v>
      </c>
      <c r="M316" s="18"/>
      <c r="N316" s="18"/>
      <c r="O316" s="18"/>
      <c r="P316" s="20">
        <v>16.0</v>
      </c>
      <c r="Q316" s="22">
        <v>46036.87761574074</v>
      </c>
      <c r="R316" s="15" t="s">
        <v>107</v>
      </c>
      <c r="S316" s="15" t="s">
        <v>109</v>
      </c>
      <c r="T316" s="15" t="s">
        <v>192</v>
      </c>
      <c r="U316" s="15" t="s">
        <v>505</v>
      </c>
      <c r="V316" s="15" t="s">
        <v>506</v>
      </c>
      <c r="W316" s="15" t="s">
        <v>507</v>
      </c>
      <c r="X316" s="15" t="s">
        <v>120</v>
      </c>
      <c r="Y316" s="18"/>
      <c r="Z316" s="15" t="s">
        <v>120</v>
      </c>
      <c r="AA316" s="18"/>
      <c r="AB316" s="15" t="s">
        <v>120</v>
      </c>
      <c r="AC316" s="18"/>
      <c r="AD316" s="18"/>
      <c r="AE316" s="15" t="s">
        <v>120</v>
      </c>
      <c r="AF316" s="18"/>
      <c r="AG316" s="15" t="s">
        <v>120</v>
      </c>
      <c r="AH316" s="18"/>
      <c r="AI316" s="15" t="s">
        <v>120</v>
      </c>
      <c r="AJ316" s="18"/>
      <c r="AK316" s="18"/>
      <c r="AL316" s="15" t="s">
        <v>216</v>
      </c>
      <c r="AM316" s="15" t="s">
        <v>185</v>
      </c>
      <c r="AN316" s="15" t="s">
        <v>138</v>
      </c>
      <c r="AO316" s="15" t="s">
        <v>124</v>
      </c>
      <c r="AP316" s="15"/>
    </row>
    <row r="317" ht="22.5" customHeight="1">
      <c r="A317" s="15" t="s">
        <v>3980</v>
      </c>
      <c r="B317" s="15" t="s">
        <v>891</v>
      </c>
      <c r="C317" s="15" t="s">
        <v>3981</v>
      </c>
      <c r="D317" s="41">
        <v>40124.0</v>
      </c>
      <c r="E317" s="15" t="s">
        <v>177</v>
      </c>
      <c r="F317" s="18" t="str">
        <f>+52 55 7507 8974</f>
        <v>#ERROR!</v>
      </c>
      <c r="G317" s="15" t="s">
        <v>3982</v>
      </c>
      <c r="H317" s="15" t="s">
        <v>150</v>
      </c>
      <c r="I317" s="18"/>
      <c r="J317" s="15" t="s">
        <v>3983</v>
      </c>
      <c r="K317" s="15" t="s">
        <v>3984</v>
      </c>
      <c r="L317" s="15">
        <v>5.610667684E9</v>
      </c>
      <c r="M317" s="15" t="s">
        <v>897</v>
      </c>
      <c r="N317" s="15" t="s">
        <v>3985</v>
      </c>
      <c r="O317" s="15">
        <v>5.628280987E9</v>
      </c>
      <c r="P317" s="20">
        <v>16.0</v>
      </c>
      <c r="Q317" s="22">
        <v>46027.55087962963</v>
      </c>
      <c r="R317" s="15" t="s">
        <v>107</v>
      </c>
      <c r="S317" s="15" t="s">
        <v>109</v>
      </c>
      <c r="T317" s="15" t="s">
        <v>127</v>
      </c>
      <c r="U317" s="15" t="s">
        <v>672</v>
      </c>
      <c r="V317" s="15" t="s">
        <v>673</v>
      </c>
      <c r="W317" s="15" t="s">
        <v>674</v>
      </c>
      <c r="X317" s="15" t="s">
        <v>120</v>
      </c>
      <c r="Y317" s="18"/>
      <c r="Z317" s="15" t="s">
        <v>120</v>
      </c>
      <c r="AA317" s="18"/>
      <c r="AB317" s="15" t="s">
        <v>120</v>
      </c>
      <c r="AC317" s="15" t="s">
        <v>120</v>
      </c>
      <c r="AD317" s="18"/>
      <c r="AE317" s="15" t="s">
        <v>120</v>
      </c>
      <c r="AF317" s="18"/>
      <c r="AG317" s="15" t="s">
        <v>120</v>
      </c>
      <c r="AH317" s="18"/>
      <c r="AI317" s="15" t="s">
        <v>120</v>
      </c>
      <c r="AJ317" s="18"/>
      <c r="AK317" s="18"/>
      <c r="AL317" s="15" t="s">
        <v>138</v>
      </c>
      <c r="AM317" s="15" t="s">
        <v>242</v>
      </c>
      <c r="AN317" s="15" t="s">
        <v>185</v>
      </c>
      <c r="AO317" s="15" t="s">
        <v>124</v>
      </c>
      <c r="AP317" s="15"/>
    </row>
    <row r="318" ht="22.5" customHeight="1">
      <c r="A318" s="15" t="s">
        <v>1854</v>
      </c>
      <c r="B318" s="15" t="s">
        <v>1855</v>
      </c>
      <c r="C318" s="15" t="s">
        <v>1856</v>
      </c>
      <c r="D318" s="41">
        <v>41033.0</v>
      </c>
      <c r="E318" s="15" t="s">
        <v>177</v>
      </c>
      <c r="F318" s="15">
        <v>5.635348445E9</v>
      </c>
      <c r="G318" s="15" t="s">
        <v>1860</v>
      </c>
      <c r="H318" s="15" t="s">
        <v>101</v>
      </c>
      <c r="I318" s="18"/>
      <c r="J318" s="15" t="s">
        <v>1861</v>
      </c>
      <c r="K318" s="15" t="s">
        <v>1863</v>
      </c>
      <c r="L318" s="15">
        <v>5.542196096E9</v>
      </c>
      <c r="M318" s="15" t="s">
        <v>1864</v>
      </c>
      <c r="N318" s="15" t="s">
        <v>1868</v>
      </c>
      <c r="O318" s="15">
        <v>5.528508502E9</v>
      </c>
      <c r="P318" s="20">
        <v>13.0</v>
      </c>
      <c r="Q318" s="22">
        <v>46040.583715277775</v>
      </c>
      <c r="R318" s="15" t="s">
        <v>107</v>
      </c>
      <c r="S318" s="15" t="s">
        <v>109</v>
      </c>
      <c r="T318" s="15" t="s">
        <v>171</v>
      </c>
      <c r="U318" s="15" t="s">
        <v>1474</v>
      </c>
      <c r="V318" s="15" t="s">
        <v>1475</v>
      </c>
      <c r="W318" s="15" t="s">
        <v>1476</v>
      </c>
      <c r="X318" s="15" t="s">
        <v>120</v>
      </c>
      <c r="Y318" s="18"/>
      <c r="Z318" s="15" t="s">
        <v>117</v>
      </c>
      <c r="AA318" s="52" t="s">
        <v>1875</v>
      </c>
      <c r="AB318" s="15" t="s">
        <v>117</v>
      </c>
      <c r="AC318" s="15" t="s">
        <v>117</v>
      </c>
      <c r="AD318" s="15" t="s">
        <v>1876</v>
      </c>
      <c r="AE318" s="15" t="s">
        <v>117</v>
      </c>
      <c r="AF318" s="15" t="s">
        <v>1878</v>
      </c>
      <c r="AG318" s="15" t="s">
        <v>120</v>
      </c>
      <c r="AH318" s="18"/>
      <c r="AI318" s="15" t="s">
        <v>120</v>
      </c>
      <c r="AJ318" s="18"/>
      <c r="AK318" s="15" t="s">
        <v>1880</v>
      </c>
      <c r="AL318" s="15" t="s">
        <v>185</v>
      </c>
      <c r="AM318" s="15" t="s">
        <v>126</v>
      </c>
      <c r="AN318" s="15" t="s">
        <v>216</v>
      </c>
      <c r="AO318" s="15" t="s">
        <v>242</v>
      </c>
      <c r="AP318" s="15"/>
    </row>
    <row r="319" ht="22.5" customHeight="1">
      <c r="A319" s="15" t="s">
        <v>3986</v>
      </c>
      <c r="B319" s="15" t="s">
        <v>3348</v>
      </c>
      <c r="C319" s="15" t="s">
        <v>3987</v>
      </c>
      <c r="D319" s="41">
        <v>40867.0</v>
      </c>
      <c r="E319" s="15" t="s">
        <v>98</v>
      </c>
      <c r="F319" s="15">
        <v>5.540761768E9</v>
      </c>
      <c r="G319" s="15" t="s">
        <v>3351</v>
      </c>
      <c r="H319" s="15" t="s">
        <v>140</v>
      </c>
      <c r="I319" s="18"/>
      <c r="J319" s="15" t="s">
        <v>3352</v>
      </c>
      <c r="K319" s="15" t="s">
        <v>3351</v>
      </c>
      <c r="L319" s="15" t="s">
        <v>3353</v>
      </c>
      <c r="M319" s="18"/>
      <c r="N319" s="18"/>
      <c r="O319" s="18"/>
      <c r="P319" s="20">
        <v>14.0</v>
      </c>
      <c r="Q319" s="22">
        <v>46040.940347222226</v>
      </c>
      <c r="R319" s="15" t="s">
        <v>107</v>
      </c>
      <c r="S319" s="15" t="s">
        <v>109</v>
      </c>
      <c r="T319" s="15" t="s">
        <v>192</v>
      </c>
      <c r="U319" s="15" t="s">
        <v>485</v>
      </c>
      <c r="V319" s="15" t="s">
        <v>486</v>
      </c>
      <c r="W319" s="15" t="s">
        <v>487</v>
      </c>
      <c r="X319" s="15" t="s">
        <v>120</v>
      </c>
      <c r="Y319" s="18"/>
      <c r="Z319" s="15" t="s">
        <v>120</v>
      </c>
      <c r="AA319" s="18"/>
      <c r="AB319" s="15" t="s">
        <v>120</v>
      </c>
      <c r="AC319" s="15" t="s">
        <v>120</v>
      </c>
      <c r="AD319" s="18"/>
      <c r="AE319" s="15" t="s">
        <v>120</v>
      </c>
      <c r="AF319" s="18"/>
      <c r="AG319" s="15" t="s">
        <v>120</v>
      </c>
      <c r="AH319" s="18"/>
      <c r="AI319" s="15" t="s">
        <v>120</v>
      </c>
      <c r="AJ319" s="18"/>
      <c r="AK319" s="18"/>
      <c r="AL319" s="15" t="s">
        <v>242</v>
      </c>
      <c r="AM319" s="15" t="s">
        <v>124</v>
      </c>
      <c r="AN319" s="15" t="s">
        <v>138</v>
      </c>
      <c r="AO319" s="15" t="s">
        <v>128</v>
      </c>
      <c r="AP319" s="15"/>
    </row>
    <row r="320" ht="22.5" customHeight="1">
      <c r="A320" s="15" t="s">
        <v>3988</v>
      </c>
      <c r="B320" s="15" t="s">
        <v>3989</v>
      </c>
      <c r="C320" s="15" t="s">
        <v>3990</v>
      </c>
      <c r="D320" s="41">
        <v>39630.0</v>
      </c>
      <c r="E320" s="15" t="s">
        <v>177</v>
      </c>
      <c r="F320" s="15">
        <v>5.512346255E9</v>
      </c>
      <c r="G320" s="15" t="s">
        <v>3991</v>
      </c>
      <c r="H320" s="15" t="s">
        <v>150</v>
      </c>
      <c r="I320" s="18"/>
      <c r="J320" s="15" t="s">
        <v>3992</v>
      </c>
      <c r="K320" s="15" t="s">
        <v>3993</v>
      </c>
      <c r="L320" s="15">
        <v>5.545530714E9</v>
      </c>
      <c r="M320" s="18"/>
      <c r="N320" s="18"/>
      <c r="O320" s="18"/>
      <c r="P320" s="20">
        <v>17.0</v>
      </c>
      <c r="Q320" s="22">
        <v>46041.504791666666</v>
      </c>
      <c r="R320" s="15" t="s">
        <v>107</v>
      </c>
      <c r="S320" s="15" t="s">
        <v>109</v>
      </c>
      <c r="T320" s="15" t="s">
        <v>111</v>
      </c>
      <c r="U320" s="15" t="s">
        <v>2283</v>
      </c>
      <c r="V320" s="15" t="s">
        <v>2285</v>
      </c>
      <c r="W320" s="15" t="s">
        <v>2286</v>
      </c>
      <c r="X320" s="15" t="s">
        <v>120</v>
      </c>
      <c r="Y320" s="18"/>
      <c r="Z320" s="15" t="s">
        <v>120</v>
      </c>
      <c r="AA320" s="18"/>
      <c r="AB320" s="15" t="s">
        <v>120</v>
      </c>
      <c r="AC320" s="18"/>
      <c r="AD320" s="18"/>
      <c r="AE320" s="15" t="s">
        <v>120</v>
      </c>
      <c r="AF320" s="18"/>
      <c r="AG320" s="15" t="s">
        <v>120</v>
      </c>
      <c r="AH320" s="18"/>
      <c r="AI320" s="15" t="s">
        <v>120</v>
      </c>
      <c r="AJ320" s="18"/>
      <c r="AK320" s="18"/>
      <c r="AL320" s="15" t="s">
        <v>128</v>
      </c>
      <c r="AM320" s="15" t="s">
        <v>185</v>
      </c>
      <c r="AN320" s="15" t="s">
        <v>156</v>
      </c>
      <c r="AO320" s="15" t="s">
        <v>124</v>
      </c>
      <c r="AP320" s="15"/>
    </row>
    <row r="321" ht="22.5" customHeight="1">
      <c r="A321" s="15" t="s">
        <v>3994</v>
      </c>
      <c r="B321" s="15" t="s">
        <v>3995</v>
      </c>
      <c r="C321" s="15" t="s">
        <v>3996</v>
      </c>
      <c r="D321" s="41">
        <v>40093.0</v>
      </c>
      <c r="E321" s="15" t="s">
        <v>98</v>
      </c>
      <c r="F321" s="15">
        <v>5.565243628E9</v>
      </c>
      <c r="G321" s="15" t="s">
        <v>3997</v>
      </c>
      <c r="H321" s="15" t="s">
        <v>140</v>
      </c>
      <c r="I321" s="23" t="s">
        <v>783</v>
      </c>
      <c r="J321" s="15" t="s">
        <v>3998</v>
      </c>
      <c r="K321" s="15" t="s">
        <v>3999</v>
      </c>
      <c r="L321" s="15">
        <v>5.568794778E9</v>
      </c>
      <c r="M321" s="15" t="s">
        <v>4000</v>
      </c>
      <c r="N321" s="15" t="s">
        <v>4001</v>
      </c>
      <c r="O321" s="15">
        <v>5.539691329E9</v>
      </c>
      <c r="P321" s="20">
        <v>16.0</v>
      </c>
      <c r="Q321" s="22">
        <v>46019.67239583333</v>
      </c>
      <c r="R321" s="15" t="s">
        <v>546</v>
      </c>
      <c r="S321" s="15" t="s">
        <v>109</v>
      </c>
      <c r="T321" s="15" t="s">
        <v>127</v>
      </c>
      <c r="U321" s="15" t="s">
        <v>531</v>
      </c>
      <c r="V321" s="15" t="s">
        <v>532</v>
      </c>
      <c r="W321" s="15" t="s">
        <v>534</v>
      </c>
      <c r="X321" s="15" t="s">
        <v>120</v>
      </c>
      <c r="Y321" s="15" t="s">
        <v>783</v>
      </c>
      <c r="Z321" s="15" t="s">
        <v>120</v>
      </c>
      <c r="AA321" s="15" t="s">
        <v>783</v>
      </c>
      <c r="AB321" s="15" t="s">
        <v>120</v>
      </c>
      <c r="AC321" s="15" t="s">
        <v>120</v>
      </c>
      <c r="AD321" s="15" t="s">
        <v>783</v>
      </c>
      <c r="AE321" s="15" t="s">
        <v>120</v>
      </c>
      <c r="AF321" s="15" t="s">
        <v>783</v>
      </c>
      <c r="AG321" s="15" t="s">
        <v>120</v>
      </c>
      <c r="AH321" s="15" t="s">
        <v>783</v>
      </c>
      <c r="AI321" s="15" t="s">
        <v>120</v>
      </c>
      <c r="AJ321" s="15" t="s">
        <v>783</v>
      </c>
      <c r="AK321" s="15" t="s">
        <v>783</v>
      </c>
      <c r="AL321" s="15" t="s">
        <v>129</v>
      </c>
      <c r="AM321" s="15" t="s">
        <v>124</v>
      </c>
      <c r="AN321" s="15" t="s">
        <v>138</v>
      </c>
      <c r="AO321" s="15" t="s">
        <v>185</v>
      </c>
      <c r="AP321" s="15"/>
    </row>
    <row r="322" ht="22.5" customHeight="1">
      <c r="A322" s="15" t="s">
        <v>1690</v>
      </c>
      <c r="B322" s="15" t="s">
        <v>1691</v>
      </c>
      <c r="C322" s="15" t="s">
        <v>1692</v>
      </c>
      <c r="D322" s="41">
        <v>40575.0</v>
      </c>
      <c r="E322" s="15" t="s">
        <v>177</v>
      </c>
      <c r="F322" s="15">
        <v>5.544044844E9</v>
      </c>
      <c r="G322" s="15" t="s">
        <v>1693</v>
      </c>
      <c r="H322" s="15" t="s">
        <v>101</v>
      </c>
      <c r="I322" s="18"/>
      <c r="J322" s="15" t="s">
        <v>1694</v>
      </c>
      <c r="K322" s="15" t="s">
        <v>1697</v>
      </c>
      <c r="L322" s="15">
        <v>5.583677919E9</v>
      </c>
      <c r="M322" s="18"/>
      <c r="N322" s="18"/>
      <c r="O322" s="18"/>
      <c r="P322" s="20">
        <v>15.0</v>
      </c>
      <c r="Q322" s="22">
        <v>46039.514328703706</v>
      </c>
      <c r="R322" s="15" t="s">
        <v>107</v>
      </c>
      <c r="S322" s="15" t="s">
        <v>109</v>
      </c>
      <c r="T322" s="15" t="s">
        <v>204</v>
      </c>
      <c r="U322" s="15" t="s">
        <v>367</v>
      </c>
      <c r="V322" s="15" t="s">
        <v>368</v>
      </c>
      <c r="W322" s="15" t="s">
        <v>369</v>
      </c>
      <c r="X322" s="15" t="s">
        <v>120</v>
      </c>
      <c r="Y322" s="18"/>
      <c r="Z322" s="15" t="s">
        <v>117</v>
      </c>
      <c r="AA322" s="58" t="s">
        <v>1708</v>
      </c>
      <c r="AB322" s="15" t="s">
        <v>120</v>
      </c>
      <c r="AC322" s="15" t="s">
        <v>120</v>
      </c>
      <c r="AD322" s="18"/>
      <c r="AE322" s="15" t="s">
        <v>120</v>
      </c>
      <c r="AF322" s="18"/>
      <c r="AG322" s="15" t="s">
        <v>120</v>
      </c>
      <c r="AH322" s="18"/>
      <c r="AI322" s="15" t="s">
        <v>117</v>
      </c>
      <c r="AJ322" s="15" t="s">
        <v>1711</v>
      </c>
      <c r="AK322" s="18"/>
      <c r="AL322" s="15" t="s">
        <v>156</v>
      </c>
      <c r="AM322" s="15" t="s">
        <v>185</v>
      </c>
      <c r="AN322" s="15" t="s">
        <v>128</v>
      </c>
      <c r="AO322" s="15" t="s">
        <v>240</v>
      </c>
      <c r="AP322" s="15"/>
    </row>
    <row r="323" ht="22.5" customHeight="1">
      <c r="A323" s="15" t="s">
        <v>4009</v>
      </c>
      <c r="B323" s="15" t="s">
        <v>4010</v>
      </c>
      <c r="C323" s="15" t="s">
        <v>4011</v>
      </c>
      <c r="D323" s="41">
        <v>41250.0</v>
      </c>
      <c r="E323" s="15" t="s">
        <v>98</v>
      </c>
      <c r="F323" s="15">
        <v>5.510258319E9</v>
      </c>
      <c r="G323" s="15" t="s">
        <v>4012</v>
      </c>
      <c r="H323" s="15" t="s">
        <v>140</v>
      </c>
      <c r="I323" s="18"/>
      <c r="J323" s="15" t="s">
        <v>4013</v>
      </c>
      <c r="K323" s="15" t="s">
        <v>4014</v>
      </c>
      <c r="L323" s="15">
        <v>5.510258319E9</v>
      </c>
      <c r="M323" s="18"/>
      <c r="N323" s="18"/>
      <c r="O323" s="18"/>
      <c r="P323" s="20">
        <v>13.0</v>
      </c>
      <c r="Q323" s="22">
        <v>46040.94819444444</v>
      </c>
      <c r="R323" s="15" t="s">
        <v>260</v>
      </c>
      <c r="S323" s="15" t="s">
        <v>109</v>
      </c>
      <c r="T323" s="15" t="s">
        <v>160</v>
      </c>
      <c r="U323" s="15" t="s">
        <v>1265</v>
      </c>
      <c r="V323" s="15" t="s">
        <v>1267</v>
      </c>
      <c r="W323" s="15" t="s">
        <v>1268</v>
      </c>
      <c r="X323" s="15" t="s">
        <v>120</v>
      </c>
      <c r="Y323" s="18"/>
      <c r="Z323" s="15" t="s">
        <v>117</v>
      </c>
      <c r="AA323" s="67" t="s">
        <v>4015</v>
      </c>
      <c r="AB323" s="15" t="s">
        <v>120</v>
      </c>
      <c r="AC323" s="18"/>
      <c r="AD323" s="18"/>
      <c r="AE323" s="15" t="s">
        <v>120</v>
      </c>
      <c r="AF323" s="18"/>
      <c r="AG323" s="15" t="s">
        <v>120</v>
      </c>
      <c r="AH323" s="18"/>
      <c r="AI323" s="15" t="s">
        <v>120</v>
      </c>
      <c r="AJ323" s="18"/>
      <c r="AK323" s="18"/>
      <c r="AL323" s="15" t="s">
        <v>242</v>
      </c>
      <c r="AM323" s="15" t="s">
        <v>138</v>
      </c>
      <c r="AN323" s="15" t="s">
        <v>240</v>
      </c>
      <c r="AO323" s="15" t="s">
        <v>156</v>
      </c>
      <c r="AP323" s="15"/>
    </row>
    <row r="324" ht="22.5" customHeight="1">
      <c r="A324" s="15" t="s">
        <v>1884</v>
      </c>
      <c r="B324" s="15" t="s">
        <v>1885</v>
      </c>
      <c r="C324" s="15" t="s">
        <v>1886</v>
      </c>
      <c r="D324" s="41">
        <v>40529.0</v>
      </c>
      <c r="E324" s="15" t="s">
        <v>98</v>
      </c>
      <c r="F324" s="15">
        <v>5.626599942E9</v>
      </c>
      <c r="G324" s="15" t="s">
        <v>1893</v>
      </c>
      <c r="H324" s="15" t="s">
        <v>101</v>
      </c>
      <c r="I324" s="18"/>
      <c r="J324" s="15" t="s">
        <v>1896</v>
      </c>
      <c r="K324" s="15" t="s">
        <v>1898</v>
      </c>
      <c r="L324" s="15">
        <v>5.522527367E9</v>
      </c>
      <c r="M324" s="15" t="s">
        <v>1902</v>
      </c>
      <c r="N324" s="15" t="s">
        <v>1904</v>
      </c>
      <c r="O324" s="15">
        <v>5.517298132E9</v>
      </c>
      <c r="P324" s="20">
        <v>15.0</v>
      </c>
      <c r="Q324" s="22">
        <v>46024.79935185185</v>
      </c>
      <c r="R324" s="15" t="s">
        <v>107</v>
      </c>
      <c r="S324" s="15" t="s">
        <v>109</v>
      </c>
      <c r="T324" s="15" t="s">
        <v>127</v>
      </c>
      <c r="U324" s="15" t="s">
        <v>531</v>
      </c>
      <c r="V324" s="15" t="s">
        <v>532</v>
      </c>
      <c r="W324" s="15" t="s">
        <v>534</v>
      </c>
      <c r="X324" s="15" t="s">
        <v>120</v>
      </c>
      <c r="Y324" s="18"/>
      <c r="Z324" s="15" t="s">
        <v>117</v>
      </c>
      <c r="AA324" s="52" t="s">
        <v>1910</v>
      </c>
      <c r="AB324" s="15" t="s">
        <v>117</v>
      </c>
      <c r="AC324" s="15" t="s">
        <v>117</v>
      </c>
      <c r="AD324" s="15" t="s">
        <v>1053</v>
      </c>
      <c r="AE324" s="15" t="s">
        <v>120</v>
      </c>
      <c r="AF324" s="18"/>
      <c r="AG324" s="15" t="s">
        <v>120</v>
      </c>
      <c r="AH324" s="18"/>
      <c r="AI324" s="15" t="s">
        <v>120</v>
      </c>
      <c r="AJ324" s="18"/>
      <c r="AK324" s="18"/>
      <c r="AL324" s="15" t="s">
        <v>185</v>
      </c>
      <c r="AM324" s="15" t="s">
        <v>216</v>
      </c>
      <c r="AN324" s="15" t="s">
        <v>126</v>
      </c>
      <c r="AO324" s="15" t="s">
        <v>129</v>
      </c>
      <c r="AP324" s="15"/>
    </row>
    <row r="325" ht="22.5" customHeight="1">
      <c r="A325" s="15" t="s">
        <v>4027</v>
      </c>
      <c r="B325" s="15" t="s">
        <v>4028</v>
      </c>
      <c r="C325" s="15" t="s">
        <v>4029</v>
      </c>
      <c r="D325" s="41">
        <v>41255.0</v>
      </c>
      <c r="E325" s="15" t="s">
        <v>177</v>
      </c>
      <c r="F325" s="15">
        <v>5.588304293E9</v>
      </c>
      <c r="G325" s="15" t="s">
        <v>4030</v>
      </c>
      <c r="H325" s="15" t="s">
        <v>140</v>
      </c>
      <c r="I325" s="23" t="s">
        <v>4031</v>
      </c>
      <c r="J325" s="15" t="s">
        <v>4032</v>
      </c>
      <c r="K325" s="15" t="s">
        <v>4033</v>
      </c>
      <c r="L325" s="15">
        <v>5.588304293E9</v>
      </c>
      <c r="M325" s="15" t="s">
        <v>4034</v>
      </c>
      <c r="N325" s="15" t="s">
        <v>4035</v>
      </c>
      <c r="O325" s="15">
        <v>5.560475132E9</v>
      </c>
      <c r="P325" s="20">
        <v>13.0</v>
      </c>
      <c r="Q325" s="22">
        <v>46038.92408564815</v>
      </c>
      <c r="R325" s="15" t="s">
        <v>107</v>
      </c>
      <c r="S325" s="15" t="s">
        <v>109</v>
      </c>
      <c r="T325" s="15" t="s">
        <v>160</v>
      </c>
      <c r="U325" s="15" t="s">
        <v>308</v>
      </c>
      <c r="V325" s="15" t="s">
        <v>309</v>
      </c>
      <c r="W325" s="15" t="s">
        <v>310</v>
      </c>
      <c r="X325" s="15" t="s">
        <v>120</v>
      </c>
      <c r="Y325" s="18"/>
      <c r="Z325" s="15" t="s">
        <v>117</v>
      </c>
      <c r="AA325" s="58" t="s">
        <v>4036</v>
      </c>
      <c r="AB325" s="15" t="s">
        <v>120</v>
      </c>
      <c r="AC325" s="18"/>
      <c r="AD325" s="18"/>
      <c r="AE325" s="15" t="s">
        <v>120</v>
      </c>
      <c r="AF325" s="18"/>
      <c r="AG325" s="15" t="s">
        <v>120</v>
      </c>
      <c r="AH325" s="18"/>
      <c r="AI325" s="15" t="s">
        <v>120</v>
      </c>
      <c r="AJ325" s="18"/>
      <c r="AK325" s="15" t="s">
        <v>4037</v>
      </c>
      <c r="AL325" s="15" t="s">
        <v>240</v>
      </c>
      <c r="AM325" s="15" t="s">
        <v>138</v>
      </c>
      <c r="AN325" s="15" t="s">
        <v>124</v>
      </c>
      <c r="AO325" s="15" t="s">
        <v>141</v>
      </c>
      <c r="AP325" s="15"/>
    </row>
    <row r="326" ht="22.5" customHeight="1">
      <c r="A326" s="15" t="s">
        <v>4038</v>
      </c>
      <c r="B326" s="15" t="s">
        <v>4039</v>
      </c>
      <c r="C326" s="15" t="s">
        <v>4040</v>
      </c>
      <c r="D326" s="41">
        <v>41210.0</v>
      </c>
      <c r="E326" s="15" t="s">
        <v>98</v>
      </c>
      <c r="F326" s="15">
        <v>5.527064934E9</v>
      </c>
      <c r="G326" s="15" t="s">
        <v>3860</v>
      </c>
      <c r="H326" s="15" t="s">
        <v>150</v>
      </c>
      <c r="I326" s="18"/>
      <c r="J326" s="15" t="s">
        <v>4041</v>
      </c>
      <c r="K326" s="15" t="s">
        <v>4042</v>
      </c>
      <c r="L326" s="15">
        <v>5.52321027E9</v>
      </c>
      <c r="M326" s="18"/>
      <c r="N326" s="18"/>
      <c r="O326" s="18"/>
      <c r="P326" s="20">
        <v>13.0</v>
      </c>
      <c r="Q326" s="22">
        <v>46037.93357638889</v>
      </c>
      <c r="R326" s="15" t="s">
        <v>107</v>
      </c>
      <c r="S326" s="15" t="s">
        <v>109</v>
      </c>
      <c r="T326" s="15" t="s">
        <v>208</v>
      </c>
      <c r="U326" s="15" t="s">
        <v>1599</v>
      </c>
      <c r="V326" s="15" t="s">
        <v>1600</v>
      </c>
      <c r="W326" s="15" t="s">
        <v>1602</v>
      </c>
      <c r="X326" s="15" t="s">
        <v>120</v>
      </c>
      <c r="Y326" s="18"/>
      <c r="Z326" s="15" t="s">
        <v>120</v>
      </c>
      <c r="AA326" s="18"/>
      <c r="AB326" s="15" t="s">
        <v>120</v>
      </c>
      <c r="AC326" s="15" t="s">
        <v>120</v>
      </c>
      <c r="AD326" s="18"/>
      <c r="AE326" s="15" t="s">
        <v>120</v>
      </c>
      <c r="AF326" s="18"/>
      <c r="AG326" s="15" t="s">
        <v>120</v>
      </c>
      <c r="AH326" s="18"/>
      <c r="AI326" s="15" t="s">
        <v>120</v>
      </c>
      <c r="AJ326" s="18"/>
      <c r="AK326" s="18"/>
      <c r="AL326" s="15" t="s">
        <v>138</v>
      </c>
      <c r="AM326" s="15" t="s">
        <v>126</v>
      </c>
      <c r="AN326" s="15" t="s">
        <v>124</v>
      </c>
      <c r="AO326" s="15" t="s">
        <v>242</v>
      </c>
      <c r="AP326" s="15"/>
    </row>
    <row r="327" ht="22.5" customHeight="1">
      <c r="A327" s="15" t="s">
        <v>4043</v>
      </c>
      <c r="B327" s="15" t="s">
        <v>4044</v>
      </c>
      <c r="C327" s="15" t="s">
        <v>4045</v>
      </c>
      <c r="D327" s="41">
        <v>41259.0</v>
      </c>
      <c r="E327" s="15" t="s">
        <v>98</v>
      </c>
      <c r="F327" s="15" t="s">
        <v>4046</v>
      </c>
      <c r="G327" s="15" t="s">
        <v>4047</v>
      </c>
      <c r="H327" s="15" t="s">
        <v>101</v>
      </c>
      <c r="I327" s="18"/>
      <c r="J327" s="15" t="s">
        <v>4048</v>
      </c>
      <c r="K327" s="15" t="s">
        <v>4049</v>
      </c>
      <c r="L327" s="15" t="s">
        <v>4050</v>
      </c>
      <c r="M327" s="18"/>
      <c r="N327" s="18"/>
      <c r="O327" s="18"/>
      <c r="P327" s="20">
        <v>13.0</v>
      </c>
      <c r="Q327" s="22">
        <v>46031.55609953704</v>
      </c>
      <c r="R327" s="15" t="s">
        <v>107</v>
      </c>
      <c r="S327" s="15" t="s">
        <v>109</v>
      </c>
      <c r="T327" s="15" t="s">
        <v>171</v>
      </c>
      <c r="U327" s="15" t="s">
        <v>388</v>
      </c>
      <c r="V327" s="15" t="s">
        <v>389</v>
      </c>
      <c r="W327" s="15" t="s">
        <v>392</v>
      </c>
      <c r="X327" s="15" t="s">
        <v>120</v>
      </c>
      <c r="Y327" s="18"/>
      <c r="Z327" s="15" t="s">
        <v>120</v>
      </c>
      <c r="AA327" s="18"/>
      <c r="AB327" s="15" t="s">
        <v>120</v>
      </c>
      <c r="AC327" s="15" t="s">
        <v>120</v>
      </c>
      <c r="AD327" s="18"/>
      <c r="AE327" s="15" t="s">
        <v>120</v>
      </c>
      <c r="AF327" s="18"/>
      <c r="AG327" s="15" t="s">
        <v>120</v>
      </c>
      <c r="AH327" s="18"/>
      <c r="AI327" s="15" t="s">
        <v>120</v>
      </c>
      <c r="AJ327" s="18"/>
      <c r="AK327" s="18"/>
      <c r="AL327" s="15" t="s">
        <v>138</v>
      </c>
      <c r="AM327" s="15" t="s">
        <v>156</v>
      </c>
      <c r="AN327" s="15" t="s">
        <v>124</v>
      </c>
      <c r="AO327" s="15" t="s">
        <v>216</v>
      </c>
      <c r="AP327" s="15"/>
    </row>
    <row r="328" ht="22.5" customHeight="1">
      <c r="A328" s="15" t="s">
        <v>4051</v>
      </c>
      <c r="B328" s="15" t="s">
        <v>4052</v>
      </c>
      <c r="C328" s="15" t="s">
        <v>4053</v>
      </c>
      <c r="D328" s="41">
        <v>39970.0</v>
      </c>
      <c r="E328" s="15" t="s">
        <v>98</v>
      </c>
      <c r="F328" s="15" t="s">
        <v>4054</v>
      </c>
      <c r="G328" s="15" t="s">
        <v>4055</v>
      </c>
      <c r="H328" s="15" t="s">
        <v>140</v>
      </c>
      <c r="I328" s="18"/>
      <c r="J328" s="15" t="s">
        <v>4056</v>
      </c>
      <c r="K328" s="15" t="s">
        <v>2924</v>
      </c>
      <c r="L328" s="15">
        <v>5.649161588E9</v>
      </c>
      <c r="M328" s="18"/>
      <c r="N328" s="18"/>
      <c r="O328" s="18"/>
      <c r="P328" s="20">
        <v>16.0</v>
      </c>
      <c r="Q328" s="22">
        <v>46040.839270833334</v>
      </c>
      <c r="R328" s="15" t="s">
        <v>107</v>
      </c>
      <c r="S328" s="15" t="s">
        <v>109</v>
      </c>
      <c r="T328" s="15" t="s">
        <v>192</v>
      </c>
      <c r="U328" s="15" t="s">
        <v>609</v>
      </c>
      <c r="V328" s="15" t="s">
        <v>611</v>
      </c>
      <c r="W328" s="15" t="s">
        <v>612</v>
      </c>
      <c r="X328" s="15" t="s">
        <v>120</v>
      </c>
      <c r="Y328" s="18"/>
      <c r="Z328" s="15" t="s">
        <v>117</v>
      </c>
      <c r="AA328" s="58" t="s">
        <v>4057</v>
      </c>
      <c r="AB328" s="15" t="s">
        <v>120</v>
      </c>
      <c r="AC328" s="18"/>
      <c r="AD328" s="18"/>
      <c r="AE328" s="15" t="s">
        <v>120</v>
      </c>
      <c r="AF328" s="18"/>
      <c r="AG328" s="15" t="s">
        <v>120</v>
      </c>
      <c r="AH328" s="18"/>
      <c r="AI328" s="15" t="s">
        <v>120</v>
      </c>
      <c r="AJ328" s="18"/>
      <c r="AK328" s="18"/>
      <c r="AL328" s="15" t="s">
        <v>141</v>
      </c>
      <c r="AM328" s="15" t="s">
        <v>138</v>
      </c>
      <c r="AN328" s="15" t="s">
        <v>126</v>
      </c>
      <c r="AO328" s="15" t="s">
        <v>185</v>
      </c>
      <c r="AP328" s="15"/>
    </row>
    <row r="329" ht="22.5" customHeight="1">
      <c r="A329" s="15" t="s">
        <v>4058</v>
      </c>
      <c r="B329" s="15" t="s">
        <v>4059</v>
      </c>
      <c r="C329" s="15" t="s">
        <v>4060</v>
      </c>
      <c r="D329" s="41">
        <v>41008.0</v>
      </c>
      <c r="E329" s="15" t="s">
        <v>98</v>
      </c>
      <c r="F329" s="15">
        <v>5.561802706E9</v>
      </c>
      <c r="G329" s="15" t="s">
        <v>4061</v>
      </c>
      <c r="H329" s="15" t="s">
        <v>101</v>
      </c>
      <c r="I329" s="18"/>
      <c r="J329" s="15" t="s">
        <v>4062</v>
      </c>
      <c r="K329" s="15" t="s">
        <v>4061</v>
      </c>
      <c r="L329" s="15">
        <v>5.561802706E9</v>
      </c>
      <c r="M329" s="18"/>
      <c r="N329" s="18"/>
      <c r="O329" s="18"/>
      <c r="P329" s="20">
        <v>13.0</v>
      </c>
      <c r="Q329" s="22">
        <v>46036.79393518518</v>
      </c>
      <c r="R329" s="15" t="s">
        <v>107</v>
      </c>
      <c r="S329" s="15" t="s">
        <v>109</v>
      </c>
      <c r="T329" s="15" t="s">
        <v>171</v>
      </c>
      <c r="U329" s="15" t="s">
        <v>2149</v>
      </c>
      <c r="V329" s="15" t="s">
        <v>2141</v>
      </c>
      <c r="W329" s="15" t="s">
        <v>2151</v>
      </c>
      <c r="X329" s="15" t="s">
        <v>120</v>
      </c>
      <c r="Y329" s="18"/>
      <c r="Z329" s="15" t="s">
        <v>120</v>
      </c>
      <c r="AA329" s="18"/>
      <c r="AB329" s="15" t="s">
        <v>120</v>
      </c>
      <c r="AC329" s="15" t="s">
        <v>120</v>
      </c>
      <c r="AD329" s="18"/>
      <c r="AE329" s="15" t="s">
        <v>120</v>
      </c>
      <c r="AF329" s="18"/>
      <c r="AG329" s="15" t="s">
        <v>120</v>
      </c>
      <c r="AH329" s="18"/>
      <c r="AI329" s="15" t="s">
        <v>120</v>
      </c>
      <c r="AJ329" s="18"/>
      <c r="AK329" s="18"/>
      <c r="AL329" s="15" t="s">
        <v>124</v>
      </c>
      <c r="AM329" s="15" t="s">
        <v>129</v>
      </c>
      <c r="AN329" s="15" t="s">
        <v>156</v>
      </c>
      <c r="AO329" s="15" t="s">
        <v>242</v>
      </c>
      <c r="AP329" s="15"/>
    </row>
    <row r="330" ht="22.5" customHeight="1">
      <c r="A330" s="15" t="s">
        <v>1715</v>
      </c>
      <c r="B330" s="15" t="s">
        <v>1718</v>
      </c>
      <c r="C330" s="15" t="s">
        <v>1721</v>
      </c>
      <c r="D330" s="41">
        <v>39656.0</v>
      </c>
      <c r="E330" s="15" t="s">
        <v>98</v>
      </c>
      <c r="F330" s="15">
        <v>5.586817115E9</v>
      </c>
      <c r="G330" s="15" t="s">
        <v>1723</v>
      </c>
      <c r="H330" s="15" t="s">
        <v>150</v>
      </c>
      <c r="I330" s="18"/>
      <c r="J330" s="15" t="s">
        <v>1726</v>
      </c>
      <c r="K330" s="15" t="s">
        <v>1727</v>
      </c>
      <c r="L330" s="15">
        <v>5.565208788E9</v>
      </c>
      <c r="M330" s="18"/>
      <c r="N330" s="18"/>
      <c r="O330" s="18"/>
      <c r="P330" s="20">
        <v>17.0</v>
      </c>
      <c r="Q330" s="22">
        <v>46029.90769675926</v>
      </c>
      <c r="R330" s="15" t="s">
        <v>107</v>
      </c>
      <c r="S330" s="15" t="s">
        <v>109</v>
      </c>
      <c r="T330" s="15" t="s">
        <v>160</v>
      </c>
      <c r="U330" s="15" t="s">
        <v>1739</v>
      </c>
      <c r="V330" s="15" t="s">
        <v>1740</v>
      </c>
      <c r="W330" s="15" t="s">
        <v>1741</v>
      </c>
      <c r="X330" s="15" t="s">
        <v>120</v>
      </c>
      <c r="Y330" s="18"/>
      <c r="Z330" s="15" t="s">
        <v>120</v>
      </c>
      <c r="AA330" s="18"/>
      <c r="AB330" s="15" t="s">
        <v>120</v>
      </c>
      <c r="AC330" s="18"/>
      <c r="AD330" s="18"/>
      <c r="AE330" s="15" t="s">
        <v>120</v>
      </c>
      <c r="AF330" s="18"/>
      <c r="AG330" s="15" t="s">
        <v>120</v>
      </c>
      <c r="AH330" s="18"/>
      <c r="AI330" s="15" t="s">
        <v>117</v>
      </c>
      <c r="AJ330" s="15" t="s">
        <v>575</v>
      </c>
      <c r="AK330" s="18"/>
      <c r="AL330" s="15" t="s">
        <v>141</v>
      </c>
      <c r="AM330" s="15" t="s">
        <v>129</v>
      </c>
      <c r="AN330" s="15" t="s">
        <v>128</v>
      </c>
      <c r="AO330" s="15" t="s">
        <v>156</v>
      </c>
      <c r="AP330" s="15"/>
    </row>
    <row r="331" ht="22.5" customHeight="1">
      <c r="A331" s="15" t="s">
        <v>1914</v>
      </c>
      <c r="B331" s="15" t="s">
        <v>1916</v>
      </c>
      <c r="C331" s="15" t="s">
        <v>1917</v>
      </c>
      <c r="D331" s="41">
        <v>40219.0</v>
      </c>
      <c r="E331" s="15" t="s">
        <v>98</v>
      </c>
      <c r="F331" s="15">
        <v>5.591250945E9</v>
      </c>
      <c r="G331" s="15" t="s">
        <v>1921</v>
      </c>
      <c r="H331" s="15" t="s">
        <v>140</v>
      </c>
      <c r="I331" s="18"/>
      <c r="J331" s="15" t="s">
        <v>1926</v>
      </c>
      <c r="K331" s="15" t="s">
        <v>1927</v>
      </c>
      <c r="L331" s="15">
        <v>5.526562276E9</v>
      </c>
      <c r="M331" s="15" t="s">
        <v>1930</v>
      </c>
      <c r="N331" s="15" t="s">
        <v>1931</v>
      </c>
      <c r="O331" s="15">
        <v>5.548543468E9</v>
      </c>
      <c r="P331" s="20">
        <v>16.0</v>
      </c>
      <c r="Q331" s="22">
        <v>46033.55971064815</v>
      </c>
      <c r="R331" s="15" t="s">
        <v>107</v>
      </c>
      <c r="S331" s="15" t="s">
        <v>109</v>
      </c>
      <c r="T331" s="15" t="s">
        <v>208</v>
      </c>
      <c r="U331" s="15" t="s">
        <v>1599</v>
      </c>
      <c r="V331" s="15" t="s">
        <v>1600</v>
      </c>
      <c r="W331" s="15" t="s">
        <v>1602</v>
      </c>
      <c r="X331" s="15" t="s">
        <v>120</v>
      </c>
      <c r="Y331" s="18"/>
      <c r="Z331" s="15" t="s">
        <v>117</v>
      </c>
      <c r="AA331" s="52" t="s">
        <v>1932</v>
      </c>
      <c r="AB331" s="15" t="s">
        <v>117</v>
      </c>
      <c r="AC331" s="15" t="s">
        <v>117</v>
      </c>
      <c r="AD331" s="15" t="s">
        <v>1639</v>
      </c>
      <c r="AE331" s="15" t="s">
        <v>120</v>
      </c>
      <c r="AF331" s="18"/>
      <c r="AG331" s="15" t="s">
        <v>120</v>
      </c>
      <c r="AH331" s="18"/>
      <c r="AI331" s="15" t="s">
        <v>120</v>
      </c>
      <c r="AJ331" s="18"/>
      <c r="AK331" s="18"/>
      <c r="AL331" s="15" t="s">
        <v>138</v>
      </c>
      <c r="AM331" s="15" t="s">
        <v>128</v>
      </c>
      <c r="AN331" s="15" t="s">
        <v>242</v>
      </c>
      <c r="AO331" s="15" t="s">
        <v>185</v>
      </c>
      <c r="AP331" s="15"/>
    </row>
    <row r="332" ht="22.5" customHeight="1">
      <c r="A332" s="15" t="s">
        <v>1941</v>
      </c>
      <c r="B332" s="15" t="s">
        <v>1943</v>
      </c>
      <c r="C332" s="15" t="s">
        <v>1945</v>
      </c>
      <c r="D332" s="41">
        <v>40014.0</v>
      </c>
      <c r="E332" s="15" t="s">
        <v>98</v>
      </c>
      <c r="F332" s="15" t="s">
        <v>1950</v>
      </c>
      <c r="G332" s="15" t="s">
        <v>1952</v>
      </c>
      <c r="H332" s="15" t="s">
        <v>101</v>
      </c>
      <c r="I332" s="18"/>
      <c r="J332" s="15" t="s">
        <v>1962</v>
      </c>
      <c r="K332" s="15" t="s">
        <v>1963</v>
      </c>
      <c r="L332" s="15" t="s">
        <v>1950</v>
      </c>
      <c r="M332" s="18"/>
      <c r="N332" s="18"/>
      <c r="O332" s="18"/>
      <c r="P332" s="20">
        <v>16.0</v>
      </c>
      <c r="Q332" s="22">
        <v>46040.87321759259</v>
      </c>
      <c r="R332" s="15" t="s">
        <v>107</v>
      </c>
      <c r="S332" s="15" t="s">
        <v>109</v>
      </c>
      <c r="T332" s="15" t="s">
        <v>171</v>
      </c>
      <c r="U332" s="15" t="s">
        <v>388</v>
      </c>
      <c r="V332" s="15" t="s">
        <v>389</v>
      </c>
      <c r="W332" s="15" t="s">
        <v>392</v>
      </c>
      <c r="X332" s="15" t="s">
        <v>120</v>
      </c>
      <c r="Y332" s="18"/>
      <c r="Z332" s="15" t="s">
        <v>117</v>
      </c>
      <c r="AA332" s="58" t="s">
        <v>1970</v>
      </c>
      <c r="AB332" s="15" t="s">
        <v>117</v>
      </c>
      <c r="AC332" s="15" t="s">
        <v>117</v>
      </c>
      <c r="AD332" s="27" t="s">
        <v>1972</v>
      </c>
      <c r="AE332" s="15" t="s">
        <v>120</v>
      </c>
      <c r="AF332" s="18"/>
      <c r="AG332" s="15" t="s">
        <v>120</v>
      </c>
      <c r="AH332" s="18"/>
      <c r="AI332" s="15" t="s">
        <v>120</v>
      </c>
      <c r="AJ332" s="18"/>
      <c r="AK332" s="18"/>
      <c r="AL332" s="15" t="s">
        <v>126</v>
      </c>
      <c r="AM332" s="15" t="s">
        <v>141</v>
      </c>
      <c r="AN332" s="15" t="s">
        <v>240</v>
      </c>
      <c r="AO332" s="15" t="s">
        <v>138</v>
      </c>
      <c r="AP332" s="15"/>
    </row>
    <row r="333" ht="22.5" customHeight="1">
      <c r="A333" s="15" t="s">
        <v>4063</v>
      </c>
      <c r="B333" s="15" t="s">
        <v>4064</v>
      </c>
      <c r="C333" s="15" t="s">
        <v>4065</v>
      </c>
      <c r="D333" s="41">
        <v>40932.0</v>
      </c>
      <c r="E333" s="15" t="s">
        <v>177</v>
      </c>
      <c r="F333" s="15">
        <v>5.574576038E9</v>
      </c>
      <c r="G333" s="15" t="s">
        <v>4066</v>
      </c>
      <c r="H333" s="15" t="s">
        <v>382</v>
      </c>
      <c r="I333" s="23" t="s">
        <v>4067</v>
      </c>
      <c r="J333" s="15" t="s">
        <v>4068</v>
      </c>
      <c r="K333" s="15" t="s">
        <v>4069</v>
      </c>
      <c r="L333" s="15">
        <v>5.531097547E9</v>
      </c>
      <c r="M333" s="15" t="s">
        <v>4070</v>
      </c>
      <c r="N333" s="15" t="s">
        <v>4071</v>
      </c>
      <c r="O333" s="15">
        <v>5.584916691E9</v>
      </c>
      <c r="P333" s="20">
        <v>14.0</v>
      </c>
      <c r="Q333" s="22">
        <v>46028.89119212963</v>
      </c>
      <c r="R333" s="15" t="s">
        <v>107</v>
      </c>
      <c r="S333" s="15" t="s">
        <v>109</v>
      </c>
      <c r="T333" s="15" t="s">
        <v>111</v>
      </c>
      <c r="U333" s="15" t="s">
        <v>1979</v>
      </c>
      <c r="V333" s="15" t="s">
        <v>1980</v>
      </c>
      <c r="W333" s="15" t="s">
        <v>1981</v>
      </c>
      <c r="X333" s="15" t="s">
        <v>120</v>
      </c>
      <c r="Y333" s="18"/>
      <c r="Z333" s="15" t="s">
        <v>120</v>
      </c>
      <c r="AA333" s="18"/>
      <c r="AB333" s="15" t="s">
        <v>120</v>
      </c>
      <c r="AC333" s="18"/>
      <c r="AD333" s="18"/>
      <c r="AE333" s="15" t="s">
        <v>120</v>
      </c>
      <c r="AF333" s="18"/>
      <c r="AG333" s="15" t="s">
        <v>120</v>
      </c>
      <c r="AH333" s="18"/>
      <c r="AI333" s="15" t="s">
        <v>120</v>
      </c>
      <c r="AJ333" s="18"/>
      <c r="AK333" s="18"/>
      <c r="AL333" s="15" t="s">
        <v>185</v>
      </c>
      <c r="AM333" s="15" t="s">
        <v>141</v>
      </c>
      <c r="AN333" s="15" t="s">
        <v>138</v>
      </c>
      <c r="AO333" s="15" t="s">
        <v>126</v>
      </c>
      <c r="AP333" s="15"/>
    </row>
    <row r="334" ht="22.5" customHeight="1">
      <c r="A334" s="15" t="s">
        <v>4072</v>
      </c>
      <c r="B334" s="15" t="s">
        <v>4073</v>
      </c>
      <c r="C334" s="18"/>
      <c r="D334" s="41">
        <v>40528.0</v>
      </c>
      <c r="E334" s="15" t="s">
        <v>177</v>
      </c>
      <c r="F334" s="15">
        <v>5.66347281E9</v>
      </c>
      <c r="G334" s="15" t="s">
        <v>4074</v>
      </c>
      <c r="H334" s="15" t="s">
        <v>101</v>
      </c>
      <c r="I334" s="23" t="s">
        <v>1325</v>
      </c>
      <c r="J334" s="15" t="s">
        <v>4075</v>
      </c>
      <c r="K334" s="15" t="s">
        <v>4076</v>
      </c>
      <c r="L334" s="15">
        <v>7.772156795E9</v>
      </c>
      <c r="M334" s="18"/>
      <c r="N334" s="18"/>
      <c r="O334" s="18"/>
      <c r="P334" s="20">
        <v>15.0</v>
      </c>
      <c r="Q334" s="22">
        <v>46041.83797453704</v>
      </c>
      <c r="R334" s="15" t="s">
        <v>107</v>
      </c>
      <c r="S334" s="15" t="s">
        <v>109</v>
      </c>
      <c r="T334" s="15" t="s">
        <v>111</v>
      </c>
      <c r="U334" s="15" t="s">
        <v>398</v>
      </c>
      <c r="V334" s="15" t="s">
        <v>399</v>
      </c>
      <c r="W334" s="15" t="s">
        <v>400</v>
      </c>
      <c r="X334" s="15" t="s">
        <v>120</v>
      </c>
      <c r="Y334" s="18"/>
      <c r="Z334" s="15" t="s">
        <v>120</v>
      </c>
      <c r="AA334" s="18"/>
      <c r="AB334" s="15" t="s">
        <v>120</v>
      </c>
      <c r="AC334" s="15" t="s">
        <v>120</v>
      </c>
      <c r="AD334" s="18"/>
      <c r="AE334" s="15" t="s">
        <v>120</v>
      </c>
      <c r="AF334" s="18"/>
      <c r="AG334" s="15" t="s">
        <v>120</v>
      </c>
      <c r="AH334" s="18"/>
      <c r="AI334" s="15" t="s">
        <v>120</v>
      </c>
      <c r="AJ334" s="18"/>
      <c r="AK334" s="18"/>
      <c r="AL334" s="15" t="s">
        <v>240</v>
      </c>
      <c r="AM334" s="15" t="s">
        <v>138</v>
      </c>
      <c r="AN334" s="15" t="s">
        <v>185</v>
      </c>
      <c r="AO334" s="15" t="s">
        <v>124</v>
      </c>
      <c r="AP334" s="15"/>
    </row>
    <row r="335" ht="22.5" customHeight="1">
      <c r="A335" s="15" t="s">
        <v>1754</v>
      </c>
      <c r="B335" s="15" t="s">
        <v>1757</v>
      </c>
      <c r="C335" s="15" t="s">
        <v>1758</v>
      </c>
      <c r="D335" s="41">
        <v>41197.0</v>
      </c>
      <c r="E335" s="15" t="s">
        <v>98</v>
      </c>
      <c r="F335" s="15">
        <v>5.540167442E9</v>
      </c>
      <c r="G335" s="15" t="s">
        <v>1762</v>
      </c>
      <c r="H335" s="15" t="s">
        <v>150</v>
      </c>
      <c r="I335" s="18"/>
      <c r="J335" s="15" t="s">
        <v>1764</v>
      </c>
      <c r="K335" s="15" t="s">
        <v>1766</v>
      </c>
      <c r="L335" s="15">
        <v>5.539984743E9</v>
      </c>
      <c r="M335" s="15" t="s">
        <v>1769</v>
      </c>
      <c r="N335" s="15" t="s">
        <v>1770</v>
      </c>
      <c r="O335" s="15">
        <v>5.511350907E9</v>
      </c>
      <c r="P335" s="20">
        <v>13.0</v>
      </c>
      <c r="Q335" s="22">
        <v>46021.54019675926</v>
      </c>
      <c r="R335" s="15" t="s">
        <v>107</v>
      </c>
      <c r="S335" s="15" t="s">
        <v>109</v>
      </c>
      <c r="T335" s="15" t="s">
        <v>204</v>
      </c>
      <c r="U335" s="15" t="s">
        <v>205</v>
      </c>
      <c r="V335" s="15" t="s">
        <v>206</v>
      </c>
      <c r="W335" s="15" t="s">
        <v>207</v>
      </c>
      <c r="X335" s="15" t="s">
        <v>120</v>
      </c>
      <c r="Y335" s="18"/>
      <c r="Z335" s="15" t="s">
        <v>120</v>
      </c>
      <c r="AA335" s="18"/>
      <c r="AB335" s="15" t="s">
        <v>117</v>
      </c>
      <c r="AC335" s="15" t="s">
        <v>117</v>
      </c>
      <c r="AD335" s="15" t="s">
        <v>1777</v>
      </c>
      <c r="AE335" s="15" t="s">
        <v>117</v>
      </c>
      <c r="AF335" s="15" t="s">
        <v>1778</v>
      </c>
      <c r="AG335" s="15" t="s">
        <v>117</v>
      </c>
      <c r="AH335" s="15" t="s">
        <v>1779</v>
      </c>
      <c r="AI335" s="15" t="s">
        <v>117</v>
      </c>
      <c r="AJ335" s="15" t="s">
        <v>1780</v>
      </c>
      <c r="AK335" s="18"/>
      <c r="AL335" s="15" t="s">
        <v>138</v>
      </c>
      <c r="AM335" s="15" t="s">
        <v>156</v>
      </c>
      <c r="AN335" s="15" t="s">
        <v>126</v>
      </c>
      <c r="AO335" s="15" t="s">
        <v>185</v>
      </c>
      <c r="AP335" s="15"/>
    </row>
    <row r="336" ht="22.5" customHeight="1">
      <c r="A336" s="15" t="s">
        <v>1782</v>
      </c>
      <c r="B336" s="15" t="s">
        <v>1783</v>
      </c>
      <c r="C336" s="15" t="s">
        <v>1786</v>
      </c>
      <c r="D336" s="41">
        <v>40523.0</v>
      </c>
      <c r="E336" s="15" t="s">
        <v>177</v>
      </c>
      <c r="F336" s="15">
        <v>5.513875488E9</v>
      </c>
      <c r="G336" s="15" t="s">
        <v>1792</v>
      </c>
      <c r="H336" s="15" t="s">
        <v>150</v>
      </c>
      <c r="I336" s="23" t="s">
        <v>1325</v>
      </c>
      <c r="J336" s="15" t="s">
        <v>1794</v>
      </c>
      <c r="K336" s="15" t="s">
        <v>1796</v>
      </c>
      <c r="L336" s="15">
        <v>5.559632729E9</v>
      </c>
      <c r="M336" s="18"/>
      <c r="N336" s="18"/>
      <c r="O336" s="18"/>
      <c r="P336" s="20">
        <v>15.0</v>
      </c>
      <c r="Q336" s="22">
        <v>46039.877847222226</v>
      </c>
      <c r="R336" s="15" t="s">
        <v>107</v>
      </c>
      <c r="S336" s="15" t="s">
        <v>109</v>
      </c>
      <c r="T336" s="15" t="s">
        <v>204</v>
      </c>
      <c r="U336" s="15" t="s">
        <v>295</v>
      </c>
      <c r="V336" s="15" t="s">
        <v>298</v>
      </c>
      <c r="W336" s="15" t="s">
        <v>299</v>
      </c>
      <c r="X336" s="15" t="s">
        <v>120</v>
      </c>
      <c r="Y336" s="18"/>
      <c r="Z336" s="15" t="s">
        <v>120</v>
      </c>
      <c r="AA336" s="18"/>
      <c r="AB336" s="15" t="s">
        <v>120</v>
      </c>
      <c r="AC336" s="18"/>
      <c r="AD336" s="18"/>
      <c r="AE336" s="15" t="s">
        <v>120</v>
      </c>
      <c r="AF336" s="18"/>
      <c r="AG336" s="15" t="s">
        <v>120</v>
      </c>
      <c r="AH336" s="18"/>
      <c r="AI336" s="15" t="s">
        <v>117</v>
      </c>
      <c r="AJ336" s="15" t="s">
        <v>1810</v>
      </c>
      <c r="AK336" s="15" t="s">
        <v>1325</v>
      </c>
      <c r="AL336" s="15" t="s">
        <v>138</v>
      </c>
      <c r="AM336" s="15" t="s">
        <v>124</v>
      </c>
      <c r="AN336" s="15" t="s">
        <v>126</v>
      </c>
      <c r="AO336" s="15" t="s">
        <v>240</v>
      </c>
      <c r="AP336" s="15"/>
    </row>
    <row r="337" ht="22.5" customHeight="1">
      <c r="A337" s="15" t="s">
        <v>3870</v>
      </c>
      <c r="B337" s="15" t="s">
        <v>4078</v>
      </c>
      <c r="C337" s="15" t="s">
        <v>4079</v>
      </c>
      <c r="D337" s="41">
        <v>41181.0</v>
      </c>
      <c r="E337" s="15" t="s">
        <v>177</v>
      </c>
      <c r="F337" s="15">
        <v>5.58805919E9</v>
      </c>
      <c r="G337" s="15" t="s">
        <v>4080</v>
      </c>
      <c r="H337" s="15" t="s">
        <v>140</v>
      </c>
      <c r="I337" s="18"/>
      <c r="J337" s="15" t="s">
        <v>4081</v>
      </c>
      <c r="K337" s="15" t="s">
        <v>4082</v>
      </c>
      <c r="L337" s="15">
        <v>5.58805919E9</v>
      </c>
      <c r="M337" s="18"/>
      <c r="N337" s="18"/>
      <c r="O337" s="18"/>
      <c r="P337" s="20">
        <v>13.0</v>
      </c>
      <c r="Q337" s="22">
        <v>46033.509571759256</v>
      </c>
      <c r="R337" s="15" t="s">
        <v>107</v>
      </c>
      <c r="S337" s="15" t="s">
        <v>109</v>
      </c>
      <c r="T337" s="15" t="s">
        <v>127</v>
      </c>
      <c r="U337" s="15" t="s">
        <v>531</v>
      </c>
      <c r="V337" s="15" t="s">
        <v>532</v>
      </c>
      <c r="W337" s="15" t="s">
        <v>534</v>
      </c>
      <c r="X337" s="15" t="s">
        <v>120</v>
      </c>
      <c r="Y337" s="18"/>
      <c r="Z337" s="15" t="s">
        <v>120</v>
      </c>
      <c r="AA337" s="18"/>
      <c r="AB337" s="15" t="s">
        <v>120</v>
      </c>
      <c r="AC337" s="18"/>
      <c r="AD337" s="18"/>
      <c r="AE337" s="15" t="s">
        <v>120</v>
      </c>
      <c r="AF337" s="18"/>
      <c r="AG337" s="15" t="s">
        <v>120</v>
      </c>
      <c r="AH337" s="18"/>
      <c r="AI337" s="15" t="s">
        <v>120</v>
      </c>
      <c r="AJ337" s="18"/>
      <c r="AK337" s="18"/>
      <c r="AL337" s="15" t="s">
        <v>129</v>
      </c>
      <c r="AM337" s="15" t="s">
        <v>185</v>
      </c>
      <c r="AN337" s="15" t="s">
        <v>138</v>
      </c>
      <c r="AO337" s="15" t="s">
        <v>128</v>
      </c>
      <c r="AP337" s="15"/>
    </row>
    <row r="338" ht="22.5" customHeight="1">
      <c r="A338" s="15" t="s">
        <v>4083</v>
      </c>
      <c r="B338" s="15" t="s">
        <v>4084</v>
      </c>
      <c r="C338" s="15" t="s">
        <v>4085</v>
      </c>
      <c r="D338" s="41">
        <v>39543.0</v>
      </c>
      <c r="E338" s="15" t="s">
        <v>177</v>
      </c>
      <c r="F338" s="15">
        <v>5.561261602E9</v>
      </c>
      <c r="G338" s="15" t="s">
        <v>4086</v>
      </c>
      <c r="H338" s="15" t="s">
        <v>150</v>
      </c>
      <c r="I338" s="18"/>
      <c r="J338" s="15" t="s">
        <v>4087</v>
      </c>
      <c r="K338" s="15" t="s">
        <v>4086</v>
      </c>
      <c r="L338" s="15">
        <v>5.561261602E9</v>
      </c>
      <c r="M338" s="18"/>
      <c r="N338" s="18"/>
      <c r="O338" s="18"/>
      <c r="P338" s="20">
        <v>17.0</v>
      </c>
      <c r="Q338" s="22">
        <v>46037.9153125</v>
      </c>
      <c r="R338" s="15" t="s">
        <v>107</v>
      </c>
      <c r="S338" s="15" t="s">
        <v>109</v>
      </c>
      <c r="T338" s="15" t="s">
        <v>171</v>
      </c>
      <c r="U338" s="15" t="s">
        <v>2149</v>
      </c>
      <c r="V338" s="15" t="s">
        <v>2141</v>
      </c>
      <c r="W338" s="15" t="s">
        <v>2151</v>
      </c>
      <c r="X338" s="15" t="s">
        <v>120</v>
      </c>
      <c r="Y338" s="18"/>
      <c r="Z338" s="15" t="s">
        <v>120</v>
      </c>
      <c r="AA338" s="18"/>
      <c r="AB338" s="15" t="s">
        <v>120</v>
      </c>
      <c r="AC338" s="15" t="s">
        <v>120</v>
      </c>
      <c r="AD338" s="18"/>
      <c r="AE338" s="15" t="s">
        <v>120</v>
      </c>
      <c r="AF338" s="18"/>
      <c r="AG338" s="15" t="s">
        <v>120</v>
      </c>
      <c r="AH338" s="18"/>
      <c r="AI338" s="15" t="s">
        <v>120</v>
      </c>
      <c r="AJ338" s="18"/>
      <c r="AK338" s="18"/>
      <c r="AL338" s="15" t="s">
        <v>126</v>
      </c>
      <c r="AM338" s="15" t="s">
        <v>124</v>
      </c>
      <c r="AN338" s="15" t="s">
        <v>240</v>
      </c>
      <c r="AO338" s="15" t="s">
        <v>138</v>
      </c>
      <c r="AP338" s="15"/>
    </row>
    <row r="339" ht="22.5" customHeight="1">
      <c r="A339" s="15" t="s">
        <v>3994</v>
      </c>
      <c r="B339" s="15" t="s">
        <v>3995</v>
      </c>
      <c r="C339" s="15" t="s">
        <v>3996</v>
      </c>
      <c r="D339" s="41">
        <v>40093.0</v>
      </c>
      <c r="E339" s="15" t="s">
        <v>98</v>
      </c>
      <c r="F339" s="15">
        <v>5.565243628E9</v>
      </c>
      <c r="G339" s="15" t="s">
        <v>3997</v>
      </c>
      <c r="H339" s="15" t="s">
        <v>140</v>
      </c>
      <c r="I339" s="23" t="s">
        <v>783</v>
      </c>
      <c r="J339" s="15" t="s">
        <v>3998</v>
      </c>
      <c r="K339" s="15" t="s">
        <v>3999</v>
      </c>
      <c r="L339" s="15">
        <v>5.568794778E9</v>
      </c>
      <c r="M339" s="15" t="s">
        <v>4000</v>
      </c>
      <c r="N339" s="15" t="s">
        <v>4001</v>
      </c>
      <c r="O339" s="15">
        <v>5.539691329E9</v>
      </c>
      <c r="P339" s="20">
        <v>16.0</v>
      </c>
      <c r="Q339" s="22">
        <v>46019.67827546296</v>
      </c>
      <c r="R339" s="15" t="s">
        <v>107</v>
      </c>
      <c r="S339" s="15" t="s">
        <v>109</v>
      </c>
      <c r="T339" s="15" t="s">
        <v>127</v>
      </c>
      <c r="U339" s="15" t="s">
        <v>531</v>
      </c>
      <c r="V339" s="15" t="s">
        <v>532</v>
      </c>
      <c r="W339" s="15" t="s">
        <v>534</v>
      </c>
      <c r="X339" s="15" t="s">
        <v>120</v>
      </c>
      <c r="Y339" s="15" t="s">
        <v>783</v>
      </c>
      <c r="Z339" s="15" t="s">
        <v>120</v>
      </c>
      <c r="AA339" s="15" t="s">
        <v>783</v>
      </c>
      <c r="AB339" s="15" t="s">
        <v>120</v>
      </c>
      <c r="AC339" s="15" t="s">
        <v>120</v>
      </c>
      <c r="AD339" s="15" t="s">
        <v>783</v>
      </c>
      <c r="AE339" s="15" t="s">
        <v>120</v>
      </c>
      <c r="AF339" s="15" t="s">
        <v>783</v>
      </c>
      <c r="AG339" s="15" t="s">
        <v>120</v>
      </c>
      <c r="AH339" s="15" t="s">
        <v>783</v>
      </c>
      <c r="AI339" s="15" t="s">
        <v>120</v>
      </c>
      <c r="AJ339" s="15" t="s">
        <v>783</v>
      </c>
      <c r="AK339" s="15" t="s">
        <v>783</v>
      </c>
      <c r="AL339" s="15" t="s">
        <v>129</v>
      </c>
      <c r="AM339" s="15" t="s">
        <v>124</v>
      </c>
      <c r="AN339" s="15" t="s">
        <v>138</v>
      </c>
      <c r="AO339" s="15" t="s">
        <v>185</v>
      </c>
      <c r="AP339" s="15"/>
    </row>
    <row r="340" ht="22.5" customHeight="1">
      <c r="A340" s="15" t="s">
        <v>2692</v>
      </c>
      <c r="B340" s="15" t="s">
        <v>4088</v>
      </c>
      <c r="C340" s="15" t="s">
        <v>4089</v>
      </c>
      <c r="D340" s="41">
        <v>40630.0</v>
      </c>
      <c r="E340" s="15" t="s">
        <v>177</v>
      </c>
      <c r="F340" s="15">
        <v>5.521331702E9</v>
      </c>
      <c r="G340" s="15" t="s">
        <v>4090</v>
      </c>
      <c r="H340" s="15" t="s">
        <v>150</v>
      </c>
      <c r="I340" s="23" t="s">
        <v>135</v>
      </c>
      <c r="J340" s="15" t="s">
        <v>4091</v>
      </c>
      <c r="K340" s="15" t="s">
        <v>4092</v>
      </c>
      <c r="L340" s="15">
        <v>5.585591381E9</v>
      </c>
      <c r="M340" s="18"/>
      <c r="N340" s="18"/>
      <c r="O340" s="18"/>
      <c r="P340" s="20">
        <v>14.0</v>
      </c>
      <c r="Q340" s="22">
        <v>46033.802835648145</v>
      </c>
      <c r="R340" s="15" t="s">
        <v>107</v>
      </c>
      <c r="S340" s="15" t="s">
        <v>109</v>
      </c>
      <c r="T340" s="15" t="s">
        <v>160</v>
      </c>
      <c r="U340" s="15" t="s">
        <v>279</v>
      </c>
      <c r="V340" s="15" t="s">
        <v>280</v>
      </c>
      <c r="W340" s="15" t="s">
        <v>282</v>
      </c>
      <c r="X340" s="15" t="s">
        <v>120</v>
      </c>
      <c r="Y340" s="18"/>
      <c r="Z340" s="15" t="s">
        <v>120</v>
      </c>
      <c r="AA340" s="18"/>
      <c r="AB340" s="15" t="s">
        <v>120</v>
      </c>
      <c r="AC340" s="15" t="s">
        <v>120</v>
      </c>
      <c r="AD340" s="18"/>
      <c r="AE340" s="15" t="s">
        <v>120</v>
      </c>
      <c r="AF340" s="18"/>
      <c r="AG340" s="15" t="s">
        <v>120</v>
      </c>
      <c r="AH340" s="18"/>
      <c r="AI340" s="15" t="s">
        <v>120</v>
      </c>
      <c r="AJ340" s="18"/>
      <c r="AK340" s="18"/>
      <c r="AL340" s="15" t="s">
        <v>185</v>
      </c>
      <c r="AM340" s="15" t="s">
        <v>141</v>
      </c>
      <c r="AN340" s="15" t="s">
        <v>126</v>
      </c>
      <c r="AO340" s="15" t="s">
        <v>138</v>
      </c>
      <c r="AP340" s="15"/>
    </row>
    <row r="341" ht="22.5" customHeight="1">
      <c r="A341" s="15" t="s">
        <v>1816</v>
      </c>
      <c r="B341" s="15" t="s">
        <v>1818</v>
      </c>
      <c r="C341" s="15" t="s">
        <v>1819</v>
      </c>
      <c r="D341" s="41">
        <v>40828.0</v>
      </c>
      <c r="E341" s="15" t="s">
        <v>177</v>
      </c>
      <c r="F341" s="15">
        <v>5.513438456E9</v>
      </c>
      <c r="G341" s="15" t="s">
        <v>1823</v>
      </c>
      <c r="H341" s="15" t="s">
        <v>101</v>
      </c>
      <c r="I341" s="23" t="s">
        <v>1824</v>
      </c>
      <c r="J341" s="15" t="s">
        <v>1825</v>
      </c>
      <c r="K341" s="15" t="s">
        <v>1823</v>
      </c>
      <c r="L341" s="15">
        <v>5.513438456E9</v>
      </c>
      <c r="M341" s="18"/>
      <c r="N341" s="18"/>
      <c r="O341" s="18"/>
      <c r="P341" s="20">
        <v>14.0</v>
      </c>
      <c r="Q341" s="22">
        <v>46024.60833333333</v>
      </c>
      <c r="R341" s="15" t="s">
        <v>107</v>
      </c>
      <c r="S341" s="15" t="s">
        <v>109</v>
      </c>
      <c r="T341" s="15" t="s">
        <v>160</v>
      </c>
      <c r="U341" s="15" t="s">
        <v>329</v>
      </c>
      <c r="V341" s="15" t="s">
        <v>331</v>
      </c>
      <c r="W341" s="15" t="s">
        <v>332</v>
      </c>
      <c r="X341" s="15" t="s">
        <v>120</v>
      </c>
      <c r="Y341" s="18"/>
      <c r="Z341" s="15" t="s">
        <v>120</v>
      </c>
      <c r="AA341" s="18"/>
      <c r="AB341" s="15" t="s">
        <v>120</v>
      </c>
      <c r="AC341" s="18"/>
      <c r="AD341" s="18"/>
      <c r="AE341" s="15" t="s">
        <v>120</v>
      </c>
      <c r="AF341" s="18"/>
      <c r="AG341" s="15" t="s">
        <v>120</v>
      </c>
      <c r="AH341" s="18"/>
      <c r="AI341" s="15" t="s">
        <v>117</v>
      </c>
      <c r="AJ341" s="15" t="s">
        <v>1841</v>
      </c>
      <c r="AK341" s="18"/>
      <c r="AL341" s="15" t="s">
        <v>138</v>
      </c>
      <c r="AM341" s="15" t="s">
        <v>185</v>
      </c>
      <c r="AN341" s="15" t="s">
        <v>156</v>
      </c>
      <c r="AO341" s="15" t="s">
        <v>129</v>
      </c>
      <c r="AP341" s="15"/>
    </row>
    <row r="342" ht="22.5" customHeight="1">
      <c r="A342" s="15" t="s">
        <v>1996</v>
      </c>
      <c r="B342" s="15" t="s">
        <v>1678</v>
      </c>
      <c r="C342" s="15" t="s">
        <v>1997</v>
      </c>
      <c r="D342" s="41">
        <v>40003.0</v>
      </c>
      <c r="E342" s="15" t="s">
        <v>177</v>
      </c>
      <c r="F342" s="15">
        <v>5.640030363E9</v>
      </c>
      <c r="G342" s="15" t="s">
        <v>1998</v>
      </c>
      <c r="H342" s="15" t="s">
        <v>101</v>
      </c>
      <c r="I342" s="23" t="s">
        <v>2001</v>
      </c>
      <c r="J342" s="15" t="s">
        <v>2003</v>
      </c>
      <c r="K342" s="15" t="s">
        <v>2004</v>
      </c>
      <c r="L342" s="15">
        <v>5.510464135E9</v>
      </c>
      <c r="M342" s="15" t="s">
        <v>1687</v>
      </c>
      <c r="N342" s="15" t="s">
        <v>1688</v>
      </c>
      <c r="O342" s="15">
        <v>5.580325992E9</v>
      </c>
      <c r="P342" s="20">
        <v>16.0</v>
      </c>
      <c r="Q342" s="22">
        <v>46036.91539351852</v>
      </c>
      <c r="R342" s="15" t="s">
        <v>107</v>
      </c>
      <c r="S342" s="15" t="s">
        <v>109</v>
      </c>
      <c r="T342" s="15" t="s">
        <v>160</v>
      </c>
      <c r="U342" s="15" t="s">
        <v>308</v>
      </c>
      <c r="V342" s="15" t="s">
        <v>309</v>
      </c>
      <c r="W342" s="15" t="s">
        <v>310</v>
      </c>
      <c r="X342" s="15" t="s">
        <v>120</v>
      </c>
      <c r="Y342" s="18"/>
      <c r="Z342" s="15" t="s">
        <v>117</v>
      </c>
      <c r="AA342" s="58" t="s">
        <v>2020</v>
      </c>
      <c r="AB342" s="15" t="s">
        <v>117</v>
      </c>
      <c r="AC342" s="15" t="s">
        <v>117</v>
      </c>
      <c r="AD342" s="15" t="s">
        <v>2023</v>
      </c>
      <c r="AE342" s="15" t="s">
        <v>120</v>
      </c>
      <c r="AF342" s="18"/>
      <c r="AG342" s="15" t="s">
        <v>120</v>
      </c>
      <c r="AH342" s="18"/>
      <c r="AI342" s="15" t="s">
        <v>120</v>
      </c>
      <c r="AJ342" s="18"/>
      <c r="AK342" s="18"/>
      <c r="AL342" s="15" t="s">
        <v>141</v>
      </c>
      <c r="AM342" s="15" t="s">
        <v>129</v>
      </c>
      <c r="AN342" s="15" t="s">
        <v>138</v>
      </c>
      <c r="AO342" s="15" t="s">
        <v>128</v>
      </c>
      <c r="AP342" s="15"/>
    </row>
    <row r="343" ht="22.5" customHeight="1">
      <c r="A343" s="15" t="s">
        <v>2025</v>
      </c>
      <c r="B343" s="15" t="s">
        <v>2026</v>
      </c>
      <c r="C343" s="15" t="s">
        <v>2027</v>
      </c>
      <c r="D343" s="41">
        <v>39665.0</v>
      </c>
      <c r="E343" s="15" t="s">
        <v>98</v>
      </c>
      <c r="F343" s="15">
        <v>5.562253593E9</v>
      </c>
      <c r="G343" s="15" t="s">
        <v>2035</v>
      </c>
      <c r="H343" s="15" t="s">
        <v>140</v>
      </c>
      <c r="I343" s="18"/>
      <c r="J343" s="15" t="s">
        <v>2039</v>
      </c>
      <c r="K343" s="15" t="s">
        <v>2041</v>
      </c>
      <c r="L343" s="15">
        <v>5.529227098E9</v>
      </c>
      <c r="M343" s="15" t="s">
        <v>2044</v>
      </c>
      <c r="N343" s="15" t="s">
        <v>2047</v>
      </c>
      <c r="O343" s="15">
        <v>5.540300525E9</v>
      </c>
      <c r="P343" s="20">
        <v>17.0</v>
      </c>
      <c r="Q343" s="22">
        <v>46026.468125</v>
      </c>
      <c r="R343" s="15" t="s">
        <v>107</v>
      </c>
      <c r="S343" s="15" t="s">
        <v>109</v>
      </c>
      <c r="T343" s="15" t="s">
        <v>208</v>
      </c>
      <c r="U343" s="15" t="s">
        <v>209</v>
      </c>
      <c r="V343" s="15" t="s">
        <v>210</v>
      </c>
      <c r="W343" s="15" t="s">
        <v>211</v>
      </c>
      <c r="X343" s="15" t="s">
        <v>120</v>
      </c>
      <c r="Y343" s="18"/>
      <c r="Z343" s="15" t="s">
        <v>117</v>
      </c>
      <c r="AA343" s="58" t="s">
        <v>2051</v>
      </c>
      <c r="AB343" s="15" t="s">
        <v>117</v>
      </c>
      <c r="AC343" s="15" t="s">
        <v>117</v>
      </c>
      <c r="AD343" s="15" t="s">
        <v>2052</v>
      </c>
      <c r="AE343" s="15" t="s">
        <v>120</v>
      </c>
      <c r="AF343" s="18"/>
      <c r="AG343" s="15" t="s">
        <v>120</v>
      </c>
      <c r="AH343" s="18"/>
      <c r="AI343" s="15" t="s">
        <v>117</v>
      </c>
      <c r="AJ343" s="18"/>
      <c r="AK343" s="18"/>
      <c r="AL343" s="15" t="s">
        <v>141</v>
      </c>
      <c r="AM343" s="15" t="s">
        <v>185</v>
      </c>
      <c r="AN343" s="15" t="s">
        <v>156</v>
      </c>
      <c r="AO343" s="15" t="s">
        <v>185</v>
      </c>
      <c r="AP343" s="15"/>
    </row>
    <row r="344" ht="22.5" customHeight="1">
      <c r="A344" s="15" t="s">
        <v>4093</v>
      </c>
      <c r="B344" s="15" t="s">
        <v>4094</v>
      </c>
      <c r="C344" s="15" t="s">
        <v>4095</v>
      </c>
      <c r="D344" s="41">
        <v>40395.0</v>
      </c>
      <c r="E344" s="15" t="s">
        <v>177</v>
      </c>
      <c r="F344" s="15">
        <v>5.532024441E9</v>
      </c>
      <c r="G344" s="15" t="s">
        <v>4096</v>
      </c>
      <c r="H344" s="15" t="s">
        <v>101</v>
      </c>
      <c r="I344" s="18"/>
      <c r="J344" s="15" t="s">
        <v>4097</v>
      </c>
      <c r="K344" s="15" t="s">
        <v>4098</v>
      </c>
      <c r="L344" s="15">
        <v>5.53396012E9</v>
      </c>
      <c r="M344" s="18"/>
      <c r="N344" s="18"/>
      <c r="O344" s="18"/>
      <c r="P344" s="20">
        <v>15.0</v>
      </c>
      <c r="Q344" s="22">
        <v>46033.435532407406</v>
      </c>
      <c r="R344" s="15" t="s">
        <v>107</v>
      </c>
      <c r="S344" s="15" t="s">
        <v>109</v>
      </c>
      <c r="T344" s="15" t="s">
        <v>160</v>
      </c>
      <c r="U344" s="15" t="s">
        <v>308</v>
      </c>
      <c r="V344" s="15" t="s">
        <v>309</v>
      </c>
      <c r="W344" s="15" t="s">
        <v>310</v>
      </c>
      <c r="X344" s="15" t="s">
        <v>120</v>
      </c>
      <c r="Y344" s="18"/>
      <c r="Z344" s="15" t="s">
        <v>120</v>
      </c>
      <c r="AA344" s="18"/>
      <c r="AB344" s="15" t="s">
        <v>120</v>
      </c>
      <c r="AC344" s="18"/>
      <c r="AD344" s="18"/>
      <c r="AE344" s="15" t="s">
        <v>120</v>
      </c>
      <c r="AF344" s="18"/>
      <c r="AG344" s="15" t="s">
        <v>120</v>
      </c>
      <c r="AH344" s="18"/>
      <c r="AI344" s="15" t="s">
        <v>120</v>
      </c>
      <c r="AJ344" s="18"/>
      <c r="AK344" s="18"/>
      <c r="AL344" s="15" t="s">
        <v>129</v>
      </c>
      <c r="AM344" s="15" t="s">
        <v>129</v>
      </c>
      <c r="AN344" s="15" t="s">
        <v>126</v>
      </c>
      <c r="AO344" s="15" t="s">
        <v>126</v>
      </c>
      <c r="AP344" s="15"/>
    </row>
    <row r="345" ht="22.5" customHeight="1">
      <c r="A345" s="15" t="s">
        <v>1749</v>
      </c>
      <c r="B345" s="15" t="s">
        <v>1751</v>
      </c>
      <c r="C345" s="15" t="s">
        <v>1752</v>
      </c>
      <c r="D345" s="41">
        <v>39958.0</v>
      </c>
      <c r="E345" s="15" t="s">
        <v>98</v>
      </c>
      <c r="F345" s="15">
        <v>5.537331039E9</v>
      </c>
      <c r="G345" s="15" t="s">
        <v>1753</v>
      </c>
      <c r="H345" s="15" t="s">
        <v>101</v>
      </c>
      <c r="I345" s="23" t="s">
        <v>2062</v>
      </c>
      <c r="J345" s="15" t="s">
        <v>2064</v>
      </c>
      <c r="K345" s="15" t="s">
        <v>1760</v>
      </c>
      <c r="L345" s="15">
        <v>5.554159611E9</v>
      </c>
      <c r="M345" s="15" t="s">
        <v>1755</v>
      </c>
      <c r="N345" s="15" t="s">
        <v>1756</v>
      </c>
      <c r="O345" s="15">
        <v>5.537331039E9</v>
      </c>
      <c r="P345" s="20">
        <v>16.0</v>
      </c>
      <c r="Q345" s="22">
        <v>46033.79350694444</v>
      </c>
      <c r="R345" s="15" t="s">
        <v>546</v>
      </c>
      <c r="S345" s="15" t="s">
        <v>109</v>
      </c>
      <c r="T345" s="15" t="s">
        <v>171</v>
      </c>
      <c r="U345" s="15" t="s">
        <v>526</v>
      </c>
      <c r="V345" s="15" t="s">
        <v>527</v>
      </c>
      <c r="W345" s="15" t="s">
        <v>528</v>
      </c>
      <c r="X345" s="15" t="s">
        <v>120</v>
      </c>
      <c r="Y345" s="18"/>
      <c r="Z345" s="15" t="s">
        <v>120</v>
      </c>
      <c r="AA345" s="18"/>
      <c r="AB345" s="15" t="s">
        <v>117</v>
      </c>
      <c r="AC345" s="15" t="s">
        <v>117</v>
      </c>
      <c r="AD345" s="15" t="s">
        <v>2072</v>
      </c>
      <c r="AE345" s="15" t="s">
        <v>120</v>
      </c>
      <c r="AF345" s="18"/>
      <c r="AG345" s="15" t="s">
        <v>120</v>
      </c>
      <c r="AH345" s="18"/>
      <c r="AI345" s="15" t="s">
        <v>120</v>
      </c>
      <c r="AJ345" s="18"/>
      <c r="AK345" s="15" t="s">
        <v>135</v>
      </c>
      <c r="AL345" s="15" t="s">
        <v>126</v>
      </c>
      <c r="AM345" s="15" t="s">
        <v>242</v>
      </c>
      <c r="AN345" s="15" t="s">
        <v>156</v>
      </c>
      <c r="AO345" s="15" t="s">
        <v>129</v>
      </c>
      <c r="AP345" s="15"/>
    </row>
    <row r="346" ht="22.5" customHeight="1">
      <c r="A346" s="15" t="s">
        <v>4099</v>
      </c>
      <c r="B346" s="15" t="s">
        <v>4100</v>
      </c>
      <c r="C346" s="15" t="s">
        <v>4101</v>
      </c>
      <c r="D346" s="41">
        <v>40174.0</v>
      </c>
      <c r="E346" s="15" t="s">
        <v>177</v>
      </c>
      <c r="F346" s="15">
        <v>5.539615677E9</v>
      </c>
      <c r="G346" s="15" t="s">
        <v>4102</v>
      </c>
      <c r="H346" s="15" t="s">
        <v>101</v>
      </c>
      <c r="I346" s="18"/>
      <c r="J346" s="15" t="s">
        <v>4103</v>
      </c>
      <c r="K346" s="15" t="s">
        <v>4104</v>
      </c>
      <c r="L346" s="18" t="str">
        <f>+52 56 3152 3092</f>
        <v>#ERROR!</v>
      </c>
      <c r="M346" s="15" t="s">
        <v>4105</v>
      </c>
      <c r="N346" s="15" t="s">
        <v>4102</v>
      </c>
      <c r="O346" s="18" t="str">
        <f>+52 55 2941 2096</f>
        <v>#ERROR!</v>
      </c>
      <c r="P346" s="20">
        <v>16.0</v>
      </c>
      <c r="Q346" s="22">
        <v>46035.724803240744</v>
      </c>
      <c r="R346" s="15" t="s">
        <v>107</v>
      </c>
      <c r="S346" s="15" t="s">
        <v>109</v>
      </c>
      <c r="T346" s="15" t="s">
        <v>204</v>
      </c>
      <c r="U346" s="15" t="s">
        <v>367</v>
      </c>
      <c r="V346" s="15" t="s">
        <v>368</v>
      </c>
      <c r="W346" s="15" t="s">
        <v>369</v>
      </c>
      <c r="X346" s="15" t="s">
        <v>120</v>
      </c>
      <c r="Y346" s="18"/>
      <c r="Z346" s="15" t="s">
        <v>120</v>
      </c>
      <c r="AA346" s="18"/>
      <c r="AB346" s="15" t="s">
        <v>120</v>
      </c>
      <c r="AC346" s="18"/>
      <c r="AD346" s="18"/>
      <c r="AE346" s="15" t="s">
        <v>120</v>
      </c>
      <c r="AF346" s="18"/>
      <c r="AG346" s="15" t="s">
        <v>120</v>
      </c>
      <c r="AH346" s="18"/>
      <c r="AI346" s="15" t="s">
        <v>120</v>
      </c>
      <c r="AJ346" s="18"/>
      <c r="AK346" s="18"/>
      <c r="AL346" s="15" t="s">
        <v>141</v>
      </c>
      <c r="AM346" s="15" t="s">
        <v>129</v>
      </c>
      <c r="AN346" s="15" t="s">
        <v>128</v>
      </c>
      <c r="AO346" s="15" t="s">
        <v>185</v>
      </c>
      <c r="AP346" s="15"/>
    </row>
    <row r="347" ht="22.5" customHeight="1">
      <c r="A347" s="15" t="s">
        <v>1847</v>
      </c>
      <c r="B347" s="15" t="s">
        <v>1848</v>
      </c>
      <c r="C347" s="15" t="s">
        <v>1849</v>
      </c>
      <c r="D347" s="41">
        <v>39577.0</v>
      </c>
      <c r="E347" s="15" t="s">
        <v>98</v>
      </c>
      <c r="F347" s="15">
        <v>5.574880708E9</v>
      </c>
      <c r="G347" s="15" t="s">
        <v>1851</v>
      </c>
      <c r="H347" s="15" t="s">
        <v>150</v>
      </c>
      <c r="I347" s="18"/>
      <c r="J347" s="15" t="s">
        <v>1852</v>
      </c>
      <c r="K347" s="15" t="s">
        <v>1853</v>
      </c>
      <c r="L347" s="15">
        <v>5.536704548E9</v>
      </c>
      <c r="M347" s="18"/>
      <c r="N347" s="18"/>
      <c r="O347" s="18"/>
      <c r="P347" s="20">
        <v>17.0</v>
      </c>
      <c r="Q347" s="22">
        <v>46034.69836805556</v>
      </c>
      <c r="R347" s="15" t="s">
        <v>107</v>
      </c>
      <c r="S347" s="15" t="s">
        <v>109</v>
      </c>
      <c r="T347" s="15" t="s">
        <v>127</v>
      </c>
      <c r="U347" s="15" t="s">
        <v>234</v>
      </c>
      <c r="V347" s="15" t="s">
        <v>227</v>
      </c>
      <c r="W347" s="15" t="s">
        <v>236</v>
      </c>
      <c r="X347" s="15" t="s">
        <v>120</v>
      </c>
      <c r="Y347" s="18"/>
      <c r="Z347" s="15" t="s">
        <v>120</v>
      </c>
      <c r="AA347" s="18"/>
      <c r="AB347" s="15" t="s">
        <v>120</v>
      </c>
      <c r="AC347" s="18"/>
      <c r="AD347" s="18"/>
      <c r="AE347" s="15" t="s">
        <v>120</v>
      </c>
      <c r="AF347" s="18"/>
      <c r="AG347" s="15" t="s">
        <v>120</v>
      </c>
      <c r="AH347" s="18"/>
      <c r="AI347" s="15" t="s">
        <v>117</v>
      </c>
      <c r="AJ347" s="15" t="s">
        <v>178</v>
      </c>
      <c r="AK347" s="18"/>
      <c r="AL347" s="15" t="s">
        <v>138</v>
      </c>
      <c r="AM347" s="15" t="s">
        <v>242</v>
      </c>
      <c r="AN347" s="15" t="s">
        <v>141</v>
      </c>
      <c r="AO347" s="15" t="s">
        <v>126</v>
      </c>
      <c r="AP347" s="15"/>
    </row>
    <row r="348" ht="22.5" customHeight="1">
      <c r="A348" s="15" t="s">
        <v>4106</v>
      </c>
      <c r="B348" s="15" t="s">
        <v>4107</v>
      </c>
      <c r="C348" s="15" t="s">
        <v>4108</v>
      </c>
      <c r="D348" s="41">
        <v>39494.0</v>
      </c>
      <c r="E348" s="15" t="s">
        <v>98</v>
      </c>
      <c r="F348" s="15">
        <v>5.570853245E9</v>
      </c>
      <c r="G348" s="15" t="s">
        <v>4109</v>
      </c>
      <c r="H348" s="15" t="s">
        <v>140</v>
      </c>
      <c r="I348" s="23" t="s">
        <v>135</v>
      </c>
      <c r="J348" s="15" t="s">
        <v>4110</v>
      </c>
      <c r="K348" s="15" t="s">
        <v>4111</v>
      </c>
      <c r="L348" s="15">
        <v>5.611180992E9</v>
      </c>
      <c r="M348" s="15" t="s">
        <v>3836</v>
      </c>
      <c r="N348" s="15" t="s">
        <v>4112</v>
      </c>
      <c r="O348" s="15">
        <v>5.529685412E9</v>
      </c>
      <c r="P348" s="20">
        <v>18.0</v>
      </c>
      <c r="Q348" s="22">
        <v>46033.91143518518</v>
      </c>
      <c r="R348" s="15" t="s">
        <v>107</v>
      </c>
      <c r="S348" s="15" t="s">
        <v>109</v>
      </c>
      <c r="T348" s="15" t="s">
        <v>192</v>
      </c>
      <c r="U348" s="15" t="s">
        <v>749</v>
      </c>
      <c r="V348" s="15" t="s">
        <v>750</v>
      </c>
      <c r="W348" s="15" t="s">
        <v>751</v>
      </c>
      <c r="X348" s="15" t="s">
        <v>120</v>
      </c>
      <c r="Y348" s="15" t="s">
        <v>135</v>
      </c>
      <c r="Z348" s="15" t="s">
        <v>120</v>
      </c>
      <c r="AA348" s="15" t="s">
        <v>135</v>
      </c>
      <c r="AB348" s="15" t="s">
        <v>120</v>
      </c>
      <c r="AC348" s="15" t="s">
        <v>120</v>
      </c>
      <c r="AD348" s="15" t="s">
        <v>2397</v>
      </c>
      <c r="AE348" s="15" t="s">
        <v>120</v>
      </c>
      <c r="AF348" s="15" t="s">
        <v>2397</v>
      </c>
      <c r="AG348" s="15" t="s">
        <v>120</v>
      </c>
      <c r="AH348" s="15" t="s">
        <v>135</v>
      </c>
      <c r="AI348" s="15" t="s">
        <v>120</v>
      </c>
      <c r="AJ348" s="15" t="s">
        <v>2397</v>
      </c>
      <c r="AK348" s="15" t="s">
        <v>2397</v>
      </c>
      <c r="AL348" s="15" t="s">
        <v>129</v>
      </c>
      <c r="AM348" s="15" t="s">
        <v>126</v>
      </c>
      <c r="AN348" s="15" t="s">
        <v>128</v>
      </c>
      <c r="AO348" s="15" t="s">
        <v>156</v>
      </c>
      <c r="AP348" s="15"/>
    </row>
    <row r="349" ht="22.5" customHeight="1">
      <c r="A349" s="15" t="s">
        <v>1879</v>
      </c>
      <c r="B349" s="15" t="s">
        <v>1881</v>
      </c>
      <c r="C349" s="15" t="s">
        <v>1882</v>
      </c>
      <c r="D349" s="41">
        <v>39946.0</v>
      </c>
      <c r="E349" s="15" t="s">
        <v>98</v>
      </c>
      <c r="F349" s="15">
        <v>5.561064727E9</v>
      </c>
      <c r="G349" s="15" t="s">
        <v>1883</v>
      </c>
      <c r="H349" s="15" t="s">
        <v>140</v>
      </c>
      <c r="I349" s="18"/>
      <c r="J349" s="15" t="s">
        <v>1889</v>
      </c>
      <c r="K349" s="15" t="s">
        <v>1891</v>
      </c>
      <c r="L349" s="15">
        <v>5.529369198E9</v>
      </c>
      <c r="M349" s="18"/>
      <c r="N349" s="18"/>
      <c r="O349" s="18"/>
      <c r="P349" s="20">
        <v>16.0</v>
      </c>
      <c r="Q349" s="22">
        <v>46038.53</v>
      </c>
      <c r="R349" s="15" t="s">
        <v>107</v>
      </c>
      <c r="S349" s="15" t="s">
        <v>109</v>
      </c>
      <c r="T349" s="15" t="s">
        <v>192</v>
      </c>
      <c r="U349" s="15" t="s">
        <v>485</v>
      </c>
      <c r="V349" s="15" t="s">
        <v>486</v>
      </c>
      <c r="W349" s="15" t="s">
        <v>487</v>
      </c>
      <c r="X349" s="15" t="s">
        <v>120</v>
      </c>
      <c r="Y349" s="18"/>
      <c r="Z349" s="15" t="s">
        <v>120</v>
      </c>
      <c r="AA349" s="18"/>
      <c r="AB349" s="15" t="s">
        <v>120</v>
      </c>
      <c r="AC349" s="18"/>
      <c r="AD349" s="18"/>
      <c r="AE349" s="15" t="s">
        <v>120</v>
      </c>
      <c r="AF349" s="18"/>
      <c r="AG349" s="15" t="s">
        <v>120</v>
      </c>
      <c r="AH349" s="18"/>
      <c r="AI349" s="15" t="s">
        <v>117</v>
      </c>
      <c r="AJ349" s="15" t="s">
        <v>807</v>
      </c>
      <c r="AK349" s="18"/>
      <c r="AL349" s="15" t="s">
        <v>216</v>
      </c>
      <c r="AM349" s="15" t="s">
        <v>185</v>
      </c>
      <c r="AN349" s="15" t="s">
        <v>138</v>
      </c>
      <c r="AO349" s="15" t="s">
        <v>156</v>
      </c>
      <c r="AP349" s="15"/>
    </row>
    <row r="350" ht="22.5" customHeight="1">
      <c r="A350" s="15" t="s">
        <v>3836</v>
      </c>
      <c r="B350" s="15" t="s">
        <v>4119</v>
      </c>
      <c r="C350" s="15" t="s">
        <v>4120</v>
      </c>
      <c r="D350" s="41">
        <v>39943.0</v>
      </c>
      <c r="E350" s="15" t="s">
        <v>98</v>
      </c>
      <c r="F350" s="15">
        <v>2.201323605E9</v>
      </c>
      <c r="G350" s="15" t="s">
        <v>4121</v>
      </c>
      <c r="H350" s="15" t="s">
        <v>101</v>
      </c>
      <c r="I350" s="18"/>
      <c r="J350" s="15" t="s">
        <v>4122</v>
      </c>
      <c r="K350" s="15" t="s">
        <v>4123</v>
      </c>
      <c r="L350" s="15">
        <v>5.646807857E9</v>
      </c>
      <c r="M350" s="15" t="s">
        <v>4124</v>
      </c>
      <c r="N350" s="15" t="s">
        <v>4125</v>
      </c>
      <c r="O350" s="15">
        <v>5.646807883E9</v>
      </c>
      <c r="P350" s="20">
        <v>16.0</v>
      </c>
      <c r="Q350" s="22">
        <v>46026.56915509259</v>
      </c>
      <c r="R350" s="15" t="s">
        <v>107</v>
      </c>
      <c r="S350" s="15" t="s">
        <v>109</v>
      </c>
      <c r="T350" s="15" t="s">
        <v>204</v>
      </c>
      <c r="U350" s="15" t="s">
        <v>699</v>
      </c>
      <c r="V350" s="15" t="s">
        <v>700</v>
      </c>
      <c r="W350" s="15" t="s">
        <v>702</v>
      </c>
      <c r="X350" s="15" t="s">
        <v>120</v>
      </c>
      <c r="Y350" s="18"/>
      <c r="Z350" s="15" t="s">
        <v>120</v>
      </c>
      <c r="AA350" s="18"/>
      <c r="AB350" s="15" t="s">
        <v>120</v>
      </c>
      <c r="AC350" s="18"/>
      <c r="AD350" s="18"/>
      <c r="AE350" s="15" t="s">
        <v>120</v>
      </c>
      <c r="AF350" s="18"/>
      <c r="AG350" s="15" t="s">
        <v>120</v>
      </c>
      <c r="AH350" s="18"/>
      <c r="AI350" s="15" t="s">
        <v>120</v>
      </c>
      <c r="AJ350" s="18"/>
      <c r="AK350" s="18"/>
      <c r="AL350" s="15" t="s">
        <v>126</v>
      </c>
      <c r="AM350" s="15" t="s">
        <v>138</v>
      </c>
      <c r="AN350" s="15" t="s">
        <v>129</v>
      </c>
      <c r="AO350" s="15" t="s">
        <v>185</v>
      </c>
      <c r="AP350" s="15"/>
    </row>
    <row r="351" ht="22.5" customHeight="1">
      <c r="A351" s="15" t="s">
        <v>4126</v>
      </c>
      <c r="B351" s="15" t="s">
        <v>4094</v>
      </c>
      <c r="C351" s="15" t="s">
        <v>4127</v>
      </c>
      <c r="D351" s="41">
        <v>39965.0</v>
      </c>
      <c r="E351" s="15" t="s">
        <v>177</v>
      </c>
      <c r="F351" s="15">
        <v>5.577548643E9</v>
      </c>
      <c r="G351" s="15" t="s">
        <v>4128</v>
      </c>
      <c r="H351" s="15" t="s">
        <v>150</v>
      </c>
      <c r="I351" s="18"/>
      <c r="J351" s="15" t="s">
        <v>4129</v>
      </c>
      <c r="K351" s="15" t="s">
        <v>4098</v>
      </c>
      <c r="L351" s="15">
        <v>5.53396012E9</v>
      </c>
      <c r="M351" s="18"/>
      <c r="N351" s="18"/>
      <c r="O351" s="18"/>
      <c r="P351" s="20">
        <v>16.0</v>
      </c>
      <c r="Q351" s="22">
        <v>46033.47856481482</v>
      </c>
      <c r="R351" s="15" t="s">
        <v>107</v>
      </c>
      <c r="S351" s="15" t="s">
        <v>109</v>
      </c>
      <c r="T351" s="15" t="s">
        <v>160</v>
      </c>
      <c r="U351" s="15" t="s">
        <v>308</v>
      </c>
      <c r="V351" s="15" t="s">
        <v>309</v>
      </c>
      <c r="W351" s="15" t="s">
        <v>310</v>
      </c>
      <c r="X351" s="15" t="s">
        <v>120</v>
      </c>
      <c r="Y351" s="18"/>
      <c r="Z351" s="15" t="s">
        <v>120</v>
      </c>
      <c r="AA351" s="18"/>
      <c r="AB351" s="15" t="s">
        <v>120</v>
      </c>
      <c r="AC351" s="18"/>
      <c r="AD351" s="18"/>
      <c r="AE351" s="15" t="s">
        <v>120</v>
      </c>
      <c r="AF351" s="18"/>
      <c r="AG351" s="15" t="s">
        <v>120</v>
      </c>
      <c r="AH351" s="18"/>
      <c r="AI351" s="15" t="s">
        <v>120</v>
      </c>
      <c r="AJ351" s="18"/>
      <c r="AK351" s="18"/>
      <c r="AL351" s="15" t="s">
        <v>141</v>
      </c>
      <c r="AM351" s="15" t="s">
        <v>185</v>
      </c>
      <c r="AN351" s="15" t="s">
        <v>156</v>
      </c>
      <c r="AO351" s="15" t="s">
        <v>124</v>
      </c>
      <c r="AP351" s="15"/>
    </row>
    <row r="352" ht="22.5" customHeight="1">
      <c r="A352" s="15" t="s">
        <v>2668</v>
      </c>
      <c r="B352" s="15" t="s">
        <v>2669</v>
      </c>
      <c r="C352" s="15" t="s">
        <v>2670</v>
      </c>
      <c r="D352" s="41">
        <v>40976.0</v>
      </c>
      <c r="E352" s="15" t="s">
        <v>98</v>
      </c>
      <c r="F352" s="15">
        <v>5.567750247E9</v>
      </c>
      <c r="G352" s="15" t="s">
        <v>2671</v>
      </c>
      <c r="H352" s="15" t="s">
        <v>140</v>
      </c>
      <c r="I352" s="23" t="s">
        <v>135</v>
      </c>
      <c r="J352" s="15" t="s">
        <v>2672</v>
      </c>
      <c r="K352" s="15" t="s">
        <v>2673</v>
      </c>
      <c r="L352" s="15">
        <v>5.564583143E9</v>
      </c>
      <c r="M352" s="15" t="s">
        <v>2675</v>
      </c>
      <c r="N352" s="15" t="s">
        <v>2671</v>
      </c>
      <c r="O352" s="15">
        <v>5.567750247E9</v>
      </c>
      <c r="P352" s="20">
        <v>13.0</v>
      </c>
      <c r="Q352" s="22">
        <v>46032.68493055556</v>
      </c>
      <c r="R352" s="15" t="s">
        <v>107</v>
      </c>
      <c r="S352" s="15" t="s">
        <v>109</v>
      </c>
      <c r="T352" s="15" t="s">
        <v>171</v>
      </c>
      <c r="U352" s="15" t="s">
        <v>444</v>
      </c>
      <c r="V352" s="15" t="s">
        <v>445</v>
      </c>
      <c r="W352" s="15" t="s">
        <v>446</v>
      </c>
      <c r="X352" s="15" t="s">
        <v>120</v>
      </c>
      <c r="Y352" s="15" t="s">
        <v>135</v>
      </c>
      <c r="Z352" s="15" t="s">
        <v>120</v>
      </c>
      <c r="AA352" s="15" t="s">
        <v>135</v>
      </c>
      <c r="AB352" s="15" t="s">
        <v>120</v>
      </c>
      <c r="AC352" s="18"/>
      <c r="AD352" s="18"/>
      <c r="AE352" s="15" t="s">
        <v>120</v>
      </c>
      <c r="AF352" s="18"/>
      <c r="AG352" s="15" t="s">
        <v>117</v>
      </c>
      <c r="AH352" s="15" t="s">
        <v>2679</v>
      </c>
      <c r="AI352" s="15" t="s">
        <v>120</v>
      </c>
      <c r="AJ352" s="18"/>
      <c r="AK352" s="18"/>
      <c r="AL352" s="15" t="s">
        <v>138</v>
      </c>
      <c r="AM352" s="15" t="s">
        <v>216</v>
      </c>
      <c r="AN352" s="15" t="s">
        <v>126</v>
      </c>
      <c r="AO352" s="15" t="s">
        <v>141</v>
      </c>
      <c r="AP352" s="15"/>
    </row>
    <row r="353" ht="22.5" customHeight="1">
      <c r="A353" s="15" t="s">
        <v>4130</v>
      </c>
      <c r="B353" s="15" t="s">
        <v>4131</v>
      </c>
      <c r="C353" s="15" t="s">
        <v>4132</v>
      </c>
      <c r="D353" s="41">
        <v>40302.0</v>
      </c>
      <c r="E353" s="15" t="s">
        <v>98</v>
      </c>
      <c r="F353" s="15">
        <v>5.611454833E9</v>
      </c>
      <c r="G353" s="15" t="s">
        <v>3586</v>
      </c>
      <c r="H353" s="15" t="s">
        <v>101</v>
      </c>
      <c r="I353" s="18"/>
      <c r="J353" s="15" t="s">
        <v>3585</v>
      </c>
      <c r="K353" s="15" t="s">
        <v>3586</v>
      </c>
      <c r="L353" s="15">
        <v>5.563168732E9</v>
      </c>
      <c r="M353" s="15" t="s">
        <v>4133</v>
      </c>
      <c r="N353" s="15" t="s">
        <v>3584</v>
      </c>
      <c r="O353" s="15">
        <v>5.611454833E9</v>
      </c>
      <c r="P353" s="20">
        <v>15.0</v>
      </c>
      <c r="Q353" s="22">
        <v>46002.82498842593</v>
      </c>
      <c r="R353" s="15" t="s">
        <v>107</v>
      </c>
      <c r="S353" s="15" t="s">
        <v>109</v>
      </c>
      <c r="T353" s="15" t="s">
        <v>204</v>
      </c>
      <c r="U353" s="15" t="s">
        <v>357</v>
      </c>
      <c r="V353" s="15" t="s">
        <v>359</v>
      </c>
      <c r="W353" s="15" t="s">
        <v>362</v>
      </c>
      <c r="X353" s="15" t="s">
        <v>120</v>
      </c>
      <c r="Y353" s="18"/>
      <c r="Z353" s="15" t="s">
        <v>120</v>
      </c>
      <c r="AA353" s="18"/>
      <c r="AB353" s="15" t="s">
        <v>120</v>
      </c>
      <c r="AC353" s="18"/>
      <c r="AD353" s="18"/>
      <c r="AE353" s="15" t="s">
        <v>120</v>
      </c>
      <c r="AF353" s="18"/>
      <c r="AG353" s="15" t="s">
        <v>120</v>
      </c>
      <c r="AH353" s="18"/>
      <c r="AI353" s="15" t="s">
        <v>120</v>
      </c>
      <c r="AJ353" s="18"/>
      <c r="AK353" s="18"/>
      <c r="AL353" s="15" t="s">
        <v>185</v>
      </c>
      <c r="AM353" s="15" t="s">
        <v>138</v>
      </c>
      <c r="AN353" s="15" t="s">
        <v>126</v>
      </c>
      <c r="AO353" s="15" t="s">
        <v>129</v>
      </c>
      <c r="AP353" s="15"/>
    </row>
    <row r="354" ht="22.5" customHeight="1">
      <c r="A354" s="15" t="s">
        <v>1730</v>
      </c>
      <c r="B354" s="15" t="s">
        <v>1731</v>
      </c>
      <c r="C354" s="15" t="s">
        <v>1733</v>
      </c>
      <c r="D354" s="41">
        <v>40382.0</v>
      </c>
      <c r="E354" s="15" t="s">
        <v>177</v>
      </c>
      <c r="F354" s="15">
        <v>8.434719935E9</v>
      </c>
      <c r="G354" s="15" t="s">
        <v>1735</v>
      </c>
      <c r="H354" s="15" t="s">
        <v>101</v>
      </c>
      <c r="I354" s="18"/>
      <c r="J354" s="15" t="s">
        <v>1736</v>
      </c>
      <c r="K354" s="15" t="s">
        <v>1737</v>
      </c>
      <c r="L354" s="15">
        <v>5.522714514E9</v>
      </c>
      <c r="M354" s="18"/>
      <c r="N354" s="18"/>
      <c r="O354" s="18"/>
      <c r="P354" s="20">
        <v>15.0</v>
      </c>
      <c r="Q354" s="22">
        <v>46036.405069444445</v>
      </c>
      <c r="R354" s="15" t="s">
        <v>546</v>
      </c>
      <c r="S354" s="15" t="s">
        <v>109</v>
      </c>
      <c r="T354" s="15" t="s">
        <v>171</v>
      </c>
      <c r="U354" s="15" t="s">
        <v>1048</v>
      </c>
      <c r="V354" s="15" t="s">
        <v>1050</v>
      </c>
      <c r="W354" s="15" t="s">
        <v>1051</v>
      </c>
      <c r="X354" s="15" t="s">
        <v>120</v>
      </c>
      <c r="Y354" s="18"/>
      <c r="Z354" s="15" t="s">
        <v>117</v>
      </c>
      <c r="AA354" s="58" t="s">
        <v>1742</v>
      </c>
      <c r="AB354" s="15" t="s">
        <v>117</v>
      </c>
      <c r="AC354" s="15" t="s">
        <v>117</v>
      </c>
      <c r="AD354" s="23" t="s">
        <v>2112</v>
      </c>
      <c r="AE354" s="15" t="s">
        <v>120</v>
      </c>
      <c r="AF354" s="18"/>
      <c r="AG354" s="15" t="s">
        <v>120</v>
      </c>
      <c r="AH354" s="18"/>
      <c r="AI354" s="15" t="s">
        <v>120</v>
      </c>
      <c r="AJ354" s="18"/>
      <c r="AK354" s="18"/>
      <c r="AL354" s="15" t="s">
        <v>126</v>
      </c>
      <c r="AM354" s="15" t="s">
        <v>138</v>
      </c>
      <c r="AN354" s="15" t="s">
        <v>185</v>
      </c>
      <c r="AO354" s="15" t="s">
        <v>141</v>
      </c>
      <c r="AP354" s="15"/>
    </row>
    <row r="355" ht="22.5" customHeight="1">
      <c r="A355" s="15" t="s">
        <v>4134</v>
      </c>
      <c r="B355" s="15" t="s">
        <v>712</v>
      </c>
      <c r="C355" s="15" t="s">
        <v>4135</v>
      </c>
      <c r="D355" s="41">
        <v>39634.0</v>
      </c>
      <c r="E355" s="15" t="s">
        <v>98</v>
      </c>
      <c r="F355" s="15">
        <v>5.551782187E9</v>
      </c>
      <c r="G355" s="15" t="s">
        <v>4136</v>
      </c>
      <c r="H355" s="15" t="s">
        <v>101</v>
      </c>
      <c r="I355" s="18"/>
      <c r="J355" s="15" t="s">
        <v>717</v>
      </c>
      <c r="K355" s="15" t="s">
        <v>716</v>
      </c>
      <c r="L355" s="15">
        <v>5.513813704E9</v>
      </c>
      <c r="M355" s="18"/>
      <c r="N355" s="18"/>
      <c r="O355" s="18"/>
      <c r="P355" s="20">
        <v>17.0</v>
      </c>
      <c r="Q355" s="22">
        <v>46040.48615740741</v>
      </c>
      <c r="R355" s="15" t="s">
        <v>107</v>
      </c>
      <c r="S355" s="15" t="s">
        <v>109</v>
      </c>
      <c r="T355" s="15" t="s">
        <v>192</v>
      </c>
      <c r="U355" s="15" t="s">
        <v>485</v>
      </c>
      <c r="V355" s="15" t="s">
        <v>486</v>
      </c>
      <c r="W355" s="15" t="s">
        <v>487</v>
      </c>
      <c r="X355" s="15" t="s">
        <v>120</v>
      </c>
      <c r="Y355" s="18"/>
      <c r="Z355" s="15" t="s">
        <v>120</v>
      </c>
      <c r="AA355" s="18"/>
      <c r="AB355" s="15" t="s">
        <v>120</v>
      </c>
      <c r="AC355" s="18"/>
      <c r="AD355" s="18"/>
      <c r="AE355" s="15" t="s">
        <v>120</v>
      </c>
      <c r="AF355" s="18"/>
      <c r="AG355" s="15" t="s">
        <v>120</v>
      </c>
      <c r="AH355" s="18"/>
      <c r="AI355" s="15" t="s">
        <v>120</v>
      </c>
      <c r="AJ355" s="18"/>
      <c r="AK355" s="18"/>
      <c r="AL355" s="15" t="s">
        <v>138</v>
      </c>
      <c r="AM355" s="15" t="s">
        <v>126</v>
      </c>
      <c r="AN355" s="15" t="s">
        <v>128</v>
      </c>
      <c r="AO355" s="15" t="s">
        <v>129</v>
      </c>
      <c r="AP355" s="15"/>
    </row>
    <row r="356" ht="22.5" customHeight="1">
      <c r="A356" s="15" t="s">
        <v>4137</v>
      </c>
      <c r="B356" s="15" t="s">
        <v>4138</v>
      </c>
      <c r="C356" s="15" t="s">
        <v>4139</v>
      </c>
      <c r="D356" s="41">
        <v>40109.0</v>
      </c>
      <c r="E356" s="15" t="s">
        <v>98</v>
      </c>
      <c r="F356" s="15">
        <v>5.574573987E9</v>
      </c>
      <c r="G356" s="15" t="s">
        <v>4140</v>
      </c>
      <c r="H356" s="15" t="s">
        <v>140</v>
      </c>
      <c r="I356" s="18"/>
      <c r="J356" s="15" t="s">
        <v>4141</v>
      </c>
      <c r="K356" s="15" t="s">
        <v>4142</v>
      </c>
      <c r="L356" s="15">
        <v>5.540917134E9</v>
      </c>
      <c r="M356" s="18"/>
      <c r="N356" s="18"/>
      <c r="O356" s="18"/>
      <c r="P356" s="20">
        <v>16.0</v>
      </c>
      <c r="Q356" s="22">
        <v>46032.84130787037</v>
      </c>
      <c r="R356" s="15" t="s">
        <v>107</v>
      </c>
      <c r="S356" s="15" t="s">
        <v>109</v>
      </c>
      <c r="T356" s="15" t="s">
        <v>127</v>
      </c>
      <c r="U356" s="15" t="s">
        <v>531</v>
      </c>
      <c r="V356" s="15" t="s">
        <v>532</v>
      </c>
      <c r="W356" s="15" t="s">
        <v>534</v>
      </c>
      <c r="X356" s="15" t="s">
        <v>120</v>
      </c>
      <c r="Y356" s="18"/>
      <c r="Z356" s="15" t="s">
        <v>120</v>
      </c>
      <c r="AA356" s="18"/>
      <c r="AB356" s="15" t="s">
        <v>120</v>
      </c>
      <c r="AC356" s="18"/>
      <c r="AD356" s="18"/>
      <c r="AE356" s="15" t="s">
        <v>120</v>
      </c>
      <c r="AF356" s="18"/>
      <c r="AG356" s="15" t="s">
        <v>120</v>
      </c>
      <c r="AH356" s="18"/>
      <c r="AI356" s="15" t="s">
        <v>120</v>
      </c>
      <c r="AJ356" s="18"/>
      <c r="AK356" s="18"/>
      <c r="AL356" s="15" t="s">
        <v>126</v>
      </c>
      <c r="AM356" s="15" t="s">
        <v>185</v>
      </c>
      <c r="AN356" s="15" t="s">
        <v>156</v>
      </c>
      <c r="AO356" s="15" t="s">
        <v>242</v>
      </c>
      <c r="AP356" s="15"/>
    </row>
    <row r="357" ht="22.5" customHeight="1">
      <c r="A357" s="15" t="s">
        <v>136</v>
      </c>
      <c r="B357" s="15" t="s">
        <v>1943</v>
      </c>
      <c r="C357" s="15" t="s">
        <v>2121</v>
      </c>
      <c r="D357" s="41">
        <v>41237.0</v>
      </c>
      <c r="E357" s="15" t="s">
        <v>98</v>
      </c>
      <c r="F357" s="15">
        <v>5.585328242E9</v>
      </c>
      <c r="G357" s="15" t="s">
        <v>2122</v>
      </c>
      <c r="H357" s="15" t="s">
        <v>101</v>
      </c>
      <c r="I357" s="18"/>
      <c r="J357" s="15" t="s">
        <v>1962</v>
      </c>
      <c r="K357" s="15" t="s">
        <v>1963</v>
      </c>
      <c r="L357" s="15" t="s">
        <v>1950</v>
      </c>
      <c r="M357" s="18"/>
      <c r="N357" s="18"/>
      <c r="O357" s="18"/>
      <c r="P357" s="20">
        <v>13.0</v>
      </c>
      <c r="Q357" s="22">
        <v>46040.85821759259</v>
      </c>
      <c r="R357" s="15" t="s">
        <v>107</v>
      </c>
      <c r="S357" s="15" t="s">
        <v>109</v>
      </c>
      <c r="T357" s="15" t="s">
        <v>171</v>
      </c>
      <c r="U357" s="15" t="s">
        <v>388</v>
      </c>
      <c r="V357" s="15" t="s">
        <v>389</v>
      </c>
      <c r="W357" s="15" t="s">
        <v>392</v>
      </c>
      <c r="X357" s="15" t="s">
        <v>120</v>
      </c>
      <c r="Y357" s="18"/>
      <c r="Z357" s="15" t="s">
        <v>117</v>
      </c>
      <c r="AA357" s="58" t="s">
        <v>1970</v>
      </c>
      <c r="AB357" s="15" t="s">
        <v>117</v>
      </c>
      <c r="AC357" s="15" t="s">
        <v>117</v>
      </c>
      <c r="AD357" s="27" t="s">
        <v>1972</v>
      </c>
      <c r="AE357" s="15" t="s">
        <v>120</v>
      </c>
      <c r="AF357" s="18"/>
      <c r="AG357" s="15" t="s">
        <v>120</v>
      </c>
      <c r="AH357" s="18"/>
      <c r="AI357" s="15" t="s">
        <v>120</v>
      </c>
      <c r="AJ357" s="18"/>
      <c r="AK357" s="18"/>
      <c r="AL357" s="15" t="s">
        <v>240</v>
      </c>
      <c r="AM357" s="15" t="s">
        <v>185</v>
      </c>
      <c r="AN357" s="15" t="s">
        <v>216</v>
      </c>
      <c r="AO357" s="15" t="s">
        <v>138</v>
      </c>
      <c r="AP357" s="15"/>
    </row>
    <row r="358" ht="22.5" customHeight="1">
      <c r="A358" s="15" t="s">
        <v>4143</v>
      </c>
      <c r="B358" s="15" t="s">
        <v>4144</v>
      </c>
      <c r="C358" s="15" t="s">
        <v>4145</v>
      </c>
      <c r="D358" s="41">
        <v>40824.0</v>
      </c>
      <c r="E358" s="15" t="s">
        <v>177</v>
      </c>
      <c r="F358" s="15">
        <v>5.512355215E9</v>
      </c>
      <c r="G358" s="15" t="s">
        <v>4146</v>
      </c>
      <c r="H358" s="15" t="s">
        <v>140</v>
      </c>
      <c r="I358" s="18"/>
      <c r="J358" s="15" t="s">
        <v>4147</v>
      </c>
      <c r="K358" s="15" t="s">
        <v>4148</v>
      </c>
      <c r="L358" s="15">
        <v>5.51798007E9</v>
      </c>
      <c r="M358" s="18"/>
      <c r="N358" s="18"/>
      <c r="O358" s="18"/>
      <c r="P358" s="20">
        <v>14.0</v>
      </c>
      <c r="Q358" s="22">
        <v>46038.89875</v>
      </c>
      <c r="R358" s="15" t="s">
        <v>107</v>
      </c>
      <c r="S358" s="15" t="s">
        <v>109</v>
      </c>
      <c r="T358" s="15" t="s">
        <v>192</v>
      </c>
      <c r="U358" s="15" t="s">
        <v>749</v>
      </c>
      <c r="V358" s="15" t="s">
        <v>750</v>
      </c>
      <c r="W358" s="15" t="s">
        <v>751</v>
      </c>
      <c r="X358" s="15" t="s">
        <v>120</v>
      </c>
      <c r="Y358" s="18"/>
      <c r="Z358" s="15" t="s">
        <v>120</v>
      </c>
      <c r="AA358" s="18"/>
      <c r="AB358" s="15" t="s">
        <v>120</v>
      </c>
      <c r="AC358" s="18"/>
      <c r="AD358" s="18"/>
      <c r="AE358" s="15" t="s">
        <v>120</v>
      </c>
      <c r="AF358" s="18"/>
      <c r="AG358" s="15" t="s">
        <v>120</v>
      </c>
      <c r="AH358" s="18"/>
      <c r="AI358" s="15" t="s">
        <v>120</v>
      </c>
      <c r="AJ358" s="18"/>
      <c r="AK358" s="18"/>
      <c r="AL358" s="15" t="s">
        <v>216</v>
      </c>
      <c r="AM358" s="15" t="s">
        <v>185</v>
      </c>
      <c r="AN358" s="15" t="s">
        <v>240</v>
      </c>
      <c r="AO358" s="15" t="s">
        <v>126</v>
      </c>
      <c r="AP358" s="15"/>
    </row>
    <row r="359" ht="22.5" customHeight="1">
      <c r="A359" s="15" t="s">
        <v>4149</v>
      </c>
      <c r="B359" s="15" t="s">
        <v>338</v>
      </c>
      <c r="C359" s="15" t="s">
        <v>4150</v>
      </c>
      <c r="D359" s="41">
        <v>41112.0</v>
      </c>
      <c r="E359" s="15" t="s">
        <v>98</v>
      </c>
      <c r="F359" s="15">
        <v>9.212807803E9</v>
      </c>
      <c r="G359" s="15" t="s">
        <v>4151</v>
      </c>
      <c r="H359" s="15" t="s">
        <v>140</v>
      </c>
      <c r="I359" s="23" t="s">
        <v>4152</v>
      </c>
      <c r="J359" s="15" t="s">
        <v>4153</v>
      </c>
      <c r="K359" s="15" t="s">
        <v>4151</v>
      </c>
      <c r="L359" s="15">
        <v>9.212807803E9</v>
      </c>
      <c r="M359" s="15" t="s">
        <v>4154</v>
      </c>
      <c r="N359" s="15" t="s">
        <v>4155</v>
      </c>
      <c r="O359" s="15">
        <v>5.579726843E9</v>
      </c>
      <c r="P359" s="20">
        <v>13.0</v>
      </c>
      <c r="Q359" s="22">
        <v>46039.95315972222</v>
      </c>
      <c r="R359" s="15" t="s">
        <v>107</v>
      </c>
      <c r="S359" s="15" t="s">
        <v>109</v>
      </c>
      <c r="T359" s="15" t="s">
        <v>204</v>
      </c>
      <c r="U359" s="15" t="s">
        <v>205</v>
      </c>
      <c r="V359" s="15" t="s">
        <v>206</v>
      </c>
      <c r="W359" s="15" t="s">
        <v>207</v>
      </c>
      <c r="X359" s="15" t="s">
        <v>120</v>
      </c>
      <c r="Y359" s="18"/>
      <c r="Z359" s="15" t="s">
        <v>120</v>
      </c>
      <c r="AA359" s="18"/>
      <c r="AB359" s="15" t="s">
        <v>120</v>
      </c>
      <c r="AC359" s="18"/>
      <c r="AD359" s="18"/>
      <c r="AE359" s="15" t="s">
        <v>120</v>
      </c>
      <c r="AF359" s="18"/>
      <c r="AG359" s="15" t="s">
        <v>120</v>
      </c>
      <c r="AH359" s="18"/>
      <c r="AI359" s="15" t="s">
        <v>120</v>
      </c>
      <c r="AJ359" s="18"/>
      <c r="AK359" s="18"/>
      <c r="AL359" s="15" t="s">
        <v>156</v>
      </c>
      <c r="AM359" s="15" t="s">
        <v>138</v>
      </c>
      <c r="AN359" s="15" t="s">
        <v>129</v>
      </c>
      <c r="AO359" s="15" t="s">
        <v>240</v>
      </c>
      <c r="AP359" s="15"/>
    </row>
    <row r="360" ht="22.5" customHeight="1">
      <c r="A360" s="15" t="s">
        <v>4156</v>
      </c>
      <c r="B360" s="15" t="s">
        <v>4157</v>
      </c>
      <c r="C360" s="15" t="s">
        <v>4158</v>
      </c>
      <c r="D360" s="41">
        <v>40096.0</v>
      </c>
      <c r="E360" s="15" t="s">
        <v>98</v>
      </c>
      <c r="F360" s="15">
        <v>5.25645286829E11</v>
      </c>
      <c r="G360" s="15" t="s">
        <v>4159</v>
      </c>
      <c r="H360" s="15" t="s">
        <v>140</v>
      </c>
      <c r="I360" s="23" t="s">
        <v>1325</v>
      </c>
      <c r="J360" s="15" t="s">
        <v>4160</v>
      </c>
      <c r="K360" s="15" t="s">
        <v>4161</v>
      </c>
      <c r="L360" s="15">
        <v>5.534017071E9</v>
      </c>
      <c r="M360" s="18"/>
      <c r="N360" s="18"/>
      <c r="O360" s="18"/>
      <c r="P360" s="20">
        <v>16.0</v>
      </c>
      <c r="Q360" s="22">
        <v>46033.50230324074</v>
      </c>
      <c r="R360" s="15" t="s">
        <v>107</v>
      </c>
      <c r="S360" s="15" t="s">
        <v>109</v>
      </c>
      <c r="T360" s="15" t="s">
        <v>204</v>
      </c>
      <c r="U360" s="15" t="s">
        <v>357</v>
      </c>
      <c r="V360" s="15" t="s">
        <v>359</v>
      </c>
      <c r="W360" s="15" t="s">
        <v>362</v>
      </c>
      <c r="X360" s="15" t="s">
        <v>120</v>
      </c>
      <c r="Y360" s="18"/>
      <c r="Z360" s="15" t="s">
        <v>120</v>
      </c>
      <c r="AA360" s="15" t="s">
        <v>1325</v>
      </c>
      <c r="AB360" s="15" t="s">
        <v>120</v>
      </c>
      <c r="AC360" s="18"/>
      <c r="AD360" s="18"/>
      <c r="AE360" s="15" t="s">
        <v>120</v>
      </c>
      <c r="AF360" s="15" t="s">
        <v>1325</v>
      </c>
      <c r="AG360" s="15" t="s">
        <v>120</v>
      </c>
      <c r="AH360" s="18"/>
      <c r="AI360" s="15" t="s">
        <v>120</v>
      </c>
      <c r="AJ360" s="15" t="s">
        <v>1325</v>
      </c>
      <c r="AK360" s="18"/>
      <c r="AL360" s="15" t="s">
        <v>141</v>
      </c>
      <c r="AM360" s="15" t="s">
        <v>216</v>
      </c>
      <c r="AN360" s="15" t="s">
        <v>126</v>
      </c>
      <c r="AO360" s="15" t="s">
        <v>156</v>
      </c>
      <c r="AP360" s="15"/>
    </row>
    <row r="361" ht="22.5" customHeight="1">
      <c r="A361" s="15" t="s">
        <v>4162</v>
      </c>
      <c r="B361" s="15" t="s">
        <v>4163</v>
      </c>
      <c r="C361" s="15" t="s">
        <v>4164</v>
      </c>
      <c r="D361" s="41">
        <v>39981.0</v>
      </c>
      <c r="E361" s="15" t="s">
        <v>177</v>
      </c>
      <c r="F361" s="15">
        <v>5.535083859E9</v>
      </c>
      <c r="G361" s="15" t="s">
        <v>4165</v>
      </c>
      <c r="H361" s="15" t="s">
        <v>101</v>
      </c>
      <c r="I361" s="18"/>
      <c r="J361" s="15" t="s">
        <v>4166</v>
      </c>
      <c r="K361" s="15" t="s">
        <v>4165</v>
      </c>
      <c r="L361" s="15">
        <v>5.535374148E9</v>
      </c>
      <c r="M361" s="15" t="s">
        <v>4167</v>
      </c>
      <c r="N361" s="15" t="s">
        <v>4165</v>
      </c>
      <c r="O361" s="15">
        <v>5.626406921E9</v>
      </c>
      <c r="P361" s="20">
        <v>16.0</v>
      </c>
      <c r="Q361" s="22">
        <v>46037.804918981485</v>
      </c>
      <c r="R361" s="15" t="s">
        <v>107</v>
      </c>
      <c r="S361" s="15" t="s">
        <v>109</v>
      </c>
      <c r="T361" s="15" t="s">
        <v>160</v>
      </c>
      <c r="U361" s="15" t="s">
        <v>161</v>
      </c>
      <c r="V361" s="15" t="s">
        <v>163</v>
      </c>
      <c r="W361" s="15" t="s">
        <v>165</v>
      </c>
      <c r="X361" s="15" t="s">
        <v>120</v>
      </c>
      <c r="Y361" s="18"/>
      <c r="Z361" s="15" t="s">
        <v>120</v>
      </c>
      <c r="AA361" s="18"/>
      <c r="AB361" s="15" t="s">
        <v>120</v>
      </c>
      <c r="AC361" s="15" t="s">
        <v>120</v>
      </c>
      <c r="AD361" s="18"/>
      <c r="AE361" s="15" t="s">
        <v>120</v>
      </c>
      <c r="AF361" s="18"/>
      <c r="AG361" s="15" t="s">
        <v>120</v>
      </c>
      <c r="AH361" s="18"/>
      <c r="AI361" s="15" t="s">
        <v>120</v>
      </c>
      <c r="AJ361" s="18"/>
      <c r="AK361" s="18"/>
      <c r="AL361" s="15" t="s">
        <v>141</v>
      </c>
      <c r="AM361" s="15" t="s">
        <v>138</v>
      </c>
      <c r="AN361" s="15" t="s">
        <v>156</v>
      </c>
      <c r="AO361" s="15" t="s">
        <v>185</v>
      </c>
      <c r="AP361" s="15"/>
    </row>
    <row r="362" ht="22.5" customHeight="1">
      <c r="A362" s="15" t="s">
        <v>645</v>
      </c>
      <c r="B362" s="15" t="s">
        <v>4168</v>
      </c>
      <c r="C362" s="15" t="s">
        <v>4169</v>
      </c>
      <c r="D362" s="41">
        <v>39756.0</v>
      </c>
      <c r="E362" s="15" t="s">
        <v>98</v>
      </c>
      <c r="F362" s="15">
        <v>5.512802541E9</v>
      </c>
      <c r="G362" s="15" t="s">
        <v>4170</v>
      </c>
      <c r="H362" s="15" t="s">
        <v>101</v>
      </c>
      <c r="I362" s="18"/>
      <c r="J362" s="15" t="s">
        <v>4171</v>
      </c>
      <c r="K362" s="15" t="s">
        <v>4172</v>
      </c>
      <c r="L362" s="15">
        <v>5.651301668E9</v>
      </c>
      <c r="M362" s="15" t="s">
        <v>4173</v>
      </c>
      <c r="N362" s="15" t="s">
        <v>4174</v>
      </c>
      <c r="O362" s="15">
        <v>5.630020474E9</v>
      </c>
      <c r="P362" s="20">
        <v>17.0</v>
      </c>
      <c r="Q362" s="22">
        <v>46028.54491898148</v>
      </c>
      <c r="R362" s="15" t="s">
        <v>107</v>
      </c>
      <c r="S362" s="15" t="s">
        <v>109</v>
      </c>
      <c r="T362" s="15" t="s">
        <v>127</v>
      </c>
      <c r="U362" s="15" t="s">
        <v>672</v>
      </c>
      <c r="V362" s="15" t="s">
        <v>673</v>
      </c>
      <c r="W362" s="15" t="s">
        <v>674</v>
      </c>
      <c r="X362" s="15" t="s">
        <v>120</v>
      </c>
      <c r="Y362" s="18"/>
      <c r="Z362" s="15" t="s">
        <v>120</v>
      </c>
      <c r="AA362" s="18"/>
      <c r="AB362" s="15" t="s">
        <v>120</v>
      </c>
      <c r="AC362" s="18"/>
      <c r="AD362" s="18"/>
      <c r="AE362" s="15" t="s">
        <v>120</v>
      </c>
      <c r="AF362" s="18"/>
      <c r="AG362" s="15" t="s">
        <v>120</v>
      </c>
      <c r="AH362" s="18"/>
      <c r="AI362" s="15" t="s">
        <v>120</v>
      </c>
      <c r="AJ362" s="18"/>
      <c r="AK362" s="18"/>
      <c r="AL362" s="15" t="s">
        <v>156</v>
      </c>
      <c r="AM362" s="15" t="s">
        <v>126</v>
      </c>
      <c r="AN362" s="15" t="s">
        <v>242</v>
      </c>
      <c r="AO362" s="15" t="s">
        <v>216</v>
      </c>
      <c r="AP362" s="15"/>
    </row>
    <row r="363" ht="22.5" customHeight="1">
      <c r="A363" s="15" t="s">
        <v>4175</v>
      </c>
      <c r="B363" s="15" t="s">
        <v>4176</v>
      </c>
      <c r="C363" s="15" t="s">
        <v>4177</v>
      </c>
      <c r="D363" s="41">
        <v>41190.0</v>
      </c>
      <c r="E363" s="15" t="s">
        <v>177</v>
      </c>
      <c r="F363" s="15">
        <v>5.634144392E9</v>
      </c>
      <c r="G363" s="15" t="s">
        <v>4178</v>
      </c>
      <c r="H363" s="15" t="s">
        <v>101</v>
      </c>
      <c r="I363" s="23" t="s">
        <v>135</v>
      </c>
      <c r="J363" s="15" t="s">
        <v>4179</v>
      </c>
      <c r="K363" s="15" t="s">
        <v>4180</v>
      </c>
      <c r="L363" s="15">
        <v>5.523778565E9</v>
      </c>
      <c r="M363" s="18"/>
      <c r="N363" s="18"/>
      <c r="O363" s="18"/>
      <c r="P363" s="20">
        <v>13.0</v>
      </c>
      <c r="Q363" s="22">
        <v>46039.79861111111</v>
      </c>
      <c r="R363" s="15" t="s">
        <v>107</v>
      </c>
      <c r="S363" s="15" t="s">
        <v>109</v>
      </c>
      <c r="T363" s="15" t="s">
        <v>192</v>
      </c>
      <c r="U363" s="15" t="s">
        <v>609</v>
      </c>
      <c r="V363" s="15" t="s">
        <v>611</v>
      </c>
      <c r="W363" s="15" t="s">
        <v>612</v>
      </c>
      <c r="X363" s="15" t="s">
        <v>120</v>
      </c>
      <c r="Y363" s="18"/>
      <c r="Z363" s="15" t="s">
        <v>117</v>
      </c>
      <c r="AA363" s="49" t="s">
        <v>4181</v>
      </c>
      <c r="AB363" s="15" t="s">
        <v>120</v>
      </c>
      <c r="AC363" s="18"/>
      <c r="AD363" s="18"/>
      <c r="AE363" s="15" t="s">
        <v>120</v>
      </c>
      <c r="AF363" s="18"/>
      <c r="AG363" s="15" t="s">
        <v>120</v>
      </c>
      <c r="AH363" s="18"/>
      <c r="AI363" s="15" t="s">
        <v>120</v>
      </c>
      <c r="AJ363" s="18"/>
      <c r="AK363" s="15" t="s">
        <v>135</v>
      </c>
      <c r="AL363" s="15" t="s">
        <v>141</v>
      </c>
      <c r="AM363" s="15" t="s">
        <v>242</v>
      </c>
      <c r="AN363" s="15" t="s">
        <v>216</v>
      </c>
      <c r="AO363" s="15" t="s">
        <v>185</v>
      </c>
      <c r="AP363" s="15"/>
    </row>
    <row r="364" ht="22.5" customHeight="1">
      <c r="A364" s="15" t="s">
        <v>4182</v>
      </c>
      <c r="B364" s="15" t="s">
        <v>2536</v>
      </c>
      <c r="C364" s="15" t="s">
        <v>4183</v>
      </c>
      <c r="D364" s="41">
        <v>40354.0</v>
      </c>
      <c r="E364" s="15" t="s">
        <v>177</v>
      </c>
      <c r="F364" s="15">
        <v>5.610931944E9</v>
      </c>
      <c r="G364" s="15" t="s">
        <v>4184</v>
      </c>
      <c r="H364" s="15" t="s">
        <v>101</v>
      </c>
      <c r="I364" s="18"/>
      <c r="J364" s="15" t="s">
        <v>1383</v>
      </c>
      <c r="K364" s="15" t="s">
        <v>1386</v>
      </c>
      <c r="L364" s="15">
        <v>5.518388891E9</v>
      </c>
      <c r="M364" s="18"/>
      <c r="N364" s="18"/>
      <c r="O364" s="18"/>
      <c r="P364" s="20">
        <v>15.0</v>
      </c>
      <c r="Q364" s="22">
        <v>46033.505162037036</v>
      </c>
      <c r="R364" s="15" t="s">
        <v>107</v>
      </c>
      <c r="S364" s="15" t="s">
        <v>109</v>
      </c>
      <c r="T364" s="15" t="s">
        <v>160</v>
      </c>
      <c r="U364" s="15" t="s">
        <v>1265</v>
      </c>
      <c r="V364" s="15" t="s">
        <v>1267</v>
      </c>
      <c r="W364" s="15" t="s">
        <v>1268</v>
      </c>
      <c r="X364" s="15" t="s">
        <v>120</v>
      </c>
      <c r="Y364" s="18"/>
      <c r="Z364" s="15" t="s">
        <v>120</v>
      </c>
      <c r="AA364" s="18"/>
      <c r="AB364" s="15" t="s">
        <v>120</v>
      </c>
      <c r="AC364" s="18"/>
      <c r="AD364" s="18"/>
      <c r="AE364" s="15" t="s">
        <v>120</v>
      </c>
      <c r="AF364" s="18"/>
      <c r="AG364" s="15" t="s">
        <v>117</v>
      </c>
      <c r="AH364" s="18"/>
      <c r="AI364" s="15" t="s">
        <v>120</v>
      </c>
      <c r="AJ364" s="18"/>
      <c r="AK364" s="18"/>
      <c r="AL364" s="15" t="s">
        <v>141</v>
      </c>
      <c r="AM364" s="15" t="s">
        <v>240</v>
      </c>
      <c r="AN364" s="15" t="s">
        <v>126</v>
      </c>
      <c r="AO364" s="15" t="s">
        <v>156</v>
      </c>
      <c r="AP364" s="15"/>
    </row>
    <row r="365" ht="22.5" customHeight="1">
      <c r="A365" s="15" t="s">
        <v>4185</v>
      </c>
      <c r="B365" s="15" t="s">
        <v>4186</v>
      </c>
      <c r="C365" s="15" t="s">
        <v>4187</v>
      </c>
      <c r="D365" s="41">
        <v>40093.0</v>
      </c>
      <c r="E365" s="15" t="s">
        <v>98</v>
      </c>
      <c r="F365" s="15">
        <v>5.568691021E9</v>
      </c>
      <c r="G365" s="15" t="s">
        <v>4188</v>
      </c>
      <c r="H365" s="15" t="s">
        <v>140</v>
      </c>
      <c r="I365" s="18"/>
      <c r="J365" s="15" t="s">
        <v>4189</v>
      </c>
      <c r="K365" s="15" t="s">
        <v>4190</v>
      </c>
      <c r="L365" s="15">
        <v>5.523104954E9</v>
      </c>
      <c r="M365" s="18"/>
      <c r="N365" s="18"/>
      <c r="O365" s="18"/>
      <c r="P365" s="20">
        <v>16.0</v>
      </c>
      <c r="Q365" s="22">
        <v>46033.79534722222</v>
      </c>
      <c r="R365" s="15" t="s">
        <v>107</v>
      </c>
      <c r="S365" s="15" t="s">
        <v>109</v>
      </c>
      <c r="T365" s="15" t="s">
        <v>171</v>
      </c>
      <c r="U365" s="15" t="s">
        <v>526</v>
      </c>
      <c r="V365" s="15" t="s">
        <v>527</v>
      </c>
      <c r="W365" s="15" t="s">
        <v>528</v>
      </c>
      <c r="X365" s="15" t="s">
        <v>120</v>
      </c>
      <c r="Y365" s="18"/>
      <c r="Z365" s="15" t="s">
        <v>120</v>
      </c>
      <c r="AA365" s="18"/>
      <c r="AB365" s="15" t="s">
        <v>120</v>
      </c>
      <c r="AC365" s="15" t="s">
        <v>117</v>
      </c>
      <c r="AD365" s="18"/>
      <c r="AE365" s="15" t="s">
        <v>120</v>
      </c>
      <c r="AF365" s="18"/>
      <c r="AG365" s="15" t="s">
        <v>120</v>
      </c>
      <c r="AH365" s="18"/>
      <c r="AI365" s="15" t="s">
        <v>120</v>
      </c>
      <c r="AJ365" s="18"/>
      <c r="AK365" s="18"/>
      <c r="AL365" s="15" t="s">
        <v>124</v>
      </c>
      <c r="AM365" s="15" t="s">
        <v>185</v>
      </c>
      <c r="AN365" s="15" t="s">
        <v>128</v>
      </c>
      <c r="AO365" s="15" t="s">
        <v>216</v>
      </c>
      <c r="AP365" s="15"/>
    </row>
    <row r="366" ht="22.5" customHeight="1">
      <c r="A366" s="15" t="s">
        <v>4191</v>
      </c>
      <c r="B366" s="15" t="s">
        <v>4192</v>
      </c>
      <c r="C366" s="15" t="s">
        <v>4193</v>
      </c>
      <c r="D366" s="41">
        <v>39938.0</v>
      </c>
      <c r="E366" s="15" t="s">
        <v>98</v>
      </c>
      <c r="F366" s="15">
        <v>5.585923129E9</v>
      </c>
      <c r="G366" s="15" t="s">
        <v>4194</v>
      </c>
      <c r="H366" s="15" t="s">
        <v>101</v>
      </c>
      <c r="I366" s="18"/>
      <c r="J366" s="15" t="s">
        <v>4195</v>
      </c>
      <c r="K366" s="15" t="s">
        <v>4196</v>
      </c>
      <c r="L366" s="15">
        <v>5.585923129E9</v>
      </c>
      <c r="M366" s="18"/>
      <c r="N366" s="18"/>
      <c r="O366" s="18"/>
      <c r="P366" s="20">
        <v>16.0</v>
      </c>
      <c r="Q366" s="22">
        <v>46036.784780092596</v>
      </c>
      <c r="R366" s="15" t="s">
        <v>107</v>
      </c>
      <c r="S366" s="15" t="s">
        <v>109</v>
      </c>
      <c r="T366" s="15" t="s">
        <v>171</v>
      </c>
      <c r="U366" s="15" t="s">
        <v>2149</v>
      </c>
      <c r="V366" s="15" t="s">
        <v>2141</v>
      </c>
      <c r="W366" s="15" t="s">
        <v>2151</v>
      </c>
      <c r="X366" s="15" t="s">
        <v>120</v>
      </c>
      <c r="Y366" s="18"/>
      <c r="Z366" s="15" t="s">
        <v>120</v>
      </c>
      <c r="AA366" s="18"/>
      <c r="AB366" s="15" t="s">
        <v>120</v>
      </c>
      <c r="AC366" s="18"/>
      <c r="AD366" s="18"/>
      <c r="AE366" s="15" t="s">
        <v>120</v>
      </c>
      <c r="AF366" s="18"/>
      <c r="AG366" s="15" t="s">
        <v>120</v>
      </c>
      <c r="AH366" s="18"/>
      <c r="AI366" s="15" t="s">
        <v>120</v>
      </c>
      <c r="AJ366" s="18"/>
      <c r="AK366" s="18"/>
      <c r="AL366" s="15" t="s">
        <v>141</v>
      </c>
      <c r="AM366" s="15" t="s">
        <v>129</v>
      </c>
      <c r="AN366" s="15" t="s">
        <v>126</v>
      </c>
      <c r="AO366" s="15" t="s">
        <v>185</v>
      </c>
      <c r="AP366" s="15"/>
    </row>
    <row r="367" ht="22.5" customHeight="1">
      <c r="A367" s="15" t="s">
        <v>4197</v>
      </c>
      <c r="B367" s="15" t="s">
        <v>4198</v>
      </c>
      <c r="C367" s="15" t="s">
        <v>4199</v>
      </c>
      <c r="D367" s="41">
        <v>40219.0</v>
      </c>
      <c r="E367" s="15" t="s">
        <v>98</v>
      </c>
      <c r="F367" s="15">
        <v>5.533692329E9</v>
      </c>
      <c r="G367" s="15" t="s">
        <v>4200</v>
      </c>
      <c r="H367" s="15" t="s">
        <v>150</v>
      </c>
      <c r="I367" s="23" t="s">
        <v>3301</v>
      </c>
      <c r="J367" s="15" t="s">
        <v>4201</v>
      </c>
      <c r="K367" s="15" t="s">
        <v>4202</v>
      </c>
      <c r="L367" s="15">
        <v>5.64104735E9</v>
      </c>
      <c r="M367" s="18"/>
      <c r="N367" s="18"/>
      <c r="O367" s="18"/>
      <c r="P367" s="20">
        <v>16.0</v>
      </c>
      <c r="Q367" s="22">
        <v>46041.34019675926</v>
      </c>
      <c r="R367" s="15" t="s">
        <v>107</v>
      </c>
      <c r="S367" s="15" t="s">
        <v>109</v>
      </c>
      <c r="T367" s="15" t="s">
        <v>111</v>
      </c>
      <c r="U367" s="15" t="s">
        <v>2283</v>
      </c>
      <c r="V367" s="15" t="s">
        <v>2285</v>
      </c>
      <c r="W367" s="15" t="s">
        <v>2286</v>
      </c>
      <c r="X367" s="15" t="s">
        <v>120</v>
      </c>
      <c r="Y367" s="18"/>
      <c r="Z367" s="15" t="s">
        <v>120</v>
      </c>
      <c r="AA367" s="18"/>
      <c r="AB367" s="15" t="s">
        <v>120</v>
      </c>
      <c r="AC367" s="18"/>
      <c r="AD367" s="18"/>
      <c r="AE367" s="15" t="s">
        <v>120</v>
      </c>
      <c r="AF367" s="18"/>
      <c r="AG367" s="15" t="s">
        <v>120</v>
      </c>
      <c r="AH367" s="18"/>
      <c r="AI367" s="15" t="s">
        <v>120</v>
      </c>
      <c r="AJ367" s="18"/>
      <c r="AK367" s="18"/>
      <c r="AL367" s="15" t="s">
        <v>138</v>
      </c>
      <c r="AM367" s="15" t="s">
        <v>242</v>
      </c>
      <c r="AN367" s="15" t="s">
        <v>126</v>
      </c>
      <c r="AO367" s="15" t="s">
        <v>128</v>
      </c>
      <c r="AP367" s="15"/>
    </row>
    <row r="368" ht="22.5" customHeight="1">
      <c r="A368" s="15" t="s">
        <v>4203</v>
      </c>
      <c r="B368" s="15" t="s">
        <v>4204</v>
      </c>
      <c r="C368" s="15" t="s">
        <v>4205</v>
      </c>
      <c r="D368" s="41">
        <v>40169.0</v>
      </c>
      <c r="E368" s="15" t="s">
        <v>177</v>
      </c>
      <c r="F368" s="15">
        <v>5.57114676E9</v>
      </c>
      <c r="G368" s="15" t="s">
        <v>4206</v>
      </c>
      <c r="H368" s="15" t="s">
        <v>101</v>
      </c>
      <c r="I368" s="23" t="s">
        <v>4207</v>
      </c>
      <c r="J368" s="15" t="s">
        <v>3290</v>
      </c>
      <c r="K368" s="15" t="s">
        <v>4208</v>
      </c>
      <c r="L368" s="15">
        <v>5.582199248E9</v>
      </c>
      <c r="M368" s="18"/>
      <c r="N368" s="18"/>
      <c r="O368" s="18"/>
      <c r="P368" s="20">
        <v>16.0</v>
      </c>
      <c r="Q368" s="22">
        <v>46032.735671296294</v>
      </c>
      <c r="R368" s="15" t="s">
        <v>107</v>
      </c>
      <c r="S368" s="15" t="s">
        <v>109</v>
      </c>
      <c r="T368" s="15" t="s">
        <v>127</v>
      </c>
      <c r="U368" s="15" t="s">
        <v>766</v>
      </c>
      <c r="V368" s="15" t="s">
        <v>767</v>
      </c>
      <c r="W368" s="15" t="s">
        <v>768</v>
      </c>
      <c r="X368" s="15" t="s">
        <v>120</v>
      </c>
      <c r="Y368" s="18"/>
      <c r="Z368" s="15" t="s">
        <v>120</v>
      </c>
      <c r="AA368" s="18"/>
      <c r="AB368" s="15" t="s">
        <v>120</v>
      </c>
      <c r="AC368" s="15" t="s">
        <v>120</v>
      </c>
      <c r="AD368" s="18"/>
      <c r="AE368" s="15" t="s">
        <v>120</v>
      </c>
      <c r="AF368" s="18"/>
      <c r="AG368" s="15" t="s">
        <v>120</v>
      </c>
      <c r="AH368" s="18"/>
      <c r="AI368" s="15" t="s">
        <v>120</v>
      </c>
      <c r="AJ368" s="18"/>
      <c r="AK368" s="18"/>
      <c r="AL368" s="15" t="s">
        <v>185</v>
      </c>
      <c r="AM368" s="15" t="s">
        <v>126</v>
      </c>
      <c r="AN368" s="15" t="s">
        <v>138</v>
      </c>
      <c r="AO368" s="15" t="s">
        <v>129</v>
      </c>
      <c r="AP368" s="15"/>
    </row>
    <row r="369" ht="22.5" customHeight="1">
      <c r="A369" s="15" t="s">
        <v>4209</v>
      </c>
      <c r="B369" s="15" t="s">
        <v>4210</v>
      </c>
      <c r="C369" s="15" t="s">
        <v>4211</v>
      </c>
      <c r="D369" s="41">
        <v>39732.0</v>
      </c>
      <c r="E369" s="15" t="s">
        <v>98</v>
      </c>
      <c r="F369" s="15">
        <v>5.543516327E9</v>
      </c>
      <c r="G369" s="15" t="s">
        <v>4212</v>
      </c>
      <c r="H369" s="15" t="s">
        <v>150</v>
      </c>
      <c r="I369" s="18"/>
      <c r="J369" s="15" t="s">
        <v>4213</v>
      </c>
      <c r="K369" s="15" t="s">
        <v>4214</v>
      </c>
      <c r="L369" s="15">
        <v>5.539603209E9</v>
      </c>
      <c r="M369" s="18"/>
      <c r="N369" s="18"/>
      <c r="O369" s="18"/>
      <c r="P369" s="20">
        <v>17.0</v>
      </c>
      <c r="Q369" s="22">
        <v>46034.495462962965</v>
      </c>
      <c r="R369" s="15" t="s">
        <v>107</v>
      </c>
      <c r="S369" s="15" t="s">
        <v>109</v>
      </c>
      <c r="T369" s="15" t="s">
        <v>171</v>
      </c>
      <c r="U369" s="15" t="s">
        <v>638</v>
      </c>
      <c r="V369" s="15" t="s">
        <v>639</v>
      </c>
      <c r="W369" s="15" t="s">
        <v>641</v>
      </c>
      <c r="X369" s="15" t="s">
        <v>120</v>
      </c>
      <c r="Y369" s="18"/>
      <c r="Z369" s="15" t="s">
        <v>120</v>
      </c>
      <c r="AA369" s="18"/>
      <c r="AB369" s="15" t="s">
        <v>120</v>
      </c>
      <c r="AC369" s="18"/>
      <c r="AD369" s="18"/>
      <c r="AE369" s="15" t="s">
        <v>120</v>
      </c>
      <c r="AF369" s="18"/>
      <c r="AG369" s="15" t="s">
        <v>120</v>
      </c>
      <c r="AH369" s="18"/>
      <c r="AI369" s="15" t="s">
        <v>120</v>
      </c>
      <c r="AJ369" s="18"/>
      <c r="AK369" s="18"/>
      <c r="AL369" s="15" t="s">
        <v>141</v>
      </c>
      <c r="AM369" s="15" t="s">
        <v>156</v>
      </c>
      <c r="AN369" s="15" t="s">
        <v>126</v>
      </c>
      <c r="AO369" s="15" t="s">
        <v>128</v>
      </c>
      <c r="AP369" s="15"/>
    </row>
    <row r="370" ht="22.5" customHeight="1">
      <c r="A370" s="15" t="s">
        <v>4215</v>
      </c>
      <c r="B370" s="15" t="s">
        <v>4216</v>
      </c>
      <c r="C370" s="15" t="s">
        <v>4217</v>
      </c>
      <c r="D370" s="41">
        <v>40003.0</v>
      </c>
      <c r="E370" s="15" t="s">
        <v>98</v>
      </c>
      <c r="F370" s="15">
        <v>5.61846169E9</v>
      </c>
      <c r="G370" s="15" t="s">
        <v>4218</v>
      </c>
      <c r="H370" s="15" t="s">
        <v>140</v>
      </c>
      <c r="I370" s="18"/>
      <c r="J370" s="15" t="s">
        <v>4219</v>
      </c>
      <c r="K370" s="15" t="s">
        <v>4220</v>
      </c>
      <c r="L370" s="15">
        <v>5.532733287E9</v>
      </c>
      <c r="M370" s="18"/>
      <c r="N370" s="18"/>
      <c r="O370" s="18"/>
      <c r="P370" s="20">
        <v>16.0</v>
      </c>
      <c r="Q370" s="22">
        <v>46040.88496527778</v>
      </c>
      <c r="R370" s="15" t="s">
        <v>107</v>
      </c>
      <c r="S370" s="15" t="s">
        <v>109</v>
      </c>
      <c r="T370" s="15" t="s">
        <v>111</v>
      </c>
      <c r="U370" s="15" t="s">
        <v>2654</v>
      </c>
      <c r="V370" s="15" t="s">
        <v>2655</v>
      </c>
      <c r="W370" s="15" t="s">
        <v>2656</v>
      </c>
      <c r="X370" s="15" t="s">
        <v>120</v>
      </c>
      <c r="Y370" s="18"/>
      <c r="Z370" s="15" t="s">
        <v>120</v>
      </c>
      <c r="AA370" s="18"/>
      <c r="AB370" s="15" t="s">
        <v>120</v>
      </c>
      <c r="AC370" s="15" t="s">
        <v>120</v>
      </c>
      <c r="AD370" s="18"/>
      <c r="AE370" s="15" t="s">
        <v>120</v>
      </c>
      <c r="AF370" s="18"/>
      <c r="AG370" s="15" t="s">
        <v>120</v>
      </c>
      <c r="AH370" s="15" t="s">
        <v>3477</v>
      </c>
      <c r="AI370" s="15" t="s">
        <v>120</v>
      </c>
      <c r="AJ370" s="18"/>
      <c r="AK370" s="18"/>
      <c r="AL370" s="15" t="s">
        <v>242</v>
      </c>
      <c r="AM370" s="15" t="s">
        <v>156</v>
      </c>
      <c r="AN370" s="15" t="s">
        <v>216</v>
      </c>
      <c r="AO370" s="15" t="s">
        <v>124</v>
      </c>
      <c r="AP370" s="15"/>
    </row>
    <row r="371" ht="22.5" customHeight="1">
      <c r="A371" s="15" t="s">
        <v>2683</v>
      </c>
      <c r="B371" s="15" t="s">
        <v>2684</v>
      </c>
      <c r="C371" s="15" t="s">
        <v>2685</v>
      </c>
      <c r="D371" s="41">
        <v>40667.0</v>
      </c>
      <c r="E371" s="15" t="s">
        <v>177</v>
      </c>
      <c r="F371" s="15">
        <v>5.54962651E9</v>
      </c>
      <c r="G371" s="15" t="s">
        <v>2686</v>
      </c>
      <c r="H371" s="15" t="s">
        <v>140</v>
      </c>
      <c r="I371" s="18"/>
      <c r="J371" s="15" t="s">
        <v>2687</v>
      </c>
      <c r="K371" s="15" t="s">
        <v>2688</v>
      </c>
      <c r="L371" s="18" t="str">
        <f>+52 55 7441 3479</f>
        <v>#ERROR!</v>
      </c>
      <c r="M371" s="15" t="s">
        <v>2690</v>
      </c>
      <c r="N371" s="15" t="s">
        <v>2691</v>
      </c>
      <c r="O371" s="18" t="str">
        <f>+52 55 1345 0091</f>
        <v>#ERROR!</v>
      </c>
      <c r="P371" s="20">
        <v>14.0</v>
      </c>
      <c r="Q371" s="22">
        <v>46033.60320601852</v>
      </c>
      <c r="R371" s="15" t="s">
        <v>107</v>
      </c>
      <c r="S371" s="15" t="s">
        <v>109</v>
      </c>
      <c r="T371" s="15" t="s">
        <v>204</v>
      </c>
      <c r="U371" s="15" t="s">
        <v>367</v>
      </c>
      <c r="V371" s="15" t="s">
        <v>368</v>
      </c>
      <c r="W371" s="15" t="s">
        <v>369</v>
      </c>
      <c r="X371" s="15" t="s">
        <v>120</v>
      </c>
      <c r="Y371" s="18"/>
      <c r="Z371" s="15" t="s">
        <v>120</v>
      </c>
      <c r="AA371" s="18"/>
      <c r="AB371" s="15" t="s">
        <v>120</v>
      </c>
      <c r="AC371" s="18"/>
      <c r="AD371" s="18"/>
      <c r="AE371" s="15" t="s">
        <v>120</v>
      </c>
      <c r="AF371" s="18"/>
      <c r="AG371" s="15" t="s">
        <v>117</v>
      </c>
      <c r="AH371" s="15" t="s">
        <v>2703</v>
      </c>
      <c r="AI371" s="15" t="s">
        <v>120</v>
      </c>
      <c r="AJ371" s="18"/>
      <c r="AK371" s="18"/>
      <c r="AL371" s="15" t="s">
        <v>141</v>
      </c>
      <c r="AM371" s="15" t="s">
        <v>240</v>
      </c>
      <c r="AN371" s="15" t="s">
        <v>185</v>
      </c>
      <c r="AO371" s="15" t="s">
        <v>126</v>
      </c>
      <c r="AP371" s="15"/>
    </row>
    <row r="372" ht="22.5" customHeight="1">
      <c r="A372" s="15" t="s">
        <v>4221</v>
      </c>
      <c r="B372" s="15" t="s">
        <v>4222</v>
      </c>
      <c r="C372" s="15" t="s">
        <v>4223</v>
      </c>
      <c r="D372" s="41">
        <v>40393.0</v>
      </c>
      <c r="E372" s="15" t="s">
        <v>177</v>
      </c>
      <c r="F372" s="15">
        <v>5.520885391E9</v>
      </c>
      <c r="G372" s="15" t="s">
        <v>4224</v>
      </c>
      <c r="H372" s="15" t="s">
        <v>101</v>
      </c>
      <c r="I372" s="18"/>
      <c r="J372" s="15" t="s">
        <v>4225</v>
      </c>
      <c r="K372" s="15" t="s">
        <v>4226</v>
      </c>
      <c r="L372" s="15">
        <v>5.539017098E9</v>
      </c>
      <c r="M372" s="15" t="s">
        <v>4227</v>
      </c>
      <c r="N372" s="15" t="s">
        <v>4228</v>
      </c>
      <c r="O372" s="15">
        <v>5.579065869E9</v>
      </c>
      <c r="P372" s="20">
        <v>15.0</v>
      </c>
      <c r="Q372" s="22">
        <v>46031.57894675926</v>
      </c>
      <c r="R372" s="15" t="s">
        <v>107</v>
      </c>
      <c r="S372" s="15" t="s">
        <v>109</v>
      </c>
      <c r="T372" s="15" t="s">
        <v>160</v>
      </c>
      <c r="U372" s="15" t="s">
        <v>279</v>
      </c>
      <c r="V372" s="15" t="s">
        <v>280</v>
      </c>
      <c r="W372" s="15" t="s">
        <v>282</v>
      </c>
      <c r="X372" s="15" t="s">
        <v>120</v>
      </c>
      <c r="Y372" s="18"/>
      <c r="Z372" s="15" t="s">
        <v>120</v>
      </c>
      <c r="AA372" s="18"/>
      <c r="AB372" s="15" t="s">
        <v>120</v>
      </c>
      <c r="AC372" s="18"/>
      <c r="AD372" s="18"/>
      <c r="AE372" s="15" t="s">
        <v>120</v>
      </c>
      <c r="AF372" s="18"/>
      <c r="AG372" s="15" t="s">
        <v>120</v>
      </c>
      <c r="AH372" s="18"/>
      <c r="AI372" s="15" t="s">
        <v>120</v>
      </c>
      <c r="AJ372" s="18"/>
      <c r="AK372" s="18"/>
      <c r="AL372" s="15" t="s">
        <v>126</v>
      </c>
      <c r="AM372" s="15" t="s">
        <v>141</v>
      </c>
      <c r="AN372" s="15" t="s">
        <v>242</v>
      </c>
      <c r="AO372" s="15" t="s">
        <v>129</v>
      </c>
      <c r="AP372" s="15"/>
    </row>
    <row r="373" ht="22.5" customHeight="1">
      <c r="A373" s="15" t="s">
        <v>2145</v>
      </c>
      <c r="B373" s="15" t="s">
        <v>2147</v>
      </c>
      <c r="C373" s="15" t="s">
        <v>2148</v>
      </c>
      <c r="D373" s="41">
        <v>40571.0</v>
      </c>
      <c r="E373" s="15" t="s">
        <v>177</v>
      </c>
      <c r="F373" s="15">
        <v>5.561712405E9</v>
      </c>
      <c r="G373" s="15" t="s">
        <v>2150</v>
      </c>
      <c r="H373" s="15" t="s">
        <v>382</v>
      </c>
      <c r="I373" s="18"/>
      <c r="J373" s="15" t="s">
        <v>2152</v>
      </c>
      <c r="K373" s="15" t="s">
        <v>2150</v>
      </c>
      <c r="L373" s="15">
        <v>5.523204252E9</v>
      </c>
      <c r="M373" s="18"/>
      <c r="N373" s="18"/>
      <c r="O373" s="18"/>
      <c r="P373" s="20">
        <v>15.0</v>
      </c>
      <c r="Q373" s="22">
        <v>46029.070081018515</v>
      </c>
      <c r="R373" s="15" t="s">
        <v>107</v>
      </c>
      <c r="S373" s="15" t="s">
        <v>109</v>
      </c>
      <c r="T373" s="15" t="s">
        <v>204</v>
      </c>
      <c r="U373" s="15" t="s">
        <v>295</v>
      </c>
      <c r="V373" s="15" t="s">
        <v>298</v>
      </c>
      <c r="W373" s="15" t="s">
        <v>299</v>
      </c>
      <c r="X373" s="15" t="s">
        <v>120</v>
      </c>
      <c r="Y373" s="18"/>
      <c r="Z373" s="15" t="s">
        <v>120</v>
      </c>
      <c r="AA373" s="18"/>
      <c r="AB373" s="15" t="s">
        <v>117</v>
      </c>
      <c r="AC373" s="15" t="s">
        <v>117</v>
      </c>
      <c r="AD373" s="15" t="s">
        <v>1053</v>
      </c>
      <c r="AE373" s="15" t="s">
        <v>120</v>
      </c>
      <c r="AF373" s="18"/>
      <c r="AG373" s="15" t="s">
        <v>120</v>
      </c>
      <c r="AH373" s="18"/>
      <c r="AI373" s="15" t="s">
        <v>120</v>
      </c>
      <c r="AJ373" s="18"/>
      <c r="AK373" s="18"/>
      <c r="AL373" s="15" t="s">
        <v>126</v>
      </c>
      <c r="AM373" s="15" t="s">
        <v>240</v>
      </c>
      <c r="AN373" s="15" t="s">
        <v>242</v>
      </c>
      <c r="AO373" s="15" t="s">
        <v>185</v>
      </c>
      <c r="AP373" s="15"/>
    </row>
    <row r="374" ht="22.5" customHeight="1">
      <c r="A374" s="15" t="s">
        <v>451</v>
      </c>
      <c r="B374" s="15" t="s">
        <v>1912</v>
      </c>
      <c r="C374" s="15" t="s">
        <v>1913</v>
      </c>
      <c r="D374" s="41">
        <v>40257.0</v>
      </c>
      <c r="E374" s="15" t="s">
        <v>98</v>
      </c>
      <c r="F374" s="15">
        <v>5.642992795E9</v>
      </c>
      <c r="G374" s="15" t="s">
        <v>1920</v>
      </c>
      <c r="H374" s="15" t="s">
        <v>150</v>
      </c>
      <c r="I374" s="18"/>
      <c r="J374" s="15" t="s">
        <v>1924</v>
      </c>
      <c r="K374" s="15" t="s">
        <v>1925</v>
      </c>
      <c r="L374" s="15">
        <v>5.546144414E9</v>
      </c>
      <c r="M374" s="15" t="s">
        <v>1928</v>
      </c>
      <c r="N374" s="15" t="s">
        <v>1929</v>
      </c>
      <c r="O374" s="15">
        <v>5.616834998E9</v>
      </c>
      <c r="P374" s="20">
        <v>15.0</v>
      </c>
      <c r="Q374" s="22">
        <v>46025.666655092595</v>
      </c>
      <c r="R374" s="15" t="s">
        <v>107</v>
      </c>
      <c r="S374" s="15" t="s">
        <v>109</v>
      </c>
      <c r="T374" s="15" t="s">
        <v>127</v>
      </c>
      <c r="U374" s="15" t="s">
        <v>531</v>
      </c>
      <c r="V374" s="15" t="s">
        <v>532</v>
      </c>
      <c r="W374" s="15" t="s">
        <v>534</v>
      </c>
      <c r="X374" s="15" t="s">
        <v>120</v>
      </c>
      <c r="Y374" s="18"/>
      <c r="Z374" s="15" t="s">
        <v>120</v>
      </c>
      <c r="AA374" s="18"/>
      <c r="AB374" s="15" t="s">
        <v>120</v>
      </c>
      <c r="AC374" s="18"/>
      <c r="AD374" s="18"/>
      <c r="AE374" s="15" t="s">
        <v>117</v>
      </c>
      <c r="AF374" s="15" t="s">
        <v>1934</v>
      </c>
      <c r="AG374" s="15" t="s">
        <v>120</v>
      </c>
      <c r="AH374" s="18"/>
      <c r="AI374" s="15" t="s">
        <v>117</v>
      </c>
      <c r="AJ374" s="15" t="s">
        <v>1937</v>
      </c>
      <c r="AK374" s="18"/>
      <c r="AL374" s="15" t="s">
        <v>156</v>
      </c>
      <c r="AM374" s="15" t="s">
        <v>185</v>
      </c>
      <c r="AN374" s="15" t="s">
        <v>124</v>
      </c>
      <c r="AO374" s="15" t="s">
        <v>242</v>
      </c>
      <c r="AP374" s="15"/>
    </row>
    <row r="375" ht="22.5" customHeight="1">
      <c r="A375" s="15" t="s">
        <v>1857</v>
      </c>
      <c r="B375" s="15" t="s">
        <v>4229</v>
      </c>
      <c r="C375" s="15" t="s">
        <v>4230</v>
      </c>
      <c r="D375" s="41">
        <v>39576.0</v>
      </c>
      <c r="E375" s="15" t="s">
        <v>177</v>
      </c>
      <c r="F375" s="15">
        <v>5.5246929E9</v>
      </c>
      <c r="G375" s="15" t="s">
        <v>4231</v>
      </c>
      <c r="H375" s="15" t="s">
        <v>101</v>
      </c>
      <c r="I375" s="18"/>
      <c r="J375" s="15" t="s">
        <v>4232</v>
      </c>
      <c r="K375" s="15" t="s">
        <v>4233</v>
      </c>
      <c r="L375" s="15">
        <v>5.5246929E9</v>
      </c>
      <c r="M375" s="18"/>
      <c r="N375" s="18"/>
      <c r="O375" s="18"/>
      <c r="P375" s="20">
        <v>17.0</v>
      </c>
      <c r="Q375" s="22">
        <v>46041.35212962963</v>
      </c>
      <c r="R375" s="15" t="s">
        <v>107</v>
      </c>
      <c r="S375" s="15" t="s">
        <v>109</v>
      </c>
      <c r="T375" s="15" t="s">
        <v>111</v>
      </c>
      <c r="U375" s="15" t="s">
        <v>2283</v>
      </c>
      <c r="V375" s="15" t="s">
        <v>2285</v>
      </c>
      <c r="W375" s="15" t="s">
        <v>2286</v>
      </c>
      <c r="X375" s="15" t="s">
        <v>120</v>
      </c>
      <c r="Y375" s="18"/>
      <c r="Z375" s="15" t="s">
        <v>117</v>
      </c>
      <c r="AA375" s="49" t="s">
        <v>4234</v>
      </c>
      <c r="AB375" s="15" t="s">
        <v>120</v>
      </c>
      <c r="AC375" s="18"/>
      <c r="AD375" s="18"/>
      <c r="AE375" s="15" t="s">
        <v>120</v>
      </c>
      <c r="AF375" s="18"/>
      <c r="AG375" s="15" t="s">
        <v>120</v>
      </c>
      <c r="AH375" s="18"/>
      <c r="AI375" s="15" t="s">
        <v>120</v>
      </c>
      <c r="AJ375" s="18"/>
      <c r="AK375" s="18"/>
      <c r="AL375" s="15" t="s">
        <v>126</v>
      </c>
      <c r="AM375" s="15" t="s">
        <v>156</v>
      </c>
      <c r="AN375" s="15" t="s">
        <v>141</v>
      </c>
      <c r="AO375" s="15" t="s">
        <v>216</v>
      </c>
      <c r="AP375" s="15"/>
    </row>
    <row r="376" ht="22.5" customHeight="1">
      <c r="A376" s="15" t="s">
        <v>4235</v>
      </c>
      <c r="B376" s="15" t="s">
        <v>2982</v>
      </c>
      <c r="C376" s="15" t="s">
        <v>4236</v>
      </c>
      <c r="D376" s="41">
        <v>39539.0</v>
      </c>
      <c r="E376" s="15" t="s">
        <v>98</v>
      </c>
      <c r="F376" s="15">
        <v>5.578643805E9</v>
      </c>
      <c r="G376" s="15" t="s">
        <v>4237</v>
      </c>
      <c r="H376" s="15" t="s">
        <v>150</v>
      </c>
      <c r="I376" s="18"/>
      <c r="J376" s="15" t="s">
        <v>4238</v>
      </c>
      <c r="K376" s="15" t="s">
        <v>4239</v>
      </c>
      <c r="L376" s="15">
        <v>5.571821804E9</v>
      </c>
      <c r="M376" s="15" t="s">
        <v>4240</v>
      </c>
      <c r="N376" s="15" t="s">
        <v>2988</v>
      </c>
      <c r="O376" s="15">
        <v>5.54074863E8</v>
      </c>
      <c r="P376" s="20">
        <v>17.0</v>
      </c>
      <c r="Q376" s="22">
        <v>46040.41322916667</v>
      </c>
      <c r="R376" s="15" t="s">
        <v>107</v>
      </c>
      <c r="S376" s="15" t="s">
        <v>109</v>
      </c>
      <c r="T376" s="15" t="s">
        <v>192</v>
      </c>
      <c r="U376" s="15" t="s">
        <v>505</v>
      </c>
      <c r="V376" s="15" t="s">
        <v>506</v>
      </c>
      <c r="W376" s="15" t="s">
        <v>507</v>
      </c>
      <c r="X376" s="15" t="s">
        <v>120</v>
      </c>
      <c r="Y376" s="18"/>
      <c r="Z376" s="15" t="s">
        <v>120</v>
      </c>
      <c r="AA376" s="18"/>
      <c r="AB376" s="15" t="s">
        <v>120</v>
      </c>
      <c r="AC376" s="18"/>
      <c r="AD376" s="18"/>
      <c r="AE376" s="15" t="s">
        <v>120</v>
      </c>
      <c r="AF376" s="18"/>
      <c r="AG376" s="15" t="s">
        <v>120</v>
      </c>
      <c r="AH376" s="18"/>
      <c r="AI376" s="15" t="s">
        <v>120</v>
      </c>
      <c r="AJ376" s="18"/>
      <c r="AK376" s="18"/>
      <c r="AL376" s="15" t="s">
        <v>124</v>
      </c>
      <c r="AM376" s="15" t="s">
        <v>138</v>
      </c>
      <c r="AN376" s="15" t="s">
        <v>129</v>
      </c>
      <c r="AO376" s="15" t="s">
        <v>185</v>
      </c>
      <c r="AP376" s="15"/>
    </row>
    <row r="377" ht="22.5" customHeight="1">
      <c r="A377" s="15" t="s">
        <v>1730</v>
      </c>
      <c r="B377" s="15" t="s">
        <v>4250</v>
      </c>
      <c r="C377" s="15" t="s">
        <v>4251</v>
      </c>
      <c r="D377" s="41">
        <v>40889.0</v>
      </c>
      <c r="E377" s="15" t="s">
        <v>177</v>
      </c>
      <c r="F377" s="15">
        <v>5.534270823E9</v>
      </c>
      <c r="G377" s="15" t="s">
        <v>4252</v>
      </c>
      <c r="H377" s="15" t="s">
        <v>150</v>
      </c>
      <c r="I377" s="23" t="s">
        <v>2339</v>
      </c>
      <c r="J377" s="15" t="s">
        <v>115</v>
      </c>
      <c r="K377" s="15" t="s">
        <v>114</v>
      </c>
      <c r="L377" s="15">
        <v>5.511719199E9</v>
      </c>
      <c r="M377" s="15" t="s">
        <v>4254</v>
      </c>
      <c r="N377" s="15" t="s">
        <v>4255</v>
      </c>
      <c r="O377" s="15">
        <v>5.532185818E9</v>
      </c>
      <c r="P377" s="20">
        <v>14.0</v>
      </c>
      <c r="Q377" s="22">
        <v>46035.97032407407</v>
      </c>
      <c r="R377" s="15" t="s">
        <v>107</v>
      </c>
      <c r="S377" s="15" t="s">
        <v>109</v>
      </c>
      <c r="T377" s="15" t="s">
        <v>111</v>
      </c>
      <c r="U377" s="15" t="s">
        <v>112</v>
      </c>
      <c r="V377" s="15" t="s">
        <v>114</v>
      </c>
      <c r="W377" s="15" t="s">
        <v>115</v>
      </c>
      <c r="X377" s="15" t="s">
        <v>120</v>
      </c>
      <c r="Y377" s="18"/>
      <c r="Z377" s="15" t="s">
        <v>120</v>
      </c>
      <c r="AA377" s="18"/>
      <c r="AB377" s="15" t="s">
        <v>120</v>
      </c>
      <c r="AC377" s="18"/>
      <c r="AD377" s="18"/>
      <c r="AE377" s="15" t="s">
        <v>120</v>
      </c>
      <c r="AF377" s="18"/>
      <c r="AG377" s="15" t="s">
        <v>120</v>
      </c>
      <c r="AH377" s="18"/>
      <c r="AI377" s="15" t="s">
        <v>120</v>
      </c>
      <c r="AJ377" s="18"/>
      <c r="AK377" s="18"/>
      <c r="AL377" s="15" t="s">
        <v>126</v>
      </c>
      <c r="AM377" s="15" t="s">
        <v>141</v>
      </c>
      <c r="AN377" s="15" t="s">
        <v>185</v>
      </c>
      <c r="AO377" s="15" t="s">
        <v>240</v>
      </c>
      <c r="AP377" s="15"/>
    </row>
    <row r="378" ht="22.5" customHeight="1">
      <c r="A378" s="15" t="s">
        <v>4256</v>
      </c>
      <c r="B378" s="15" t="s">
        <v>288</v>
      </c>
      <c r="C378" s="15" t="s">
        <v>4257</v>
      </c>
      <c r="D378" s="41">
        <v>40836.0</v>
      </c>
      <c r="E378" s="15" t="s">
        <v>177</v>
      </c>
      <c r="F378" s="15">
        <v>5.561414479E9</v>
      </c>
      <c r="G378" s="15" t="s">
        <v>4258</v>
      </c>
      <c r="H378" s="15" t="s">
        <v>101</v>
      </c>
      <c r="I378" s="18"/>
      <c r="J378" s="15" t="s">
        <v>4259</v>
      </c>
      <c r="K378" s="15" t="s">
        <v>4260</v>
      </c>
      <c r="L378" s="15">
        <v>5.577885628E9</v>
      </c>
      <c r="M378" s="18"/>
      <c r="N378" s="18"/>
      <c r="O378" s="18"/>
      <c r="P378" s="20">
        <v>14.0</v>
      </c>
      <c r="Q378" s="22">
        <v>46039.471238425926</v>
      </c>
      <c r="R378" s="15" t="s">
        <v>107</v>
      </c>
      <c r="S378" s="15" t="s">
        <v>109</v>
      </c>
      <c r="T378" s="15" t="s">
        <v>160</v>
      </c>
      <c r="U378" s="15" t="s">
        <v>308</v>
      </c>
      <c r="V378" s="15" t="s">
        <v>309</v>
      </c>
      <c r="W378" s="15" t="s">
        <v>310</v>
      </c>
      <c r="X378" s="15" t="s">
        <v>120</v>
      </c>
      <c r="Y378" s="18"/>
      <c r="Z378" s="15" t="s">
        <v>120</v>
      </c>
      <c r="AA378" s="18"/>
      <c r="AB378" s="15" t="s">
        <v>120</v>
      </c>
      <c r="AC378" s="15" t="s">
        <v>120</v>
      </c>
      <c r="AD378" s="18"/>
      <c r="AE378" s="15" t="s">
        <v>120</v>
      </c>
      <c r="AF378" s="18"/>
      <c r="AG378" s="15" t="s">
        <v>120</v>
      </c>
      <c r="AH378" s="18"/>
      <c r="AI378" s="15" t="s">
        <v>120</v>
      </c>
      <c r="AJ378" s="18"/>
      <c r="AK378" s="18"/>
      <c r="AL378" s="15" t="s">
        <v>128</v>
      </c>
      <c r="AM378" s="15" t="s">
        <v>242</v>
      </c>
      <c r="AN378" s="15" t="s">
        <v>185</v>
      </c>
      <c r="AO378" s="15" t="s">
        <v>124</v>
      </c>
      <c r="AP378" s="15"/>
    </row>
    <row r="379" ht="22.5" customHeight="1">
      <c r="A379" s="15" t="s">
        <v>4262</v>
      </c>
      <c r="B379" s="15" t="s">
        <v>345</v>
      </c>
      <c r="C379" s="15" t="s">
        <v>4263</v>
      </c>
      <c r="D379" s="41">
        <v>39577.0</v>
      </c>
      <c r="E379" s="15" t="s">
        <v>98</v>
      </c>
      <c r="F379" s="15">
        <v>5.570674137E9</v>
      </c>
      <c r="G379" s="15" t="s">
        <v>4265</v>
      </c>
      <c r="H379" s="15" t="s">
        <v>101</v>
      </c>
      <c r="I379" s="23" t="s">
        <v>4266</v>
      </c>
      <c r="J379" s="15" t="s">
        <v>4268</v>
      </c>
      <c r="K379" s="15" t="s">
        <v>4265</v>
      </c>
      <c r="L379" s="15">
        <v>5.528006072E9</v>
      </c>
      <c r="M379" s="15" t="s">
        <v>4269</v>
      </c>
      <c r="N379" s="15" t="s">
        <v>4270</v>
      </c>
      <c r="O379" s="15">
        <v>5.529380867E9</v>
      </c>
      <c r="P379" s="20">
        <v>17.0</v>
      </c>
      <c r="Q379" s="22">
        <v>46021.651979166665</v>
      </c>
      <c r="R379" s="15" t="s">
        <v>107</v>
      </c>
      <c r="S379" s="15" t="s">
        <v>109</v>
      </c>
      <c r="T379" s="15" t="s">
        <v>204</v>
      </c>
      <c r="U379" s="15" t="s">
        <v>367</v>
      </c>
      <c r="V379" s="15" t="s">
        <v>368</v>
      </c>
      <c r="W379" s="15" t="s">
        <v>369</v>
      </c>
      <c r="X379" s="15" t="s">
        <v>120</v>
      </c>
      <c r="Y379" s="18"/>
      <c r="Z379" s="15" t="s">
        <v>120</v>
      </c>
      <c r="AA379" s="18"/>
      <c r="AB379" s="15" t="s">
        <v>120</v>
      </c>
      <c r="AC379" s="18"/>
      <c r="AD379" s="18"/>
      <c r="AE379" s="15" t="s">
        <v>120</v>
      </c>
      <c r="AF379" s="18"/>
      <c r="AG379" s="15" t="s">
        <v>120</v>
      </c>
      <c r="AH379" s="18"/>
      <c r="AI379" s="15" t="s">
        <v>120</v>
      </c>
      <c r="AJ379" s="18"/>
      <c r="AK379" s="18"/>
      <c r="AL379" s="15" t="s">
        <v>126</v>
      </c>
      <c r="AM379" s="15" t="s">
        <v>185</v>
      </c>
      <c r="AN379" s="15" t="s">
        <v>216</v>
      </c>
      <c r="AO379" s="15" t="s">
        <v>124</v>
      </c>
      <c r="AP379" s="15"/>
    </row>
    <row r="380" ht="22.5" customHeight="1">
      <c r="A380" s="15" t="s">
        <v>4272</v>
      </c>
      <c r="B380" s="15" t="s">
        <v>4273</v>
      </c>
      <c r="C380" s="15" t="s">
        <v>4274</v>
      </c>
      <c r="D380" s="41">
        <v>40499.0</v>
      </c>
      <c r="E380" s="15" t="s">
        <v>177</v>
      </c>
      <c r="F380" s="15">
        <v>5.518184572E9</v>
      </c>
      <c r="G380" s="15" t="s">
        <v>4275</v>
      </c>
      <c r="H380" s="15" t="s">
        <v>101</v>
      </c>
      <c r="I380" s="18"/>
      <c r="J380" s="15" t="s">
        <v>4276</v>
      </c>
      <c r="K380" s="15" t="s">
        <v>4275</v>
      </c>
      <c r="L380" s="15">
        <v>5.518184572E9</v>
      </c>
      <c r="M380" s="15" t="s">
        <v>4277</v>
      </c>
      <c r="N380" s="15" t="s">
        <v>4275</v>
      </c>
      <c r="O380" s="15">
        <v>5.539799715E9</v>
      </c>
      <c r="P380" s="20">
        <v>15.0</v>
      </c>
      <c r="Q380" s="22">
        <v>46033.937743055554</v>
      </c>
      <c r="R380" s="15" t="s">
        <v>107</v>
      </c>
      <c r="S380" s="15" t="s">
        <v>109</v>
      </c>
      <c r="T380" s="15" t="s">
        <v>204</v>
      </c>
      <c r="U380" s="15" t="s">
        <v>699</v>
      </c>
      <c r="V380" s="15" t="s">
        <v>700</v>
      </c>
      <c r="W380" s="15" t="s">
        <v>702</v>
      </c>
      <c r="X380" s="15" t="s">
        <v>120</v>
      </c>
      <c r="Y380" s="18"/>
      <c r="Z380" s="15" t="s">
        <v>120</v>
      </c>
      <c r="AA380" s="18"/>
      <c r="AB380" s="15" t="s">
        <v>120</v>
      </c>
      <c r="AC380" s="18"/>
      <c r="AD380" s="18"/>
      <c r="AE380" s="15" t="s">
        <v>120</v>
      </c>
      <c r="AF380" s="18"/>
      <c r="AG380" s="15" t="s">
        <v>120</v>
      </c>
      <c r="AH380" s="18"/>
      <c r="AI380" s="15" t="s">
        <v>120</v>
      </c>
      <c r="AJ380" s="18"/>
      <c r="AK380" s="18"/>
      <c r="AL380" s="15" t="s">
        <v>138</v>
      </c>
      <c r="AM380" s="15" t="s">
        <v>156</v>
      </c>
      <c r="AN380" s="15" t="s">
        <v>129</v>
      </c>
      <c r="AO380" s="15" t="s">
        <v>240</v>
      </c>
      <c r="AP380" s="15"/>
    </row>
    <row r="381" ht="22.5" customHeight="1">
      <c r="A381" s="15" t="s">
        <v>4279</v>
      </c>
      <c r="B381" s="15" t="s">
        <v>4280</v>
      </c>
      <c r="C381" s="15" t="s">
        <v>4281</v>
      </c>
      <c r="D381" s="41">
        <v>40191.0</v>
      </c>
      <c r="E381" s="15" t="s">
        <v>98</v>
      </c>
      <c r="F381" s="15">
        <v>5.572056743E9</v>
      </c>
      <c r="G381" s="15" t="s">
        <v>4282</v>
      </c>
      <c r="H381" s="15" t="s">
        <v>101</v>
      </c>
      <c r="I381" s="18"/>
      <c r="J381" s="15" t="s">
        <v>4283</v>
      </c>
      <c r="K381" s="15" t="s">
        <v>4284</v>
      </c>
      <c r="L381" s="15">
        <v>5.633592091E9</v>
      </c>
      <c r="M381" s="18"/>
      <c r="N381" s="18"/>
      <c r="O381" s="18"/>
      <c r="P381" s="20">
        <v>16.0</v>
      </c>
      <c r="Q381" s="22">
        <v>46038.763136574074</v>
      </c>
      <c r="R381" s="15" t="s">
        <v>107</v>
      </c>
      <c r="S381" s="15" t="s">
        <v>109</v>
      </c>
      <c r="T381" s="15" t="s">
        <v>171</v>
      </c>
      <c r="U381" s="15" t="s">
        <v>1048</v>
      </c>
      <c r="V381" s="15" t="s">
        <v>1050</v>
      </c>
      <c r="W381" s="15" t="s">
        <v>1051</v>
      </c>
      <c r="X381" s="15" t="s">
        <v>120</v>
      </c>
      <c r="Y381" s="18"/>
      <c r="Z381" s="15" t="s">
        <v>120</v>
      </c>
      <c r="AA381" s="18"/>
      <c r="AB381" s="15" t="s">
        <v>120</v>
      </c>
      <c r="AC381" s="15" t="s">
        <v>120</v>
      </c>
      <c r="AD381" s="18"/>
      <c r="AE381" s="15" t="s">
        <v>120</v>
      </c>
      <c r="AF381" s="18"/>
      <c r="AG381" s="15" t="s">
        <v>120</v>
      </c>
      <c r="AH381" s="18"/>
      <c r="AI381" s="15" t="s">
        <v>120</v>
      </c>
      <c r="AJ381" s="18"/>
      <c r="AK381" s="18"/>
      <c r="AL381" s="15" t="s">
        <v>156</v>
      </c>
      <c r="AM381" s="15" t="s">
        <v>185</v>
      </c>
      <c r="AN381" s="15" t="s">
        <v>216</v>
      </c>
      <c r="AO381" s="15" t="s">
        <v>138</v>
      </c>
      <c r="AP381" s="15"/>
    </row>
    <row r="382" ht="22.5" customHeight="1">
      <c r="A382" s="15" t="s">
        <v>4285</v>
      </c>
      <c r="B382" s="15" t="s">
        <v>4286</v>
      </c>
      <c r="C382" s="15" t="s">
        <v>4287</v>
      </c>
      <c r="D382" s="41">
        <v>41013.0</v>
      </c>
      <c r="E382" s="15" t="s">
        <v>98</v>
      </c>
      <c r="F382" s="15" t="s">
        <v>4288</v>
      </c>
      <c r="G382" s="15" t="s">
        <v>4289</v>
      </c>
      <c r="H382" s="15" t="s">
        <v>140</v>
      </c>
      <c r="I382" s="23" t="s">
        <v>4290</v>
      </c>
      <c r="J382" s="15" t="s">
        <v>4291</v>
      </c>
      <c r="K382" s="15" t="s">
        <v>4289</v>
      </c>
      <c r="L382" s="15">
        <v>5.524335264E9</v>
      </c>
      <c r="M382" s="15" t="s">
        <v>4292</v>
      </c>
      <c r="N382" s="15" t="s">
        <v>4293</v>
      </c>
      <c r="O382" s="15">
        <v>5.514018369E9</v>
      </c>
      <c r="P382" s="20">
        <v>13.0</v>
      </c>
      <c r="Q382" s="22">
        <v>46034.541875</v>
      </c>
      <c r="R382" s="15" t="s">
        <v>107</v>
      </c>
      <c r="S382" s="15" t="s">
        <v>109</v>
      </c>
      <c r="T382" s="15" t="s">
        <v>204</v>
      </c>
      <c r="U382" s="15" t="s">
        <v>295</v>
      </c>
      <c r="V382" s="15" t="s">
        <v>298</v>
      </c>
      <c r="W382" s="15" t="s">
        <v>299</v>
      </c>
      <c r="X382" s="15" t="s">
        <v>120</v>
      </c>
      <c r="Y382" s="18"/>
      <c r="Z382" s="15" t="s">
        <v>120</v>
      </c>
      <c r="AA382" s="18"/>
      <c r="AB382" s="15" t="s">
        <v>120</v>
      </c>
      <c r="AC382" s="18"/>
      <c r="AD382" s="18"/>
      <c r="AE382" s="15" t="s">
        <v>120</v>
      </c>
      <c r="AF382" s="18"/>
      <c r="AG382" s="15" t="s">
        <v>120</v>
      </c>
      <c r="AH382" s="18"/>
      <c r="AI382" s="15" t="s">
        <v>120</v>
      </c>
      <c r="AJ382" s="18"/>
      <c r="AK382" s="18"/>
      <c r="AL382" s="15" t="s">
        <v>242</v>
      </c>
      <c r="AM382" s="15" t="s">
        <v>156</v>
      </c>
      <c r="AN382" s="15" t="s">
        <v>242</v>
      </c>
      <c r="AO382" s="15" t="s">
        <v>138</v>
      </c>
      <c r="AP382" s="15"/>
    </row>
    <row r="383" ht="22.5" customHeight="1">
      <c r="A383" s="15" t="s">
        <v>4294</v>
      </c>
      <c r="B383" s="15" t="s">
        <v>4295</v>
      </c>
      <c r="C383" s="15" t="s">
        <v>4296</v>
      </c>
      <c r="D383" s="41">
        <v>39817.0</v>
      </c>
      <c r="E383" s="15" t="s">
        <v>177</v>
      </c>
      <c r="F383" s="15">
        <v>5.578368985E9</v>
      </c>
      <c r="G383" s="15" t="s">
        <v>4297</v>
      </c>
      <c r="H383" s="15" t="s">
        <v>140</v>
      </c>
      <c r="I383" s="18"/>
      <c r="J383" s="15" t="s">
        <v>4298</v>
      </c>
      <c r="K383" s="15" t="s">
        <v>4299</v>
      </c>
      <c r="L383" s="15">
        <v>5.53790563E9</v>
      </c>
      <c r="M383" s="15" t="s">
        <v>4300</v>
      </c>
      <c r="N383" s="15" t="s">
        <v>4301</v>
      </c>
      <c r="O383" s="15">
        <v>5.591412444E9</v>
      </c>
      <c r="P383" s="20">
        <v>17.0</v>
      </c>
      <c r="Q383" s="22">
        <v>46033.47418981481</v>
      </c>
      <c r="R383" s="15" t="s">
        <v>107</v>
      </c>
      <c r="S383" s="15" t="s">
        <v>109</v>
      </c>
      <c r="T383" s="15" t="s">
        <v>111</v>
      </c>
      <c r="U383" s="15" t="s">
        <v>1979</v>
      </c>
      <c r="V383" s="15" t="s">
        <v>1980</v>
      </c>
      <c r="W383" s="15" t="s">
        <v>1981</v>
      </c>
      <c r="X383" s="15" t="s">
        <v>120</v>
      </c>
      <c r="Y383" s="18"/>
      <c r="Z383" s="15" t="s">
        <v>120</v>
      </c>
      <c r="AA383" s="18"/>
      <c r="AB383" s="15" t="s">
        <v>120</v>
      </c>
      <c r="AC383" s="18"/>
      <c r="AD383" s="18"/>
      <c r="AE383" s="15" t="s">
        <v>120</v>
      </c>
      <c r="AF383" s="18"/>
      <c r="AG383" s="15" t="s">
        <v>120</v>
      </c>
      <c r="AH383" s="18"/>
      <c r="AI383" s="15" t="s">
        <v>120</v>
      </c>
      <c r="AJ383" s="18"/>
      <c r="AK383" s="18"/>
      <c r="AL383" s="15" t="s">
        <v>156</v>
      </c>
      <c r="AM383" s="15" t="s">
        <v>216</v>
      </c>
      <c r="AN383" s="15" t="s">
        <v>129</v>
      </c>
      <c r="AO383" s="15" t="s">
        <v>138</v>
      </c>
      <c r="AP383" s="15"/>
    </row>
    <row r="384" ht="22.5" customHeight="1">
      <c r="A384" s="15" t="s">
        <v>4302</v>
      </c>
      <c r="B384" s="15" t="s">
        <v>4303</v>
      </c>
      <c r="C384" s="15" t="s">
        <v>4304</v>
      </c>
      <c r="D384" s="41">
        <v>40967.0</v>
      </c>
      <c r="E384" s="15" t="s">
        <v>98</v>
      </c>
      <c r="F384" s="15" t="s">
        <v>4305</v>
      </c>
      <c r="G384" s="15" t="s">
        <v>4306</v>
      </c>
      <c r="H384" s="15" t="s">
        <v>140</v>
      </c>
      <c r="I384" s="18"/>
      <c r="J384" s="15" t="s">
        <v>4307</v>
      </c>
      <c r="K384" s="15" t="s">
        <v>4308</v>
      </c>
      <c r="L384" s="15">
        <v>5.540502744E9</v>
      </c>
      <c r="M384" s="15" t="s">
        <v>4309</v>
      </c>
      <c r="N384" s="15" t="s">
        <v>4310</v>
      </c>
      <c r="O384" s="15">
        <v>5.541299572E9</v>
      </c>
      <c r="P384" s="20">
        <v>14.0</v>
      </c>
      <c r="Q384" s="22">
        <v>46038.866944444446</v>
      </c>
      <c r="R384" s="15" t="s">
        <v>107</v>
      </c>
      <c r="S384" s="15" t="s">
        <v>109</v>
      </c>
      <c r="T384" s="15" t="s">
        <v>192</v>
      </c>
      <c r="U384" s="15" t="s">
        <v>485</v>
      </c>
      <c r="V384" s="15" t="s">
        <v>486</v>
      </c>
      <c r="W384" s="15" t="s">
        <v>487</v>
      </c>
      <c r="X384" s="15" t="s">
        <v>120</v>
      </c>
      <c r="Y384" s="18"/>
      <c r="Z384" s="15" t="s">
        <v>120</v>
      </c>
      <c r="AA384" s="18"/>
      <c r="AB384" s="15" t="s">
        <v>120</v>
      </c>
      <c r="AC384" s="18"/>
      <c r="AD384" s="18"/>
      <c r="AE384" s="15" t="s">
        <v>120</v>
      </c>
      <c r="AF384" s="18"/>
      <c r="AG384" s="15" t="s">
        <v>120</v>
      </c>
      <c r="AH384" s="18"/>
      <c r="AI384" s="15" t="s">
        <v>120</v>
      </c>
      <c r="AJ384" s="18"/>
      <c r="AK384" s="18"/>
      <c r="AL384" s="15" t="s">
        <v>129</v>
      </c>
      <c r="AM384" s="15" t="s">
        <v>240</v>
      </c>
      <c r="AN384" s="15" t="s">
        <v>156</v>
      </c>
      <c r="AO384" s="15" t="s">
        <v>124</v>
      </c>
      <c r="AP384" s="15"/>
    </row>
    <row r="385" ht="22.5" customHeight="1">
      <c r="A385" s="15" t="s">
        <v>4311</v>
      </c>
      <c r="B385" s="15" t="s">
        <v>4312</v>
      </c>
      <c r="C385" s="18"/>
      <c r="D385" s="41">
        <v>40040.0</v>
      </c>
      <c r="E385" s="15" t="s">
        <v>177</v>
      </c>
      <c r="F385" s="15">
        <v>5.531018325E9</v>
      </c>
      <c r="G385" s="15" t="s">
        <v>4313</v>
      </c>
      <c r="H385" s="15" t="s">
        <v>101</v>
      </c>
      <c r="I385" s="18"/>
      <c r="J385" s="15" t="s">
        <v>4314</v>
      </c>
      <c r="K385" s="15" t="s">
        <v>4315</v>
      </c>
      <c r="L385" s="15">
        <v>5.642069389E9</v>
      </c>
      <c r="M385" s="18"/>
      <c r="N385" s="18"/>
      <c r="O385" s="18"/>
      <c r="P385" s="20">
        <v>16.0</v>
      </c>
      <c r="Q385" s="22">
        <v>46040.902592592596</v>
      </c>
      <c r="R385" s="15" t="s">
        <v>107</v>
      </c>
      <c r="S385" s="15" t="s">
        <v>109</v>
      </c>
      <c r="T385" s="15" t="s">
        <v>111</v>
      </c>
      <c r="U385" s="15" t="s">
        <v>1979</v>
      </c>
      <c r="V385" s="15" t="s">
        <v>1980</v>
      </c>
      <c r="W385" s="15" t="s">
        <v>1981</v>
      </c>
      <c r="X385" s="15" t="s">
        <v>120</v>
      </c>
      <c r="Y385" s="18"/>
      <c r="Z385" s="15" t="s">
        <v>120</v>
      </c>
      <c r="AA385" s="18"/>
      <c r="AB385" s="15" t="s">
        <v>120</v>
      </c>
      <c r="AC385" s="18"/>
      <c r="AD385" s="18"/>
      <c r="AE385" s="15" t="s">
        <v>120</v>
      </c>
      <c r="AF385" s="18"/>
      <c r="AG385" s="15" t="s">
        <v>120</v>
      </c>
      <c r="AH385" s="18"/>
      <c r="AI385" s="15" t="s">
        <v>120</v>
      </c>
      <c r="AJ385" s="18"/>
      <c r="AK385" s="18"/>
      <c r="AL385" s="15" t="s">
        <v>141</v>
      </c>
      <c r="AM385" s="15" t="s">
        <v>240</v>
      </c>
      <c r="AN385" s="15" t="s">
        <v>138</v>
      </c>
      <c r="AO385" s="15" t="s">
        <v>242</v>
      </c>
      <c r="AP385" s="15"/>
    </row>
    <row r="386" ht="22.5" customHeight="1">
      <c r="A386" s="15" t="s">
        <v>1974</v>
      </c>
      <c r="B386" s="15" t="s">
        <v>1975</v>
      </c>
      <c r="C386" s="18"/>
      <c r="D386" s="41">
        <v>39967.0</v>
      </c>
      <c r="E386" s="15" t="s">
        <v>98</v>
      </c>
      <c r="F386" s="15">
        <v>5.539321895E9</v>
      </c>
      <c r="G386" s="15" t="s">
        <v>1976</v>
      </c>
      <c r="H386" s="15" t="s">
        <v>101</v>
      </c>
      <c r="I386" s="18"/>
      <c r="J386" s="15" t="s">
        <v>1977</v>
      </c>
      <c r="K386" s="15" t="s">
        <v>1978</v>
      </c>
      <c r="L386" s="15">
        <v>5.544611281E9</v>
      </c>
      <c r="M386" s="18"/>
      <c r="N386" s="18"/>
      <c r="O386" s="18"/>
      <c r="P386" s="20">
        <v>16.0</v>
      </c>
      <c r="Q386" s="22">
        <v>46038.77663194444</v>
      </c>
      <c r="R386" s="15" t="s">
        <v>107</v>
      </c>
      <c r="S386" s="15" t="s">
        <v>109</v>
      </c>
      <c r="T386" s="15" t="s">
        <v>111</v>
      </c>
      <c r="U386" s="15" t="s">
        <v>1979</v>
      </c>
      <c r="V386" s="15" t="s">
        <v>1980</v>
      </c>
      <c r="W386" s="15" t="s">
        <v>1981</v>
      </c>
      <c r="X386" s="15" t="s">
        <v>120</v>
      </c>
      <c r="Y386" s="18"/>
      <c r="Z386" s="15" t="s">
        <v>117</v>
      </c>
      <c r="AA386" s="52" t="s">
        <v>1982</v>
      </c>
      <c r="AB386" s="15" t="s">
        <v>120</v>
      </c>
      <c r="AC386" s="18"/>
      <c r="AD386" s="18"/>
      <c r="AE386" s="15" t="s">
        <v>120</v>
      </c>
      <c r="AF386" s="18"/>
      <c r="AG386" s="15" t="s">
        <v>120</v>
      </c>
      <c r="AH386" s="18"/>
      <c r="AI386" s="15" t="s">
        <v>117</v>
      </c>
      <c r="AJ386" s="15" t="s">
        <v>1987</v>
      </c>
      <c r="AK386" s="18"/>
      <c r="AL386" s="15" t="s">
        <v>156</v>
      </c>
      <c r="AM386" s="15" t="s">
        <v>185</v>
      </c>
      <c r="AN386" s="15" t="s">
        <v>242</v>
      </c>
      <c r="AO386" s="15" t="s">
        <v>141</v>
      </c>
      <c r="AP386" s="15"/>
    </row>
    <row r="387" ht="22.5" customHeight="1">
      <c r="A387" s="15" t="s">
        <v>4316</v>
      </c>
      <c r="B387" s="15" t="s">
        <v>4317</v>
      </c>
      <c r="C387" s="15" t="s">
        <v>4318</v>
      </c>
      <c r="D387" s="41">
        <v>41173.0</v>
      </c>
      <c r="E387" s="15" t="s">
        <v>98</v>
      </c>
      <c r="F387" s="15">
        <v>5.518183089E9</v>
      </c>
      <c r="G387" s="15" t="s">
        <v>4319</v>
      </c>
      <c r="H387" s="15" t="s">
        <v>140</v>
      </c>
      <c r="I387" s="18"/>
      <c r="J387" s="15" t="s">
        <v>4320</v>
      </c>
      <c r="K387" s="15" t="s">
        <v>4321</v>
      </c>
      <c r="L387" s="15">
        <v>5.547647598E9</v>
      </c>
      <c r="M387" s="18"/>
      <c r="N387" s="18"/>
      <c r="O387" s="18"/>
      <c r="P387" s="20">
        <v>13.0</v>
      </c>
      <c r="Q387" s="22">
        <v>46037.81730324074</v>
      </c>
      <c r="R387" s="15" t="s">
        <v>107</v>
      </c>
      <c r="S387" s="15" t="s">
        <v>109</v>
      </c>
      <c r="T387" s="15" t="s">
        <v>160</v>
      </c>
      <c r="U387" s="15" t="s">
        <v>161</v>
      </c>
      <c r="V387" s="15" t="s">
        <v>163</v>
      </c>
      <c r="W387" s="15" t="s">
        <v>165</v>
      </c>
      <c r="X387" s="15" t="s">
        <v>120</v>
      </c>
      <c r="Y387" s="18"/>
      <c r="Z387" s="15" t="s">
        <v>120</v>
      </c>
      <c r="AA387" s="18"/>
      <c r="AB387" s="15" t="s">
        <v>120</v>
      </c>
      <c r="AC387" s="15" t="s">
        <v>120</v>
      </c>
      <c r="AD387" s="18"/>
      <c r="AE387" s="15" t="s">
        <v>120</v>
      </c>
      <c r="AF387" s="18"/>
      <c r="AG387" s="15" t="s">
        <v>120</v>
      </c>
      <c r="AH387" s="18"/>
      <c r="AI387" s="15" t="s">
        <v>120</v>
      </c>
      <c r="AJ387" s="18"/>
      <c r="AK387" s="18"/>
      <c r="AL387" s="15" t="s">
        <v>126</v>
      </c>
      <c r="AM387" s="15" t="s">
        <v>185</v>
      </c>
      <c r="AN387" s="15" t="s">
        <v>124</v>
      </c>
      <c r="AO387" s="15" t="s">
        <v>141</v>
      </c>
      <c r="AP387" s="15"/>
    </row>
    <row r="388" ht="22.5" customHeight="1">
      <c r="A388" s="15" t="s">
        <v>4322</v>
      </c>
      <c r="B388" s="15" t="s">
        <v>4323</v>
      </c>
      <c r="C388" s="15" t="s">
        <v>4324</v>
      </c>
      <c r="D388" s="41">
        <v>40243.0</v>
      </c>
      <c r="E388" s="15" t="s">
        <v>98</v>
      </c>
      <c r="F388" s="18" t="str">
        <f>+52 55 3103 3441</f>
        <v>#ERROR!</v>
      </c>
      <c r="G388" s="15" t="s">
        <v>4325</v>
      </c>
      <c r="H388" s="15" t="s">
        <v>101</v>
      </c>
      <c r="I388" s="23" t="s">
        <v>120</v>
      </c>
      <c r="J388" s="15" t="s">
        <v>4326</v>
      </c>
      <c r="K388" s="15" t="s">
        <v>4327</v>
      </c>
      <c r="L388" s="15" t="s">
        <v>4328</v>
      </c>
      <c r="M388" s="15" t="s">
        <v>4329</v>
      </c>
      <c r="N388" s="15" t="s">
        <v>4330</v>
      </c>
      <c r="O388" s="15" t="s">
        <v>4331</v>
      </c>
      <c r="P388" s="20">
        <v>15.0</v>
      </c>
      <c r="Q388" s="22">
        <v>46037.435162037036</v>
      </c>
      <c r="R388" s="15" t="s">
        <v>107</v>
      </c>
      <c r="S388" s="15" t="s">
        <v>109</v>
      </c>
      <c r="T388" s="15" t="s">
        <v>204</v>
      </c>
      <c r="U388" s="15" t="s">
        <v>357</v>
      </c>
      <c r="V388" s="15" t="s">
        <v>359</v>
      </c>
      <c r="W388" s="15" t="s">
        <v>362</v>
      </c>
      <c r="X388" s="15" t="s">
        <v>120</v>
      </c>
      <c r="Y388" s="18"/>
      <c r="Z388" s="15" t="s">
        <v>120</v>
      </c>
      <c r="AA388" s="18"/>
      <c r="AB388" s="15" t="s">
        <v>120</v>
      </c>
      <c r="AC388" s="15" t="s">
        <v>120</v>
      </c>
      <c r="AD388" s="18"/>
      <c r="AE388" s="15" t="s">
        <v>120</v>
      </c>
      <c r="AF388" s="18"/>
      <c r="AG388" s="15" t="s">
        <v>120</v>
      </c>
      <c r="AH388" s="18"/>
      <c r="AI388" s="15" t="s">
        <v>120</v>
      </c>
      <c r="AJ388" s="18"/>
      <c r="AK388" s="18"/>
      <c r="AL388" s="15" t="s">
        <v>156</v>
      </c>
      <c r="AM388" s="15" t="s">
        <v>129</v>
      </c>
      <c r="AN388" s="15" t="s">
        <v>138</v>
      </c>
      <c r="AO388" s="15" t="s">
        <v>185</v>
      </c>
      <c r="AP388" s="15"/>
    </row>
    <row r="389" ht="22.5" customHeight="1">
      <c r="A389" s="15" t="s">
        <v>2704</v>
      </c>
      <c r="B389" s="15" t="s">
        <v>2705</v>
      </c>
      <c r="C389" s="15" t="s">
        <v>2706</v>
      </c>
      <c r="D389" s="41">
        <v>40435.0</v>
      </c>
      <c r="E389" s="15" t="s">
        <v>98</v>
      </c>
      <c r="F389" s="15" t="s">
        <v>2707</v>
      </c>
      <c r="G389" s="15" t="s">
        <v>2708</v>
      </c>
      <c r="H389" s="15" t="s">
        <v>140</v>
      </c>
      <c r="I389" s="18"/>
      <c r="J389" s="15" t="s">
        <v>2709</v>
      </c>
      <c r="K389" s="15" t="s">
        <v>2710</v>
      </c>
      <c r="L389" s="15" t="s">
        <v>2711</v>
      </c>
      <c r="M389" s="18"/>
      <c r="N389" s="18"/>
      <c r="O389" s="18"/>
      <c r="P389" s="20">
        <v>15.0</v>
      </c>
      <c r="Q389" s="22">
        <v>46022.70048611111</v>
      </c>
      <c r="R389" s="15" t="s">
        <v>107</v>
      </c>
      <c r="S389" s="15" t="s">
        <v>109</v>
      </c>
      <c r="T389" s="15" t="s">
        <v>111</v>
      </c>
      <c r="U389" s="15" t="s">
        <v>112</v>
      </c>
      <c r="V389" s="15" t="s">
        <v>114</v>
      </c>
      <c r="W389" s="15" t="s">
        <v>115</v>
      </c>
      <c r="X389" s="15" t="s">
        <v>120</v>
      </c>
      <c r="Y389" s="18"/>
      <c r="Z389" s="15" t="s">
        <v>120</v>
      </c>
      <c r="AA389" s="18"/>
      <c r="AB389" s="15" t="s">
        <v>120</v>
      </c>
      <c r="AC389" s="18"/>
      <c r="AD389" s="18"/>
      <c r="AE389" s="15" t="s">
        <v>120</v>
      </c>
      <c r="AF389" s="18"/>
      <c r="AG389" s="15" t="s">
        <v>117</v>
      </c>
      <c r="AH389" s="15" t="s">
        <v>2718</v>
      </c>
      <c r="AI389" s="15" t="s">
        <v>120</v>
      </c>
      <c r="AJ389" s="18"/>
      <c r="AK389" s="18"/>
      <c r="AL389" s="15" t="s">
        <v>156</v>
      </c>
      <c r="AM389" s="15" t="s">
        <v>129</v>
      </c>
      <c r="AN389" s="15" t="s">
        <v>138</v>
      </c>
      <c r="AO389" s="15" t="s">
        <v>141</v>
      </c>
      <c r="AP389" s="15"/>
    </row>
    <row r="390" ht="22.5" customHeight="1">
      <c r="A390" s="15" t="s">
        <v>4340</v>
      </c>
      <c r="B390" s="15" t="s">
        <v>4341</v>
      </c>
      <c r="C390" s="15" t="s">
        <v>4342</v>
      </c>
      <c r="D390" s="41">
        <v>39685.0</v>
      </c>
      <c r="E390" s="15" t="s">
        <v>98</v>
      </c>
      <c r="F390" s="15">
        <v>5.544970152E9</v>
      </c>
      <c r="G390" s="15" t="s">
        <v>4343</v>
      </c>
      <c r="H390" s="15" t="s">
        <v>101</v>
      </c>
      <c r="I390" s="18"/>
      <c r="J390" s="15" t="s">
        <v>4344</v>
      </c>
      <c r="K390" s="15" t="s">
        <v>4345</v>
      </c>
      <c r="L390" s="15">
        <v>5.516551661E9</v>
      </c>
      <c r="M390" s="15" t="s">
        <v>4346</v>
      </c>
      <c r="N390" s="15" t="s">
        <v>4347</v>
      </c>
      <c r="O390" s="15">
        <v>5.521722275E9</v>
      </c>
      <c r="P390" s="20">
        <v>17.0</v>
      </c>
      <c r="Q390" s="22">
        <v>46024.995405092595</v>
      </c>
      <c r="R390" s="15" t="s">
        <v>107</v>
      </c>
      <c r="S390" s="15" t="s">
        <v>109</v>
      </c>
      <c r="T390" s="15" t="s">
        <v>111</v>
      </c>
      <c r="U390" s="15" t="s">
        <v>112</v>
      </c>
      <c r="V390" s="15" t="s">
        <v>114</v>
      </c>
      <c r="W390" s="15" t="s">
        <v>115</v>
      </c>
      <c r="X390" s="15" t="s">
        <v>120</v>
      </c>
      <c r="Y390" s="18"/>
      <c r="Z390" s="15" t="s">
        <v>117</v>
      </c>
      <c r="AA390" s="58" t="s">
        <v>285</v>
      </c>
      <c r="AB390" s="15" t="s">
        <v>120</v>
      </c>
      <c r="AC390" s="18"/>
      <c r="AD390" s="18"/>
      <c r="AE390" s="15" t="s">
        <v>120</v>
      </c>
      <c r="AF390" s="18"/>
      <c r="AG390" s="15" t="s">
        <v>120</v>
      </c>
      <c r="AH390" s="18"/>
      <c r="AI390" s="15" t="s">
        <v>120</v>
      </c>
      <c r="AJ390" s="18"/>
      <c r="AK390" s="18"/>
      <c r="AL390" s="15" t="s">
        <v>242</v>
      </c>
      <c r="AM390" s="15" t="s">
        <v>216</v>
      </c>
      <c r="AN390" s="15" t="s">
        <v>185</v>
      </c>
      <c r="AO390" s="15" t="s">
        <v>156</v>
      </c>
      <c r="AP390" s="15"/>
    </row>
    <row r="391" ht="22.5" customHeight="1">
      <c r="A391" s="15" t="s">
        <v>4348</v>
      </c>
      <c r="B391" s="15" t="s">
        <v>4349</v>
      </c>
      <c r="C391" s="15" t="s">
        <v>4350</v>
      </c>
      <c r="D391" s="41">
        <v>40272.0</v>
      </c>
      <c r="E391" s="15" t="s">
        <v>177</v>
      </c>
      <c r="F391" s="15">
        <v>5.548132823E9</v>
      </c>
      <c r="G391" s="15" t="s">
        <v>4351</v>
      </c>
      <c r="H391" s="15" t="s">
        <v>140</v>
      </c>
      <c r="I391" s="23" t="s">
        <v>1636</v>
      </c>
      <c r="J391" s="15" t="s">
        <v>4352</v>
      </c>
      <c r="K391" s="15" t="s">
        <v>4353</v>
      </c>
      <c r="L391" s="15">
        <v>5.548132823E9</v>
      </c>
      <c r="M391" s="18"/>
      <c r="N391" s="18"/>
      <c r="O391" s="18"/>
      <c r="P391" s="20">
        <v>15.0</v>
      </c>
      <c r="Q391" s="22">
        <v>46037.8428587963</v>
      </c>
      <c r="R391" s="15" t="s">
        <v>107</v>
      </c>
      <c r="S391" s="15" t="s">
        <v>109</v>
      </c>
      <c r="T391" s="15" t="s">
        <v>111</v>
      </c>
      <c r="U391" s="15" t="s">
        <v>657</v>
      </c>
      <c r="V391" s="15" t="s">
        <v>659</v>
      </c>
      <c r="W391" s="15" t="s">
        <v>662</v>
      </c>
      <c r="X391" s="15" t="s">
        <v>120</v>
      </c>
      <c r="Y391" s="18"/>
      <c r="Z391" s="15" t="s">
        <v>120</v>
      </c>
      <c r="AA391" s="18"/>
      <c r="AB391" s="15" t="s">
        <v>120</v>
      </c>
      <c r="AC391" s="18"/>
      <c r="AD391" s="18"/>
      <c r="AE391" s="15" t="s">
        <v>120</v>
      </c>
      <c r="AF391" s="18"/>
      <c r="AG391" s="15" t="s">
        <v>120</v>
      </c>
      <c r="AH391" s="18"/>
      <c r="AI391" s="15" t="s">
        <v>120</v>
      </c>
      <c r="AJ391" s="18"/>
      <c r="AK391" s="18"/>
      <c r="AL391" s="15" t="s">
        <v>138</v>
      </c>
      <c r="AM391" s="15" t="s">
        <v>156</v>
      </c>
      <c r="AN391" s="15" t="s">
        <v>129</v>
      </c>
      <c r="AO391" s="15" t="s">
        <v>124</v>
      </c>
      <c r="AP391" s="15"/>
    </row>
    <row r="392" ht="22.5" customHeight="1">
      <c r="A392" s="15" t="s">
        <v>4354</v>
      </c>
      <c r="B392" s="15" t="s">
        <v>4355</v>
      </c>
      <c r="C392" s="15" t="s">
        <v>4356</v>
      </c>
      <c r="D392" s="41">
        <v>40155.0</v>
      </c>
      <c r="E392" s="15" t="s">
        <v>98</v>
      </c>
      <c r="F392" s="15">
        <v>5.546705567E9</v>
      </c>
      <c r="G392" s="15" t="s">
        <v>4357</v>
      </c>
      <c r="H392" s="15" t="s">
        <v>140</v>
      </c>
      <c r="I392" s="18"/>
      <c r="J392" s="15" t="s">
        <v>4358</v>
      </c>
      <c r="K392" s="15" t="s">
        <v>4357</v>
      </c>
      <c r="L392" s="15">
        <v>7.29963461E9</v>
      </c>
      <c r="M392" s="15" t="s">
        <v>4359</v>
      </c>
      <c r="N392" s="15" t="s">
        <v>4360</v>
      </c>
      <c r="O392" s="15">
        <v>5.611606037E9</v>
      </c>
      <c r="P392" s="20">
        <v>16.0</v>
      </c>
      <c r="Q392" s="22">
        <v>46020.52050925926</v>
      </c>
      <c r="R392" s="15" t="s">
        <v>107</v>
      </c>
      <c r="S392" s="15" t="s">
        <v>109</v>
      </c>
      <c r="T392" s="15" t="s">
        <v>208</v>
      </c>
      <c r="U392" s="15" t="s">
        <v>788</v>
      </c>
      <c r="V392" s="15" t="s">
        <v>789</v>
      </c>
      <c r="W392" s="15" t="s">
        <v>790</v>
      </c>
      <c r="X392" s="15" t="s">
        <v>120</v>
      </c>
      <c r="Y392" s="18"/>
      <c r="Z392" s="15" t="s">
        <v>117</v>
      </c>
      <c r="AA392" s="58" t="s">
        <v>4361</v>
      </c>
      <c r="AB392" s="15" t="s">
        <v>120</v>
      </c>
      <c r="AC392" s="18"/>
      <c r="AD392" s="18"/>
      <c r="AE392" s="15" t="s">
        <v>120</v>
      </c>
      <c r="AF392" s="18"/>
      <c r="AG392" s="15" t="s">
        <v>120</v>
      </c>
      <c r="AH392" s="18"/>
      <c r="AI392" s="15" t="s">
        <v>120</v>
      </c>
      <c r="AJ392" s="18"/>
      <c r="AK392" s="18"/>
      <c r="AL392" s="15" t="s">
        <v>242</v>
      </c>
      <c r="AM392" s="15" t="s">
        <v>124</v>
      </c>
      <c r="AN392" s="15" t="s">
        <v>156</v>
      </c>
      <c r="AO392" s="15" t="s">
        <v>240</v>
      </c>
      <c r="AP392" s="15"/>
    </row>
    <row r="393" ht="22.5" customHeight="1">
      <c r="A393" s="15" t="s">
        <v>1990</v>
      </c>
      <c r="B393" s="15" t="s">
        <v>1991</v>
      </c>
      <c r="C393" s="15" t="s">
        <v>1992</v>
      </c>
      <c r="D393" s="41">
        <v>40544.0</v>
      </c>
      <c r="E393" s="15" t="s">
        <v>98</v>
      </c>
      <c r="F393" s="15">
        <v>5.568774912E9</v>
      </c>
      <c r="G393" s="15" t="s">
        <v>1993</v>
      </c>
      <c r="H393" s="15" t="s">
        <v>101</v>
      </c>
      <c r="I393" s="23" t="s">
        <v>1325</v>
      </c>
      <c r="J393" s="15" t="s">
        <v>1994</v>
      </c>
      <c r="K393" s="15" t="s">
        <v>1995</v>
      </c>
      <c r="L393" s="15">
        <v>5.643332372E9</v>
      </c>
      <c r="M393" s="18"/>
      <c r="N393" s="18"/>
      <c r="O393" s="18"/>
      <c r="P393" s="20">
        <v>15.0</v>
      </c>
      <c r="Q393" s="22">
        <v>46039.93827546296</v>
      </c>
      <c r="R393" s="15" t="s">
        <v>107</v>
      </c>
      <c r="S393" s="15" t="s">
        <v>109</v>
      </c>
      <c r="T393" s="15" t="s">
        <v>204</v>
      </c>
      <c r="U393" s="15" t="s">
        <v>295</v>
      </c>
      <c r="V393" s="15" t="s">
        <v>298</v>
      </c>
      <c r="W393" s="15" t="s">
        <v>299</v>
      </c>
      <c r="X393" s="15" t="s">
        <v>120</v>
      </c>
      <c r="Y393" s="18"/>
      <c r="Z393" s="15" t="s">
        <v>120</v>
      </c>
      <c r="AA393" s="18"/>
      <c r="AB393" s="15" t="s">
        <v>120</v>
      </c>
      <c r="AC393" s="18"/>
      <c r="AD393" s="18"/>
      <c r="AE393" s="15" t="s">
        <v>120</v>
      </c>
      <c r="AF393" s="18"/>
      <c r="AG393" s="15" t="s">
        <v>120</v>
      </c>
      <c r="AH393" s="18"/>
      <c r="AI393" s="15" t="s">
        <v>117</v>
      </c>
      <c r="AJ393" s="15" t="s">
        <v>2005</v>
      </c>
      <c r="AK393" s="15" t="s">
        <v>1325</v>
      </c>
      <c r="AL393" s="15" t="s">
        <v>141</v>
      </c>
      <c r="AM393" s="15" t="s">
        <v>138</v>
      </c>
      <c r="AN393" s="15" t="s">
        <v>128</v>
      </c>
      <c r="AO393" s="15" t="s">
        <v>216</v>
      </c>
      <c r="AP393" s="15"/>
    </row>
    <row r="394" ht="22.5" customHeight="1">
      <c r="A394" s="15" t="s">
        <v>4362</v>
      </c>
      <c r="B394" s="15" t="s">
        <v>4363</v>
      </c>
      <c r="C394" s="15" t="s">
        <v>4364</v>
      </c>
      <c r="D394" s="41">
        <v>40414.0</v>
      </c>
      <c r="E394" s="15" t="s">
        <v>177</v>
      </c>
      <c r="F394" s="15">
        <v>5.513306329E9</v>
      </c>
      <c r="G394" s="15" t="s">
        <v>4365</v>
      </c>
      <c r="H394" s="15" t="s">
        <v>150</v>
      </c>
      <c r="I394" s="18"/>
      <c r="J394" s="15" t="s">
        <v>2745</v>
      </c>
      <c r="K394" s="15" t="s">
        <v>2749</v>
      </c>
      <c r="L394" s="15">
        <v>5.531935295E9</v>
      </c>
      <c r="M394" s="18"/>
      <c r="N394" s="18"/>
      <c r="O394" s="18"/>
      <c r="P394" s="20">
        <v>15.0</v>
      </c>
      <c r="Q394" s="22">
        <v>46035.941203703704</v>
      </c>
      <c r="R394" s="15" t="s">
        <v>107</v>
      </c>
      <c r="S394" s="15" t="s">
        <v>109</v>
      </c>
      <c r="T394" s="15" t="s">
        <v>111</v>
      </c>
      <c r="U394" s="15" t="s">
        <v>112</v>
      </c>
      <c r="V394" s="15" t="s">
        <v>114</v>
      </c>
      <c r="W394" s="15" t="s">
        <v>115</v>
      </c>
      <c r="X394" s="15" t="s">
        <v>120</v>
      </c>
      <c r="Y394" s="18"/>
      <c r="Z394" s="15" t="s">
        <v>120</v>
      </c>
      <c r="AA394" s="18"/>
      <c r="AB394" s="15" t="s">
        <v>120</v>
      </c>
      <c r="AC394" s="18"/>
      <c r="AD394" s="18"/>
      <c r="AE394" s="15" t="s">
        <v>120</v>
      </c>
      <c r="AF394" s="18"/>
      <c r="AG394" s="15" t="s">
        <v>120</v>
      </c>
      <c r="AH394" s="18"/>
      <c r="AI394" s="15" t="s">
        <v>120</v>
      </c>
      <c r="AJ394" s="18"/>
      <c r="AK394" s="18"/>
      <c r="AL394" s="15" t="s">
        <v>141</v>
      </c>
      <c r="AM394" s="15" t="s">
        <v>138</v>
      </c>
      <c r="AN394" s="15" t="s">
        <v>156</v>
      </c>
      <c r="AO394" s="15" t="s">
        <v>185</v>
      </c>
      <c r="AP394" s="15"/>
    </row>
    <row r="395" ht="22.5" customHeight="1">
      <c r="A395" s="15" t="s">
        <v>4366</v>
      </c>
      <c r="B395" s="15" t="s">
        <v>4367</v>
      </c>
      <c r="C395" s="15" t="s">
        <v>4368</v>
      </c>
      <c r="D395" s="41">
        <v>39676.0</v>
      </c>
      <c r="E395" s="15" t="s">
        <v>177</v>
      </c>
      <c r="F395" s="15" t="s">
        <v>4369</v>
      </c>
      <c r="G395" s="15" t="s">
        <v>4370</v>
      </c>
      <c r="H395" s="15" t="s">
        <v>101</v>
      </c>
      <c r="I395" s="18"/>
      <c r="J395" s="15" t="s">
        <v>4371</v>
      </c>
      <c r="K395" s="15" t="s">
        <v>4372</v>
      </c>
      <c r="L395" s="15">
        <v>5.619764686E9</v>
      </c>
      <c r="M395" s="18"/>
      <c r="N395" s="18"/>
      <c r="O395" s="18"/>
      <c r="P395" s="20">
        <v>17.0</v>
      </c>
      <c r="Q395" s="22">
        <v>46018.32405092593</v>
      </c>
      <c r="R395" s="15" t="s">
        <v>107</v>
      </c>
      <c r="S395" s="15" t="s">
        <v>109</v>
      </c>
      <c r="T395" s="15" t="s">
        <v>111</v>
      </c>
      <c r="U395" s="15" t="s">
        <v>112</v>
      </c>
      <c r="V395" s="15" t="s">
        <v>114</v>
      </c>
      <c r="W395" s="15" t="s">
        <v>115</v>
      </c>
      <c r="X395" s="15" t="s">
        <v>120</v>
      </c>
      <c r="Y395" s="18"/>
      <c r="Z395" s="15" t="s">
        <v>120</v>
      </c>
      <c r="AA395" s="18"/>
      <c r="AB395" s="15" t="s">
        <v>120</v>
      </c>
      <c r="AC395" s="15" t="s">
        <v>120</v>
      </c>
      <c r="AD395" s="18"/>
      <c r="AE395" s="15" t="s">
        <v>120</v>
      </c>
      <c r="AF395" s="18"/>
      <c r="AG395" s="15" t="s">
        <v>120</v>
      </c>
      <c r="AH395" s="18"/>
      <c r="AI395" s="15" t="s">
        <v>120</v>
      </c>
      <c r="AJ395" s="18"/>
      <c r="AK395" s="18"/>
      <c r="AL395" s="15" t="s">
        <v>141</v>
      </c>
      <c r="AM395" s="15" t="s">
        <v>185</v>
      </c>
      <c r="AN395" s="15" t="s">
        <v>128</v>
      </c>
      <c r="AO395" s="15" t="s">
        <v>124</v>
      </c>
      <c r="AP395" s="15"/>
    </row>
    <row r="396" ht="22.5" customHeight="1">
      <c r="A396" s="15" t="s">
        <v>4373</v>
      </c>
      <c r="B396" s="15" t="s">
        <v>4374</v>
      </c>
      <c r="C396" s="15" t="s">
        <v>4375</v>
      </c>
      <c r="D396" s="41">
        <v>39919.0</v>
      </c>
      <c r="E396" s="15" t="s">
        <v>177</v>
      </c>
      <c r="F396" s="15">
        <v>5.54575733E9</v>
      </c>
      <c r="G396" s="15" t="s">
        <v>4376</v>
      </c>
      <c r="H396" s="15" t="s">
        <v>101</v>
      </c>
      <c r="I396" s="18"/>
      <c r="J396" s="15" t="s">
        <v>4377</v>
      </c>
      <c r="K396" s="15" t="s">
        <v>4378</v>
      </c>
      <c r="L396" s="15">
        <v>5.5436212332E10</v>
      </c>
      <c r="M396" s="18"/>
      <c r="N396" s="18"/>
      <c r="O396" s="18"/>
      <c r="P396" s="20">
        <v>16.0</v>
      </c>
      <c r="Q396" s="22">
        <v>46030.85743055555</v>
      </c>
      <c r="R396" s="15" t="s">
        <v>107</v>
      </c>
      <c r="S396" s="15" t="s">
        <v>109</v>
      </c>
      <c r="T396" s="15" t="s">
        <v>208</v>
      </c>
      <c r="U396" s="15" t="s">
        <v>478</v>
      </c>
      <c r="V396" s="15" t="s">
        <v>480</v>
      </c>
      <c r="W396" s="15" t="s">
        <v>481</v>
      </c>
      <c r="X396" s="15" t="s">
        <v>120</v>
      </c>
      <c r="Y396" s="18"/>
      <c r="Z396" s="15" t="s">
        <v>120</v>
      </c>
      <c r="AA396" s="18"/>
      <c r="AB396" s="15" t="s">
        <v>120</v>
      </c>
      <c r="AC396" s="18"/>
      <c r="AD396" s="18"/>
      <c r="AE396" s="15" t="s">
        <v>120</v>
      </c>
      <c r="AF396" s="18"/>
      <c r="AG396" s="15" t="s">
        <v>120</v>
      </c>
      <c r="AH396" s="18"/>
      <c r="AI396" s="15" t="s">
        <v>120</v>
      </c>
      <c r="AJ396" s="18"/>
      <c r="AK396" s="18"/>
      <c r="AL396" s="15" t="s">
        <v>138</v>
      </c>
      <c r="AM396" s="15" t="s">
        <v>129</v>
      </c>
      <c r="AN396" s="15" t="s">
        <v>156</v>
      </c>
      <c r="AO396" s="15" t="s">
        <v>185</v>
      </c>
      <c r="AP396" s="15"/>
    </row>
    <row r="397" ht="22.5" customHeight="1">
      <c r="A397" s="15" t="s">
        <v>157</v>
      </c>
      <c r="B397" s="15" t="s">
        <v>4379</v>
      </c>
      <c r="C397" s="15" t="s">
        <v>4380</v>
      </c>
      <c r="D397" s="41">
        <v>40669.0</v>
      </c>
      <c r="E397" s="15" t="s">
        <v>98</v>
      </c>
      <c r="F397" s="15">
        <v>5.634576877E9</v>
      </c>
      <c r="G397" s="15" t="s">
        <v>4381</v>
      </c>
      <c r="H397" s="15" t="s">
        <v>101</v>
      </c>
      <c r="I397" s="23" t="s">
        <v>4382</v>
      </c>
      <c r="J397" s="15" t="s">
        <v>4383</v>
      </c>
      <c r="K397" s="15" t="s">
        <v>4381</v>
      </c>
      <c r="L397" s="15">
        <v>5.634576877E9</v>
      </c>
      <c r="M397" s="18"/>
      <c r="N397" s="18"/>
      <c r="O397" s="18"/>
      <c r="P397" s="20">
        <v>14.0</v>
      </c>
      <c r="Q397" s="22">
        <v>46037.97329861111</v>
      </c>
      <c r="R397" s="15" t="s">
        <v>107</v>
      </c>
      <c r="S397" s="15" t="s">
        <v>109</v>
      </c>
      <c r="T397" s="15" t="s">
        <v>160</v>
      </c>
      <c r="U397" s="15" t="s">
        <v>308</v>
      </c>
      <c r="V397" s="15" t="s">
        <v>309</v>
      </c>
      <c r="W397" s="15" t="s">
        <v>310</v>
      </c>
      <c r="X397" s="15" t="s">
        <v>120</v>
      </c>
      <c r="Y397" s="15" t="s">
        <v>120</v>
      </c>
      <c r="Z397" s="15" t="s">
        <v>120</v>
      </c>
      <c r="AA397" s="15" t="s">
        <v>120</v>
      </c>
      <c r="AB397" s="15" t="s">
        <v>120</v>
      </c>
      <c r="AC397" s="15" t="s">
        <v>120</v>
      </c>
      <c r="AD397" s="15" t="s">
        <v>120</v>
      </c>
      <c r="AE397" s="15" t="s">
        <v>120</v>
      </c>
      <c r="AF397" s="15" t="s">
        <v>120</v>
      </c>
      <c r="AG397" s="15" t="s">
        <v>120</v>
      </c>
      <c r="AH397" s="15" t="s">
        <v>120</v>
      </c>
      <c r="AI397" s="15" t="s">
        <v>120</v>
      </c>
      <c r="AJ397" s="15" t="s">
        <v>120</v>
      </c>
      <c r="AK397" s="15" t="s">
        <v>120</v>
      </c>
      <c r="AL397" s="15" t="s">
        <v>185</v>
      </c>
      <c r="AM397" s="15" t="s">
        <v>156</v>
      </c>
      <c r="AN397" s="15" t="s">
        <v>141</v>
      </c>
      <c r="AO397" s="15" t="s">
        <v>216</v>
      </c>
      <c r="AP397" s="15"/>
    </row>
    <row r="398" ht="22.5" customHeight="1">
      <c r="A398" s="15" t="s">
        <v>4385</v>
      </c>
      <c r="B398" s="15" t="s">
        <v>4386</v>
      </c>
      <c r="C398" s="15" t="s">
        <v>4387</v>
      </c>
      <c r="D398" s="41">
        <v>39889.0</v>
      </c>
      <c r="E398" s="15" t="s">
        <v>177</v>
      </c>
      <c r="F398" s="15">
        <v>5.51976349E8</v>
      </c>
      <c r="G398" s="15" t="s">
        <v>4388</v>
      </c>
      <c r="H398" s="15" t="s">
        <v>101</v>
      </c>
      <c r="I398" s="18"/>
      <c r="J398" s="15" t="s">
        <v>4389</v>
      </c>
      <c r="K398" s="15" t="s">
        <v>4390</v>
      </c>
      <c r="L398" s="15">
        <v>5.611929024E9</v>
      </c>
      <c r="M398" s="18"/>
      <c r="N398" s="18"/>
      <c r="O398" s="18"/>
      <c r="P398" s="20">
        <v>16.0</v>
      </c>
      <c r="Q398" s="22">
        <v>46037.830729166664</v>
      </c>
      <c r="R398" s="15" t="s">
        <v>107</v>
      </c>
      <c r="S398" s="15" t="s">
        <v>109</v>
      </c>
      <c r="T398" s="15" t="s">
        <v>160</v>
      </c>
      <c r="U398" s="15" t="s">
        <v>161</v>
      </c>
      <c r="V398" s="15" t="s">
        <v>163</v>
      </c>
      <c r="W398" s="15" t="s">
        <v>165</v>
      </c>
      <c r="X398" s="15" t="s">
        <v>120</v>
      </c>
      <c r="Y398" s="18"/>
      <c r="Z398" s="15" t="s">
        <v>120</v>
      </c>
      <c r="AA398" s="18"/>
      <c r="AB398" s="15" t="s">
        <v>120</v>
      </c>
      <c r="AC398" s="18"/>
      <c r="AD398" s="18"/>
      <c r="AE398" s="15" t="s">
        <v>120</v>
      </c>
      <c r="AF398" s="18"/>
      <c r="AG398" s="15" t="s">
        <v>120</v>
      </c>
      <c r="AH398" s="18"/>
      <c r="AI398" s="15" t="s">
        <v>120</v>
      </c>
      <c r="AJ398" s="18"/>
      <c r="AK398" s="18"/>
      <c r="AL398" s="15" t="s">
        <v>141</v>
      </c>
      <c r="AM398" s="15" t="s">
        <v>185</v>
      </c>
      <c r="AN398" s="15" t="s">
        <v>216</v>
      </c>
      <c r="AO398" s="15" t="s">
        <v>156</v>
      </c>
      <c r="AP398" s="15"/>
    </row>
    <row r="399" ht="22.5" customHeight="1">
      <c r="A399" s="15" t="s">
        <v>4391</v>
      </c>
      <c r="B399" s="15" t="s">
        <v>4392</v>
      </c>
      <c r="C399" s="15" t="s">
        <v>4393</v>
      </c>
      <c r="D399" s="41">
        <v>40685.0</v>
      </c>
      <c r="E399" s="15" t="s">
        <v>177</v>
      </c>
      <c r="F399" s="15">
        <v>5.578626001E9</v>
      </c>
      <c r="G399" s="15" t="s">
        <v>4394</v>
      </c>
      <c r="H399" s="15" t="s">
        <v>101</v>
      </c>
      <c r="I399" s="23" t="s">
        <v>1325</v>
      </c>
      <c r="J399" s="15" t="s">
        <v>4395</v>
      </c>
      <c r="K399" s="15" t="s">
        <v>4396</v>
      </c>
      <c r="L399" s="15">
        <v>5.582055598E9</v>
      </c>
      <c r="M399" s="18"/>
      <c r="N399" s="18"/>
      <c r="O399" s="18"/>
      <c r="P399" s="20">
        <v>14.0</v>
      </c>
      <c r="Q399" s="22">
        <v>46036.8878125</v>
      </c>
      <c r="R399" s="15" t="s">
        <v>107</v>
      </c>
      <c r="S399" s="15" t="s">
        <v>109</v>
      </c>
      <c r="T399" s="15" t="s">
        <v>171</v>
      </c>
      <c r="U399" s="15" t="s">
        <v>262</v>
      </c>
      <c r="V399" s="15" t="s">
        <v>263</v>
      </c>
      <c r="W399" s="15" t="s">
        <v>264</v>
      </c>
      <c r="X399" s="15" t="s">
        <v>120</v>
      </c>
      <c r="Y399" s="18"/>
      <c r="Z399" s="15" t="s">
        <v>117</v>
      </c>
      <c r="AA399" s="52" t="s">
        <v>4397</v>
      </c>
      <c r="AB399" s="15" t="s">
        <v>120</v>
      </c>
      <c r="AC399" s="18"/>
      <c r="AD399" s="18"/>
      <c r="AE399" s="15" t="s">
        <v>120</v>
      </c>
      <c r="AF399" s="18"/>
      <c r="AG399" s="15" t="s">
        <v>120</v>
      </c>
      <c r="AH399" s="18"/>
      <c r="AI399" s="15" t="s">
        <v>120</v>
      </c>
      <c r="AJ399" s="18"/>
      <c r="AK399" s="15" t="s">
        <v>1325</v>
      </c>
      <c r="AL399" s="15" t="s">
        <v>240</v>
      </c>
      <c r="AM399" s="15" t="s">
        <v>129</v>
      </c>
      <c r="AN399" s="15" t="s">
        <v>138</v>
      </c>
      <c r="AO399" s="15" t="s">
        <v>156</v>
      </c>
      <c r="AP399" s="15"/>
    </row>
    <row r="400" ht="22.5" customHeight="1">
      <c r="A400" s="15" t="s">
        <v>2012</v>
      </c>
      <c r="B400" s="15" t="s">
        <v>2014</v>
      </c>
      <c r="C400" s="15" t="s">
        <v>70</v>
      </c>
      <c r="D400" s="41">
        <v>40375.0</v>
      </c>
      <c r="E400" s="15" t="s">
        <v>98</v>
      </c>
      <c r="F400" s="15">
        <v>5.621292376E9</v>
      </c>
      <c r="G400" s="15" t="s">
        <v>2018</v>
      </c>
      <c r="H400" s="15" t="s">
        <v>101</v>
      </c>
      <c r="I400" s="18"/>
      <c r="J400" s="15" t="s">
        <v>2019</v>
      </c>
      <c r="K400" s="15" t="s">
        <v>2021</v>
      </c>
      <c r="L400" s="15" t="s">
        <v>2022</v>
      </c>
      <c r="M400" s="18"/>
      <c r="N400" s="18"/>
      <c r="O400" s="18"/>
      <c r="P400" s="20">
        <v>15.0</v>
      </c>
      <c r="Q400" s="22">
        <v>46038.83427083334</v>
      </c>
      <c r="R400" s="15" t="s">
        <v>107</v>
      </c>
      <c r="S400" s="15" t="s">
        <v>109</v>
      </c>
      <c r="T400" s="15" t="s">
        <v>111</v>
      </c>
      <c r="U400" s="15" t="s">
        <v>1979</v>
      </c>
      <c r="V400" s="15" t="s">
        <v>1980</v>
      </c>
      <c r="W400" s="15" t="s">
        <v>1981</v>
      </c>
      <c r="X400" s="15" t="s">
        <v>120</v>
      </c>
      <c r="Y400" s="18"/>
      <c r="Z400" s="15" t="s">
        <v>117</v>
      </c>
      <c r="AA400" s="49" t="s">
        <v>2024</v>
      </c>
      <c r="AB400" s="15" t="s">
        <v>117</v>
      </c>
      <c r="AC400" s="15" t="s">
        <v>117</v>
      </c>
      <c r="AD400" s="18"/>
      <c r="AE400" s="15" t="s">
        <v>120</v>
      </c>
      <c r="AF400" s="18"/>
      <c r="AG400" s="15" t="s">
        <v>120</v>
      </c>
      <c r="AH400" s="18"/>
      <c r="AI400" s="15" t="s">
        <v>117</v>
      </c>
      <c r="AJ400" s="15" t="s">
        <v>2031</v>
      </c>
      <c r="AK400" s="18"/>
      <c r="AL400" s="15" t="s">
        <v>126</v>
      </c>
      <c r="AM400" s="15" t="s">
        <v>242</v>
      </c>
      <c r="AN400" s="15" t="s">
        <v>216</v>
      </c>
      <c r="AO400" s="15" t="s">
        <v>124</v>
      </c>
      <c r="AP400" s="15"/>
    </row>
    <row r="401" ht="22.5" customHeight="1">
      <c r="A401" s="15" t="s">
        <v>4398</v>
      </c>
      <c r="B401" s="15" t="s">
        <v>4399</v>
      </c>
      <c r="C401" s="15" t="s">
        <v>4400</v>
      </c>
      <c r="D401" s="41">
        <v>40054.0</v>
      </c>
      <c r="E401" s="15" t="s">
        <v>98</v>
      </c>
      <c r="F401" s="15">
        <v>5.573959413E9</v>
      </c>
      <c r="G401" s="15" t="s">
        <v>4401</v>
      </c>
      <c r="H401" s="15" t="s">
        <v>140</v>
      </c>
      <c r="I401" s="18"/>
      <c r="J401" s="15" t="s">
        <v>2656</v>
      </c>
      <c r="K401" s="15" t="s">
        <v>2655</v>
      </c>
      <c r="L401" s="15">
        <v>5.514882632E9</v>
      </c>
      <c r="M401" s="15" t="s">
        <v>4402</v>
      </c>
      <c r="N401" s="15" t="s">
        <v>4403</v>
      </c>
      <c r="O401" s="15">
        <v>5.529549776E9</v>
      </c>
      <c r="P401" s="20">
        <v>16.0</v>
      </c>
      <c r="Q401" s="22">
        <v>46026.62211805556</v>
      </c>
      <c r="R401" s="15" t="s">
        <v>107</v>
      </c>
      <c r="S401" s="15" t="s">
        <v>109</v>
      </c>
      <c r="T401" s="15" t="s">
        <v>111</v>
      </c>
      <c r="U401" s="15" t="s">
        <v>2654</v>
      </c>
      <c r="V401" s="15" t="s">
        <v>2655</v>
      </c>
      <c r="W401" s="15" t="s">
        <v>2656</v>
      </c>
      <c r="X401" s="15" t="s">
        <v>120</v>
      </c>
      <c r="Y401" s="18"/>
      <c r="Z401" s="15" t="s">
        <v>120</v>
      </c>
      <c r="AA401" s="18"/>
      <c r="AB401" s="15" t="s">
        <v>120</v>
      </c>
      <c r="AC401" s="18"/>
      <c r="AD401" s="18"/>
      <c r="AE401" s="15" t="s">
        <v>120</v>
      </c>
      <c r="AF401" s="18"/>
      <c r="AG401" s="15" t="s">
        <v>120</v>
      </c>
      <c r="AH401" s="18"/>
      <c r="AI401" s="15" t="s">
        <v>120</v>
      </c>
      <c r="AJ401" s="18"/>
      <c r="AK401" s="18"/>
      <c r="AL401" s="15" t="s">
        <v>216</v>
      </c>
      <c r="AM401" s="15" t="s">
        <v>124</v>
      </c>
      <c r="AN401" s="15" t="s">
        <v>156</v>
      </c>
      <c r="AO401" s="15" t="s">
        <v>138</v>
      </c>
      <c r="AP401" s="15"/>
    </row>
    <row r="402" ht="22.5" customHeight="1">
      <c r="A402" s="15" t="s">
        <v>3097</v>
      </c>
      <c r="B402" s="15" t="s">
        <v>4404</v>
      </c>
      <c r="C402" s="15" t="s">
        <v>4405</v>
      </c>
      <c r="D402" s="41">
        <v>40293.0</v>
      </c>
      <c r="E402" s="15" t="s">
        <v>177</v>
      </c>
      <c r="F402" s="15">
        <v>5.534839486E9</v>
      </c>
      <c r="G402" s="15" t="s">
        <v>4406</v>
      </c>
      <c r="H402" s="15" t="s">
        <v>101</v>
      </c>
      <c r="I402" s="23" t="s">
        <v>135</v>
      </c>
      <c r="J402" s="15" t="s">
        <v>4407</v>
      </c>
      <c r="K402" s="15" t="s">
        <v>4408</v>
      </c>
      <c r="L402" s="15">
        <v>5.534839486E9</v>
      </c>
      <c r="M402" s="18"/>
      <c r="N402" s="18"/>
      <c r="O402" s="18"/>
      <c r="P402" s="20">
        <v>15.0</v>
      </c>
      <c r="Q402" s="22">
        <v>46040.68467592593</v>
      </c>
      <c r="R402" s="15" t="s">
        <v>107</v>
      </c>
      <c r="S402" s="15" t="s">
        <v>109</v>
      </c>
      <c r="T402" s="15" t="s">
        <v>204</v>
      </c>
      <c r="U402" s="15" t="s">
        <v>699</v>
      </c>
      <c r="V402" s="15" t="s">
        <v>700</v>
      </c>
      <c r="W402" s="15" t="s">
        <v>702</v>
      </c>
      <c r="X402" s="15" t="s">
        <v>120</v>
      </c>
      <c r="Y402" s="18"/>
      <c r="Z402" s="15" t="s">
        <v>120</v>
      </c>
      <c r="AA402" s="18"/>
      <c r="AB402" s="15" t="s">
        <v>120</v>
      </c>
      <c r="AC402" s="15" t="s">
        <v>120</v>
      </c>
      <c r="AD402" s="18"/>
      <c r="AE402" s="15" t="s">
        <v>120</v>
      </c>
      <c r="AF402" s="18"/>
      <c r="AG402" s="15" t="s">
        <v>120</v>
      </c>
      <c r="AH402" s="18"/>
      <c r="AI402" s="15" t="s">
        <v>120</v>
      </c>
      <c r="AJ402" s="18"/>
      <c r="AK402" s="15" t="s">
        <v>135</v>
      </c>
      <c r="AL402" s="15" t="s">
        <v>141</v>
      </c>
      <c r="AM402" s="15" t="s">
        <v>129</v>
      </c>
      <c r="AN402" s="15" t="s">
        <v>240</v>
      </c>
      <c r="AO402" s="15" t="s">
        <v>128</v>
      </c>
      <c r="AP402" s="15"/>
    </row>
    <row r="403" ht="22.5" customHeight="1">
      <c r="A403" s="15" t="s">
        <v>1802</v>
      </c>
      <c r="B403" s="15" t="s">
        <v>3694</v>
      </c>
      <c r="C403" s="15" t="s">
        <v>92</v>
      </c>
      <c r="D403" s="41">
        <v>40013.0</v>
      </c>
      <c r="E403" s="15" t="s">
        <v>177</v>
      </c>
      <c r="F403" s="15">
        <v>5.540710941E9</v>
      </c>
      <c r="G403" s="15" t="s">
        <v>3695</v>
      </c>
      <c r="H403" s="15" t="s">
        <v>101</v>
      </c>
      <c r="I403" s="18"/>
      <c r="J403" s="15" t="s">
        <v>3696</v>
      </c>
      <c r="K403" s="15" t="s">
        <v>3695</v>
      </c>
      <c r="L403" s="15">
        <v>5.540710941E9</v>
      </c>
      <c r="M403" s="18"/>
      <c r="N403" s="18"/>
      <c r="O403" s="18"/>
      <c r="P403" s="20">
        <v>16.0</v>
      </c>
      <c r="Q403" s="22">
        <v>46027.53755787037</v>
      </c>
      <c r="R403" s="15" t="s">
        <v>107</v>
      </c>
      <c r="S403" s="15" t="s">
        <v>109</v>
      </c>
      <c r="T403" s="15" t="s">
        <v>171</v>
      </c>
      <c r="U403" s="15" t="s">
        <v>2149</v>
      </c>
      <c r="V403" s="15" t="s">
        <v>2141</v>
      </c>
      <c r="W403" s="15" t="s">
        <v>2151</v>
      </c>
      <c r="X403" s="15" t="s">
        <v>120</v>
      </c>
      <c r="Y403" s="18"/>
      <c r="Z403" s="15" t="s">
        <v>120</v>
      </c>
      <c r="AA403" s="18"/>
      <c r="AB403" s="15" t="s">
        <v>120</v>
      </c>
      <c r="AC403" s="18"/>
      <c r="AD403" s="18"/>
      <c r="AE403" s="15" t="s">
        <v>120</v>
      </c>
      <c r="AF403" s="18"/>
      <c r="AG403" s="15" t="s">
        <v>120</v>
      </c>
      <c r="AH403" s="18"/>
      <c r="AI403" s="15" t="s">
        <v>120</v>
      </c>
      <c r="AJ403" s="18"/>
      <c r="AK403" s="18"/>
      <c r="AL403" s="15" t="s">
        <v>240</v>
      </c>
      <c r="AM403" s="15" t="s">
        <v>138</v>
      </c>
      <c r="AN403" s="15" t="s">
        <v>129</v>
      </c>
      <c r="AO403" s="15" t="s">
        <v>124</v>
      </c>
      <c r="AP403" s="15"/>
    </row>
    <row r="404" ht="22.5" customHeight="1">
      <c r="A404" s="15" t="s">
        <v>4409</v>
      </c>
      <c r="B404" s="15" t="s">
        <v>4410</v>
      </c>
      <c r="C404" s="15" t="s">
        <v>4411</v>
      </c>
      <c r="D404" s="41">
        <v>40484.0</v>
      </c>
      <c r="E404" s="15" t="s">
        <v>98</v>
      </c>
      <c r="F404" s="15">
        <v>5.61453204E9</v>
      </c>
      <c r="G404" s="15" t="s">
        <v>4412</v>
      </c>
      <c r="H404" s="15" t="s">
        <v>101</v>
      </c>
      <c r="I404" s="23" t="s">
        <v>4413</v>
      </c>
      <c r="J404" s="15" t="s">
        <v>4414</v>
      </c>
      <c r="K404" s="15" t="s">
        <v>4412</v>
      </c>
      <c r="L404" s="15">
        <v>5.561002451E9</v>
      </c>
      <c r="M404" s="15" t="s">
        <v>4415</v>
      </c>
      <c r="N404" s="15" t="s">
        <v>4416</v>
      </c>
      <c r="O404" s="15">
        <v>5.582062378E9</v>
      </c>
      <c r="P404" s="20">
        <v>15.0</v>
      </c>
      <c r="Q404" s="22">
        <v>46033.47300925926</v>
      </c>
      <c r="R404" s="15" t="s">
        <v>107</v>
      </c>
      <c r="S404" s="15" t="s">
        <v>109</v>
      </c>
      <c r="T404" s="15" t="s">
        <v>111</v>
      </c>
      <c r="U404" s="15" t="s">
        <v>1979</v>
      </c>
      <c r="V404" s="15" t="s">
        <v>1980</v>
      </c>
      <c r="W404" s="15" t="s">
        <v>1981</v>
      </c>
      <c r="X404" s="15" t="s">
        <v>120</v>
      </c>
      <c r="Y404" s="18"/>
      <c r="Z404" s="15" t="s">
        <v>117</v>
      </c>
      <c r="AA404" s="58" t="s">
        <v>4417</v>
      </c>
      <c r="AB404" s="15" t="s">
        <v>120</v>
      </c>
      <c r="AC404" s="18"/>
      <c r="AD404" s="18"/>
      <c r="AE404" s="15" t="s">
        <v>120</v>
      </c>
      <c r="AF404" s="18"/>
      <c r="AG404" s="15" t="s">
        <v>120</v>
      </c>
      <c r="AH404" s="18"/>
      <c r="AI404" s="15" t="s">
        <v>120</v>
      </c>
      <c r="AJ404" s="18"/>
      <c r="AK404" s="18"/>
      <c r="AL404" s="15" t="s">
        <v>126</v>
      </c>
      <c r="AM404" s="15" t="s">
        <v>216</v>
      </c>
      <c r="AN404" s="15" t="s">
        <v>141</v>
      </c>
      <c r="AO404" s="15" t="s">
        <v>156</v>
      </c>
      <c r="AP404" s="15"/>
    </row>
    <row r="405" ht="22.5" customHeight="1">
      <c r="A405" s="15" t="s">
        <v>4418</v>
      </c>
      <c r="B405" s="15" t="s">
        <v>4419</v>
      </c>
      <c r="C405" s="15" t="s">
        <v>4420</v>
      </c>
      <c r="D405" s="41">
        <v>39484.0</v>
      </c>
      <c r="E405" s="15" t="s">
        <v>98</v>
      </c>
      <c r="F405" s="15">
        <v>5.519503498E9</v>
      </c>
      <c r="G405" s="15" t="s">
        <v>4421</v>
      </c>
      <c r="H405" s="15" t="s">
        <v>140</v>
      </c>
      <c r="I405" s="18"/>
      <c r="J405" s="15" t="s">
        <v>4422</v>
      </c>
      <c r="K405" s="15" t="s">
        <v>4423</v>
      </c>
      <c r="L405" s="15">
        <v>5.5879534E9</v>
      </c>
      <c r="M405" s="18"/>
      <c r="N405" s="18"/>
      <c r="O405" s="18"/>
      <c r="P405" s="20">
        <v>18.0</v>
      </c>
      <c r="Q405" s="22">
        <v>46026.892696759256</v>
      </c>
      <c r="R405" s="15" t="s">
        <v>107</v>
      </c>
      <c r="S405" s="15" t="s">
        <v>109</v>
      </c>
      <c r="T405" s="15" t="s">
        <v>127</v>
      </c>
      <c r="U405" s="15" t="s">
        <v>234</v>
      </c>
      <c r="V405" s="15" t="s">
        <v>227</v>
      </c>
      <c r="W405" s="15" t="s">
        <v>236</v>
      </c>
      <c r="X405" s="15" t="s">
        <v>120</v>
      </c>
      <c r="Y405" s="18"/>
      <c r="Z405" s="15" t="s">
        <v>117</v>
      </c>
      <c r="AA405" s="30" t="s">
        <v>4424</v>
      </c>
      <c r="AB405" s="15" t="s">
        <v>120</v>
      </c>
      <c r="AC405" s="18"/>
      <c r="AD405" s="18"/>
      <c r="AE405" s="15" t="s">
        <v>120</v>
      </c>
      <c r="AF405" s="18"/>
      <c r="AG405" s="15" t="s">
        <v>120</v>
      </c>
      <c r="AH405" s="18"/>
      <c r="AI405" s="15" t="s">
        <v>120</v>
      </c>
      <c r="AJ405" s="18"/>
      <c r="AK405" s="18"/>
      <c r="AL405" s="15" t="s">
        <v>185</v>
      </c>
      <c r="AM405" s="15" t="s">
        <v>242</v>
      </c>
      <c r="AN405" s="15" t="s">
        <v>129</v>
      </c>
      <c r="AO405" s="15" t="s">
        <v>156</v>
      </c>
      <c r="AP405" s="15"/>
    </row>
    <row r="406" ht="23.25" customHeight="1">
      <c r="A406" s="15" t="s">
        <v>4425</v>
      </c>
      <c r="B406" s="15" t="s">
        <v>4426</v>
      </c>
      <c r="C406" s="15" t="s">
        <v>4427</v>
      </c>
      <c r="D406" s="41">
        <v>39666.0</v>
      </c>
      <c r="E406" s="15" t="s">
        <v>177</v>
      </c>
      <c r="F406" s="15">
        <v>5.542794372E9</v>
      </c>
      <c r="G406" s="15" t="s">
        <v>4428</v>
      </c>
      <c r="H406" s="15" t="s">
        <v>101</v>
      </c>
      <c r="I406" s="23" t="s">
        <v>525</v>
      </c>
      <c r="J406" s="15" t="s">
        <v>4429</v>
      </c>
      <c r="K406" s="15" t="s">
        <v>4430</v>
      </c>
      <c r="L406" s="15">
        <v>5.513163792E9</v>
      </c>
      <c r="M406" s="15" t="s">
        <v>4431</v>
      </c>
      <c r="N406" s="15" t="s">
        <v>4432</v>
      </c>
      <c r="O406" s="15">
        <v>5.520850231E9</v>
      </c>
      <c r="P406" s="20">
        <v>17.0</v>
      </c>
      <c r="Q406" s="22">
        <v>46033.51290509259</v>
      </c>
      <c r="R406" s="15" t="s">
        <v>107</v>
      </c>
      <c r="S406" s="15" t="s">
        <v>109</v>
      </c>
      <c r="T406" s="15" t="s">
        <v>208</v>
      </c>
      <c r="U406" s="15" t="s">
        <v>228</v>
      </c>
      <c r="V406" s="15" t="s">
        <v>229</v>
      </c>
      <c r="W406" s="15" t="s">
        <v>230</v>
      </c>
      <c r="X406" s="15" t="s">
        <v>120</v>
      </c>
      <c r="Y406" s="18"/>
      <c r="Z406" s="15" t="s">
        <v>117</v>
      </c>
      <c r="AA406" s="58" t="s">
        <v>4433</v>
      </c>
      <c r="AB406" s="15" t="s">
        <v>120</v>
      </c>
      <c r="AC406" s="15" t="s">
        <v>120</v>
      </c>
      <c r="AD406" s="18"/>
      <c r="AE406" s="15" t="s">
        <v>120</v>
      </c>
      <c r="AF406" s="18"/>
      <c r="AG406" s="15" t="s">
        <v>120</v>
      </c>
      <c r="AH406" s="18"/>
      <c r="AI406" s="15" t="s">
        <v>120</v>
      </c>
      <c r="AJ406" s="18"/>
      <c r="AK406" s="18"/>
      <c r="AL406" s="15" t="s">
        <v>126</v>
      </c>
      <c r="AM406" s="15" t="s">
        <v>124</v>
      </c>
      <c r="AN406" s="15" t="s">
        <v>138</v>
      </c>
      <c r="AO406" s="15" t="s">
        <v>185</v>
      </c>
      <c r="AP406" s="15"/>
    </row>
    <row r="407" ht="22.5" customHeight="1">
      <c r="A407" s="15" t="s">
        <v>4434</v>
      </c>
      <c r="B407" s="15" t="s">
        <v>4435</v>
      </c>
      <c r="C407" s="18"/>
      <c r="D407" s="41">
        <v>40644.0</v>
      </c>
      <c r="E407" s="15" t="s">
        <v>98</v>
      </c>
      <c r="F407" s="15">
        <v>5.588117191E9</v>
      </c>
      <c r="G407" s="15" t="s">
        <v>4436</v>
      </c>
      <c r="H407" s="15" t="s">
        <v>101</v>
      </c>
      <c r="I407" s="18"/>
      <c r="J407" s="15" t="s">
        <v>4437</v>
      </c>
      <c r="K407" s="15" t="s">
        <v>4438</v>
      </c>
      <c r="L407" s="15">
        <v>5.611773277E9</v>
      </c>
      <c r="M407" s="18"/>
      <c r="N407" s="18"/>
      <c r="O407" s="18"/>
      <c r="P407" s="20">
        <v>14.0</v>
      </c>
      <c r="Q407" s="22">
        <v>46033.525972222225</v>
      </c>
      <c r="R407" s="15" t="s">
        <v>107</v>
      </c>
      <c r="S407" s="15" t="s">
        <v>109</v>
      </c>
      <c r="T407" s="15" t="s">
        <v>160</v>
      </c>
      <c r="U407" s="15" t="s">
        <v>308</v>
      </c>
      <c r="V407" s="15" t="s">
        <v>309</v>
      </c>
      <c r="W407" s="15" t="s">
        <v>310</v>
      </c>
      <c r="X407" s="15" t="s">
        <v>120</v>
      </c>
      <c r="Y407" s="18"/>
      <c r="Z407" s="15" t="s">
        <v>120</v>
      </c>
      <c r="AA407" s="18"/>
      <c r="AB407" s="15" t="s">
        <v>120</v>
      </c>
      <c r="AC407" s="18"/>
      <c r="AD407" s="18"/>
      <c r="AE407" s="15" t="s">
        <v>120</v>
      </c>
      <c r="AF407" s="18"/>
      <c r="AG407" s="15" t="s">
        <v>120</v>
      </c>
      <c r="AH407" s="18"/>
      <c r="AI407" s="15" t="s">
        <v>120</v>
      </c>
      <c r="AJ407" s="18"/>
      <c r="AK407" s="18"/>
      <c r="AL407" s="15" t="s">
        <v>124</v>
      </c>
      <c r="AM407" s="15" t="s">
        <v>156</v>
      </c>
      <c r="AN407" s="15" t="s">
        <v>216</v>
      </c>
      <c r="AO407" s="15" t="s">
        <v>242</v>
      </c>
      <c r="AP407" s="15"/>
    </row>
    <row r="408" ht="22.5" customHeight="1">
      <c r="A408" s="15" t="s">
        <v>1816</v>
      </c>
      <c r="B408" s="15" t="s">
        <v>2168</v>
      </c>
      <c r="C408" s="15" t="s">
        <v>2169</v>
      </c>
      <c r="D408" s="41">
        <v>40162.0</v>
      </c>
      <c r="E408" s="15" t="s">
        <v>177</v>
      </c>
      <c r="F408" s="15">
        <v>5.627000561E9</v>
      </c>
      <c r="G408" s="15" t="s">
        <v>2174</v>
      </c>
      <c r="H408" s="15" t="s">
        <v>110</v>
      </c>
      <c r="I408" s="18"/>
      <c r="J408" s="15" t="s">
        <v>2176</v>
      </c>
      <c r="K408" s="15" t="s">
        <v>2177</v>
      </c>
      <c r="L408" s="15" t="s">
        <v>2178</v>
      </c>
      <c r="M408" s="15" t="s">
        <v>2179</v>
      </c>
      <c r="N408" s="15" t="s">
        <v>2180</v>
      </c>
      <c r="O408" s="15" t="s">
        <v>2182</v>
      </c>
      <c r="P408" s="20">
        <v>16.0</v>
      </c>
      <c r="Q408" s="22">
        <v>46036.9590625</v>
      </c>
      <c r="R408" s="15" t="s">
        <v>107</v>
      </c>
      <c r="S408" s="15" t="s">
        <v>109</v>
      </c>
      <c r="T408" s="15" t="s">
        <v>208</v>
      </c>
      <c r="U408" s="15" t="s">
        <v>1599</v>
      </c>
      <c r="V408" s="15" t="s">
        <v>1600</v>
      </c>
      <c r="W408" s="15" t="s">
        <v>1602</v>
      </c>
      <c r="X408" s="15" t="s">
        <v>120</v>
      </c>
      <c r="Y408" s="18"/>
      <c r="Z408" s="15" t="s">
        <v>120</v>
      </c>
      <c r="AA408" s="18"/>
      <c r="AB408" s="15" t="s">
        <v>117</v>
      </c>
      <c r="AC408" s="15" t="s">
        <v>117</v>
      </c>
      <c r="AD408" s="15" t="s">
        <v>2190</v>
      </c>
      <c r="AE408" s="15" t="s">
        <v>120</v>
      </c>
      <c r="AF408" s="18"/>
      <c r="AG408" s="15" t="s">
        <v>120</v>
      </c>
      <c r="AH408" s="18"/>
      <c r="AI408" s="15" t="s">
        <v>120</v>
      </c>
      <c r="AJ408" s="18"/>
      <c r="AK408" s="18"/>
      <c r="AL408" s="15" t="s">
        <v>129</v>
      </c>
      <c r="AM408" s="15" t="s">
        <v>138</v>
      </c>
      <c r="AN408" s="15" t="s">
        <v>185</v>
      </c>
      <c r="AO408" s="15" t="s">
        <v>216</v>
      </c>
      <c r="AP408" s="15"/>
    </row>
    <row r="409" ht="22.5" customHeight="1">
      <c r="A409" s="15" t="s">
        <v>510</v>
      </c>
      <c r="B409" s="15" t="s">
        <v>4439</v>
      </c>
      <c r="C409" s="15" t="s">
        <v>4440</v>
      </c>
      <c r="D409" s="41">
        <v>39575.0</v>
      </c>
      <c r="E409" s="15" t="s">
        <v>98</v>
      </c>
      <c r="F409" s="15">
        <v>5.610415084E9</v>
      </c>
      <c r="G409" s="15" t="s">
        <v>4441</v>
      </c>
      <c r="H409" s="15" t="s">
        <v>150</v>
      </c>
      <c r="I409" s="18"/>
      <c r="J409" s="15" t="s">
        <v>4442</v>
      </c>
      <c r="K409" s="15" t="s">
        <v>4443</v>
      </c>
      <c r="L409" s="15">
        <v>5.524615201E9</v>
      </c>
      <c r="M409" s="18"/>
      <c r="N409" s="18"/>
      <c r="O409" s="18"/>
      <c r="P409" s="20">
        <v>17.0</v>
      </c>
      <c r="Q409" s="22">
        <v>46030.82331018519</v>
      </c>
      <c r="R409" s="15" t="s">
        <v>107</v>
      </c>
      <c r="S409" s="15" t="s">
        <v>109</v>
      </c>
      <c r="T409" s="15" t="s">
        <v>208</v>
      </c>
      <c r="U409" s="15" t="s">
        <v>478</v>
      </c>
      <c r="V409" s="15" t="s">
        <v>480</v>
      </c>
      <c r="W409" s="15" t="s">
        <v>481</v>
      </c>
      <c r="X409" s="15" t="s">
        <v>120</v>
      </c>
      <c r="Y409" s="18"/>
      <c r="Z409" s="15" t="s">
        <v>120</v>
      </c>
      <c r="AA409" s="18"/>
      <c r="AB409" s="15" t="s">
        <v>120</v>
      </c>
      <c r="AC409" s="18"/>
      <c r="AD409" s="18"/>
      <c r="AE409" s="15" t="s">
        <v>120</v>
      </c>
      <c r="AF409" s="18"/>
      <c r="AG409" s="15" t="s">
        <v>120</v>
      </c>
      <c r="AH409" s="18"/>
      <c r="AI409" s="15" t="s">
        <v>120</v>
      </c>
      <c r="AJ409" s="18"/>
      <c r="AK409" s="18"/>
      <c r="AL409" s="15" t="s">
        <v>156</v>
      </c>
      <c r="AM409" s="15" t="s">
        <v>138</v>
      </c>
      <c r="AN409" s="15" t="s">
        <v>141</v>
      </c>
      <c r="AO409" s="15" t="s">
        <v>126</v>
      </c>
      <c r="AP409" s="15"/>
    </row>
    <row r="410" ht="22.5" customHeight="1">
      <c r="A410" s="15" t="s">
        <v>2040</v>
      </c>
      <c r="B410" s="15" t="s">
        <v>2043</v>
      </c>
      <c r="C410" s="15" t="s">
        <v>2045</v>
      </c>
      <c r="D410" s="41">
        <v>40664.0</v>
      </c>
      <c r="E410" s="15" t="s">
        <v>98</v>
      </c>
      <c r="F410" s="15">
        <v>5.656977662E9</v>
      </c>
      <c r="G410" s="15" t="s">
        <v>2049</v>
      </c>
      <c r="H410" s="15" t="s">
        <v>140</v>
      </c>
      <c r="I410" s="18"/>
      <c r="J410" s="15" t="s">
        <v>2050</v>
      </c>
      <c r="K410" s="15" t="s">
        <v>2049</v>
      </c>
      <c r="L410" s="15">
        <v>2.217449886E9</v>
      </c>
      <c r="M410" s="18"/>
      <c r="N410" s="18"/>
      <c r="O410" s="18"/>
      <c r="P410" s="20">
        <v>14.0</v>
      </c>
      <c r="Q410" s="22">
        <v>46031.57121527778</v>
      </c>
      <c r="R410" s="15" t="s">
        <v>107</v>
      </c>
      <c r="S410" s="15" t="s">
        <v>109</v>
      </c>
      <c r="T410" s="15" t="s">
        <v>160</v>
      </c>
      <c r="U410" s="15" t="s">
        <v>279</v>
      </c>
      <c r="V410" s="15" t="s">
        <v>280</v>
      </c>
      <c r="W410" s="15" t="s">
        <v>282</v>
      </c>
      <c r="X410" s="15" t="s">
        <v>120</v>
      </c>
      <c r="Y410" s="18"/>
      <c r="Z410" s="15" t="s">
        <v>120</v>
      </c>
      <c r="AA410" s="18"/>
      <c r="AB410" s="15" t="s">
        <v>120</v>
      </c>
      <c r="AC410" s="18"/>
      <c r="AD410" s="18"/>
      <c r="AE410" s="15" t="s">
        <v>120</v>
      </c>
      <c r="AF410" s="18"/>
      <c r="AG410" s="15" t="s">
        <v>120</v>
      </c>
      <c r="AH410" s="18"/>
      <c r="AI410" s="15" t="s">
        <v>117</v>
      </c>
      <c r="AJ410" s="15" t="s">
        <v>2061</v>
      </c>
      <c r="AK410" s="18"/>
      <c r="AL410" s="15" t="s">
        <v>141</v>
      </c>
      <c r="AM410" s="15" t="s">
        <v>156</v>
      </c>
      <c r="AN410" s="15" t="s">
        <v>216</v>
      </c>
      <c r="AO410" s="15" t="s">
        <v>126</v>
      </c>
      <c r="AP410" s="15"/>
    </row>
    <row r="411" ht="22.5" customHeight="1">
      <c r="A411" s="15" t="s">
        <v>2068</v>
      </c>
      <c r="B411" s="15" t="s">
        <v>413</v>
      </c>
      <c r="C411" s="15" t="s">
        <v>78</v>
      </c>
      <c r="D411" s="41">
        <v>41107.0</v>
      </c>
      <c r="E411" s="15" t="s">
        <v>177</v>
      </c>
      <c r="F411" s="15" t="s">
        <v>2069</v>
      </c>
      <c r="G411" s="15" t="s">
        <v>2070</v>
      </c>
      <c r="H411" s="15" t="s">
        <v>101</v>
      </c>
      <c r="I411" s="23" t="s">
        <v>135</v>
      </c>
      <c r="J411" s="15" t="s">
        <v>417</v>
      </c>
      <c r="K411" s="15" t="s">
        <v>2071</v>
      </c>
      <c r="L411" s="15">
        <v>5.530664884E9</v>
      </c>
      <c r="M411" s="18"/>
      <c r="N411" s="18"/>
      <c r="O411" s="18"/>
      <c r="P411" s="20">
        <v>13.0</v>
      </c>
      <c r="Q411" s="22">
        <v>46026.47891203704</v>
      </c>
      <c r="R411" s="15" t="s">
        <v>107</v>
      </c>
      <c r="S411" s="15" t="s">
        <v>109</v>
      </c>
      <c r="T411" s="15" t="s">
        <v>208</v>
      </c>
      <c r="U411" s="15" t="s">
        <v>228</v>
      </c>
      <c r="V411" s="15" t="s">
        <v>229</v>
      </c>
      <c r="W411" s="15" t="s">
        <v>230</v>
      </c>
      <c r="X411" s="15" t="s">
        <v>120</v>
      </c>
      <c r="Y411" s="18"/>
      <c r="Z411" s="15" t="s">
        <v>120</v>
      </c>
      <c r="AA411" s="18"/>
      <c r="AB411" s="15" t="s">
        <v>120</v>
      </c>
      <c r="AC411" s="18"/>
      <c r="AD411" s="18"/>
      <c r="AE411" s="15" t="s">
        <v>120</v>
      </c>
      <c r="AF411" s="18"/>
      <c r="AG411" s="15" t="s">
        <v>120</v>
      </c>
      <c r="AH411" s="18"/>
      <c r="AI411" s="15" t="s">
        <v>117</v>
      </c>
      <c r="AJ411" s="15" t="s">
        <v>1096</v>
      </c>
      <c r="AK411" s="18"/>
      <c r="AL411" s="15" t="s">
        <v>242</v>
      </c>
      <c r="AM411" s="15" t="s">
        <v>138</v>
      </c>
      <c r="AN411" s="15" t="s">
        <v>126</v>
      </c>
      <c r="AO411" s="15" t="s">
        <v>156</v>
      </c>
      <c r="AP411" s="15"/>
    </row>
    <row r="412" ht="22.5" customHeight="1">
      <c r="A412" s="15" t="s">
        <v>4444</v>
      </c>
      <c r="B412" s="15" t="s">
        <v>4445</v>
      </c>
      <c r="C412" s="15" t="s">
        <v>4446</v>
      </c>
      <c r="D412" s="41">
        <v>40443.0</v>
      </c>
      <c r="E412" s="15" t="s">
        <v>98</v>
      </c>
      <c r="F412" s="15">
        <v>5.535920289E9</v>
      </c>
      <c r="G412" s="15" t="s">
        <v>4447</v>
      </c>
      <c r="H412" s="15" t="s">
        <v>101</v>
      </c>
      <c r="I412" s="18"/>
      <c r="J412" s="15" t="s">
        <v>4448</v>
      </c>
      <c r="K412" s="15" t="s">
        <v>4447</v>
      </c>
      <c r="L412" s="15">
        <v>5.535920289E9</v>
      </c>
      <c r="M412" s="18"/>
      <c r="N412" s="18"/>
      <c r="O412" s="18"/>
      <c r="P412" s="20">
        <v>15.0</v>
      </c>
      <c r="Q412" s="22">
        <v>46044.89822916667</v>
      </c>
      <c r="R412" s="15" t="s">
        <v>107</v>
      </c>
      <c r="S412" s="15" t="s">
        <v>109</v>
      </c>
      <c r="T412" s="15" t="s">
        <v>160</v>
      </c>
      <c r="U412" s="15" t="s">
        <v>1739</v>
      </c>
      <c r="V412" s="15" t="s">
        <v>1740</v>
      </c>
      <c r="W412" s="15" t="s">
        <v>1741</v>
      </c>
      <c r="X412" s="15" t="s">
        <v>120</v>
      </c>
      <c r="Y412" s="18"/>
      <c r="Z412" s="15" t="s">
        <v>117</v>
      </c>
      <c r="AA412" s="52" t="s">
        <v>4449</v>
      </c>
      <c r="AB412" s="15" t="s">
        <v>120</v>
      </c>
      <c r="AC412" s="18"/>
      <c r="AD412" s="18"/>
      <c r="AE412" s="15" t="s">
        <v>120</v>
      </c>
      <c r="AF412" s="18"/>
      <c r="AG412" s="15" t="s">
        <v>120</v>
      </c>
      <c r="AH412" s="18"/>
      <c r="AI412" s="15" t="s">
        <v>120</v>
      </c>
      <c r="AJ412" s="18"/>
      <c r="AK412" s="18"/>
      <c r="AL412" s="15" t="s">
        <v>129</v>
      </c>
      <c r="AM412" s="15" t="s">
        <v>156</v>
      </c>
      <c r="AN412" s="15" t="s">
        <v>185</v>
      </c>
      <c r="AO412" s="15" t="s">
        <v>124</v>
      </c>
      <c r="AP412" s="15"/>
    </row>
    <row r="413" ht="22.5" customHeight="1">
      <c r="A413" s="15" t="s">
        <v>4450</v>
      </c>
      <c r="B413" s="15" t="s">
        <v>4451</v>
      </c>
      <c r="C413" s="15" t="s">
        <v>4452</v>
      </c>
      <c r="D413" s="41">
        <v>40389.0</v>
      </c>
      <c r="E413" s="15" t="s">
        <v>177</v>
      </c>
      <c r="F413" s="15">
        <v>5.581248554E9</v>
      </c>
      <c r="G413" s="15" t="s">
        <v>4453</v>
      </c>
      <c r="H413" s="15" t="s">
        <v>382</v>
      </c>
      <c r="I413" s="23" t="s">
        <v>4454</v>
      </c>
      <c r="J413" s="15" t="s">
        <v>115</v>
      </c>
      <c r="K413" s="15" t="s">
        <v>114</v>
      </c>
      <c r="L413" s="15">
        <v>5.511719199E9</v>
      </c>
      <c r="M413" s="15" t="s">
        <v>4254</v>
      </c>
      <c r="N413" s="15" t="s">
        <v>4255</v>
      </c>
      <c r="O413" s="15">
        <v>5.532185818E9</v>
      </c>
      <c r="P413" s="20">
        <v>15.0</v>
      </c>
      <c r="Q413" s="22">
        <v>46035.977430555555</v>
      </c>
      <c r="R413" s="15" t="s">
        <v>107</v>
      </c>
      <c r="S413" s="15" t="s">
        <v>109</v>
      </c>
      <c r="T413" s="15" t="s">
        <v>111</v>
      </c>
      <c r="U413" s="15" t="s">
        <v>112</v>
      </c>
      <c r="V413" s="15" t="s">
        <v>114</v>
      </c>
      <c r="W413" s="15" t="s">
        <v>115</v>
      </c>
      <c r="X413" s="15" t="s">
        <v>120</v>
      </c>
      <c r="Y413" s="18"/>
      <c r="Z413" s="15" t="s">
        <v>120</v>
      </c>
      <c r="AA413" s="18"/>
      <c r="AB413" s="15" t="s">
        <v>120</v>
      </c>
      <c r="AC413" s="18"/>
      <c r="AD413" s="18"/>
      <c r="AE413" s="15" t="s">
        <v>120</v>
      </c>
      <c r="AF413" s="18"/>
      <c r="AG413" s="15" t="s">
        <v>120</v>
      </c>
      <c r="AH413" s="18"/>
      <c r="AI413" s="15" t="s">
        <v>120</v>
      </c>
      <c r="AJ413" s="18"/>
      <c r="AK413" s="18"/>
      <c r="AL413" s="15" t="s">
        <v>126</v>
      </c>
      <c r="AM413" s="15" t="s">
        <v>141</v>
      </c>
      <c r="AN413" s="15" t="s">
        <v>185</v>
      </c>
      <c r="AO413" s="15" t="s">
        <v>240</v>
      </c>
      <c r="AP413" s="15"/>
    </row>
    <row r="414" ht="22.5" customHeight="1">
      <c r="A414" s="15" t="s">
        <v>2719</v>
      </c>
      <c r="B414" s="15" t="s">
        <v>2720</v>
      </c>
      <c r="C414" s="15" t="s">
        <v>2721</v>
      </c>
      <c r="D414" s="41">
        <v>40274.0</v>
      </c>
      <c r="E414" s="15" t="s">
        <v>98</v>
      </c>
      <c r="F414" s="15">
        <v>5.521860638E9</v>
      </c>
      <c r="G414" s="15" t="s">
        <v>2724</v>
      </c>
      <c r="H414" s="15" t="s">
        <v>101</v>
      </c>
      <c r="I414" s="18"/>
      <c r="J414" s="15" t="s">
        <v>2726</v>
      </c>
      <c r="K414" s="15" t="s">
        <v>2724</v>
      </c>
      <c r="L414" s="15">
        <v>5.561212413E9</v>
      </c>
      <c r="M414" s="18"/>
      <c r="N414" s="18"/>
      <c r="O414" s="18"/>
      <c r="P414" s="20">
        <v>15.0</v>
      </c>
      <c r="Q414" s="22">
        <v>46033.569340277776</v>
      </c>
      <c r="R414" s="15" t="s">
        <v>107</v>
      </c>
      <c r="S414" s="15" t="s">
        <v>109</v>
      </c>
      <c r="T414" s="15" t="s">
        <v>171</v>
      </c>
      <c r="U414" s="15" t="s">
        <v>262</v>
      </c>
      <c r="V414" s="15" t="s">
        <v>263</v>
      </c>
      <c r="W414" s="15" t="s">
        <v>264</v>
      </c>
      <c r="X414" s="15" t="s">
        <v>120</v>
      </c>
      <c r="Y414" s="18"/>
      <c r="Z414" s="15" t="s">
        <v>117</v>
      </c>
      <c r="AA414" s="49" t="s">
        <v>2737</v>
      </c>
      <c r="AB414" s="15" t="s">
        <v>120</v>
      </c>
      <c r="AC414" s="15" t="s">
        <v>120</v>
      </c>
      <c r="AD414" s="18"/>
      <c r="AE414" s="15" t="s">
        <v>120</v>
      </c>
      <c r="AF414" s="18"/>
      <c r="AG414" s="15" t="s">
        <v>117</v>
      </c>
      <c r="AH414" s="15" t="s">
        <v>2738</v>
      </c>
      <c r="AI414" s="15" t="s">
        <v>120</v>
      </c>
      <c r="AJ414" s="18"/>
      <c r="AK414" s="18"/>
      <c r="AL414" s="15" t="s">
        <v>156</v>
      </c>
      <c r="AM414" s="15" t="s">
        <v>124</v>
      </c>
      <c r="AN414" s="15" t="s">
        <v>128</v>
      </c>
      <c r="AO414" s="15" t="s">
        <v>242</v>
      </c>
      <c r="AP414" s="15"/>
    </row>
    <row r="415" ht="22.5" customHeight="1">
      <c r="A415" s="15" t="s">
        <v>4455</v>
      </c>
      <c r="B415" s="15" t="s">
        <v>3384</v>
      </c>
      <c r="C415" s="15" t="s">
        <v>4456</v>
      </c>
      <c r="D415" s="41">
        <v>39511.0</v>
      </c>
      <c r="E415" s="15" t="s">
        <v>98</v>
      </c>
      <c r="F415" s="15">
        <v>5.529335141E9</v>
      </c>
      <c r="G415" s="15" t="s">
        <v>4457</v>
      </c>
      <c r="H415" s="15" t="s">
        <v>101</v>
      </c>
      <c r="I415" s="23" t="s">
        <v>3491</v>
      </c>
      <c r="J415" s="15" t="s">
        <v>3386</v>
      </c>
      <c r="K415" s="15" t="s">
        <v>3387</v>
      </c>
      <c r="L415" s="15">
        <v>5.591888985E9</v>
      </c>
      <c r="M415" s="15" t="s">
        <v>3388</v>
      </c>
      <c r="N415" s="15" t="s">
        <v>3389</v>
      </c>
      <c r="O415" s="15">
        <v>5.582979154E9</v>
      </c>
      <c r="P415" s="20">
        <v>17.0</v>
      </c>
      <c r="Q415" s="22">
        <v>46038.77355324074</v>
      </c>
      <c r="R415" s="15" t="s">
        <v>107</v>
      </c>
      <c r="S415" s="15" t="s">
        <v>109</v>
      </c>
      <c r="T415" s="15" t="s">
        <v>111</v>
      </c>
      <c r="U415" s="15" t="s">
        <v>112</v>
      </c>
      <c r="V415" s="15" t="s">
        <v>114</v>
      </c>
      <c r="W415" s="15" t="s">
        <v>115</v>
      </c>
      <c r="X415" s="15" t="s">
        <v>120</v>
      </c>
      <c r="Y415" s="18"/>
      <c r="Z415" s="15" t="s">
        <v>120</v>
      </c>
      <c r="AA415" s="18"/>
      <c r="AB415" s="15" t="s">
        <v>120</v>
      </c>
      <c r="AC415" s="18"/>
      <c r="AD415" s="18"/>
      <c r="AE415" s="15" t="s">
        <v>120</v>
      </c>
      <c r="AF415" s="18"/>
      <c r="AG415" s="15" t="s">
        <v>120</v>
      </c>
      <c r="AH415" s="18"/>
      <c r="AI415" s="15" t="s">
        <v>120</v>
      </c>
      <c r="AJ415" s="18"/>
      <c r="AK415" s="18"/>
      <c r="AL415" s="15" t="s">
        <v>185</v>
      </c>
      <c r="AM415" s="15" t="s">
        <v>126</v>
      </c>
      <c r="AN415" s="15" t="s">
        <v>216</v>
      </c>
      <c r="AO415" s="15" t="s">
        <v>129</v>
      </c>
      <c r="AP415" s="15"/>
    </row>
    <row r="416" ht="22.5" customHeight="1">
      <c r="A416" s="15" t="s">
        <v>4458</v>
      </c>
      <c r="B416" s="15" t="s">
        <v>4459</v>
      </c>
      <c r="C416" s="15" t="s">
        <v>4460</v>
      </c>
      <c r="D416" s="41">
        <v>40359.0</v>
      </c>
      <c r="E416" s="15" t="s">
        <v>98</v>
      </c>
      <c r="F416" s="15">
        <v>2.106652208E9</v>
      </c>
      <c r="G416" s="15" t="s">
        <v>4461</v>
      </c>
      <c r="H416" s="15" t="s">
        <v>150</v>
      </c>
      <c r="I416" s="18"/>
      <c r="J416" s="15" t="s">
        <v>4462</v>
      </c>
      <c r="K416" s="15" t="s">
        <v>4461</v>
      </c>
      <c r="L416" s="15">
        <v>2.105567634E9</v>
      </c>
      <c r="M416" s="18"/>
      <c r="N416" s="18"/>
      <c r="O416" s="18"/>
      <c r="P416" s="20">
        <v>15.0</v>
      </c>
      <c r="Q416" s="22">
        <v>46034.888703703706</v>
      </c>
      <c r="R416" s="15" t="s">
        <v>107</v>
      </c>
      <c r="S416" s="15" t="s">
        <v>109</v>
      </c>
      <c r="T416" s="15" t="s">
        <v>4463</v>
      </c>
      <c r="U416" s="15" t="s">
        <v>4464</v>
      </c>
      <c r="V416" s="15" t="s">
        <v>4465</v>
      </c>
      <c r="W416" s="15" t="s">
        <v>4462</v>
      </c>
      <c r="X416" s="15" t="s">
        <v>120</v>
      </c>
      <c r="Y416" s="18"/>
      <c r="Z416" s="15" t="s">
        <v>120</v>
      </c>
      <c r="AA416" s="18"/>
      <c r="AB416" s="15" t="s">
        <v>120</v>
      </c>
      <c r="AC416" s="15" t="s">
        <v>120</v>
      </c>
      <c r="AD416" s="18"/>
      <c r="AE416" s="15" t="s">
        <v>120</v>
      </c>
      <c r="AF416" s="18"/>
      <c r="AG416" s="15" t="s">
        <v>120</v>
      </c>
      <c r="AH416" s="18"/>
      <c r="AI416" s="15" t="s">
        <v>120</v>
      </c>
      <c r="AJ416" s="18"/>
      <c r="AK416" s="18"/>
      <c r="AL416" s="15" t="s">
        <v>129</v>
      </c>
      <c r="AM416" s="15" t="s">
        <v>126</v>
      </c>
      <c r="AN416" s="15" t="s">
        <v>242</v>
      </c>
      <c r="AO416" s="15" t="s">
        <v>185</v>
      </c>
      <c r="AP416" s="15"/>
    </row>
    <row r="417" ht="22.5" customHeight="1">
      <c r="A417" s="15" t="s">
        <v>4466</v>
      </c>
      <c r="B417" s="15" t="s">
        <v>3426</v>
      </c>
      <c r="C417" s="15" t="s">
        <v>4467</v>
      </c>
      <c r="D417" s="41">
        <v>39908.0</v>
      </c>
      <c r="E417" s="15" t="s">
        <v>98</v>
      </c>
      <c r="F417" s="15">
        <v>5.538504319E9</v>
      </c>
      <c r="G417" s="15" t="s">
        <v>4468</v>
      </c>
      <c r="H417" s="15" t="s">
        <v>140</v>
      </c>
      <c r="I417" s="18"/>
      <c r="J417" s="15" t="s">
        <v>3429</v>
      </c>
      <c r="K417" s="15" t="s">
        <v>3430</v>
      </c>
      <c r="L417" s="15">
        <v>5.545087029E9</v>
      </c>
      <c r="M417" s="18"/>
      <c r="N417" s="18"/>
      <c r="O417" s="18"/>
      <c r="P417" s="20">
        <v>16.0</v>
      </c>
      <c r="Q417" s="22">
        <v>46033.56559027778</v>
      </c>
      <c r="R417" s="15" t="s">
        <v>107</v>
      </c>
      <c r="S417" s="15" t="s">
        <v>109</v>
      </c>
      <c r="T417" s="15" t="s">
        <v>171</v>
      </c>
      <c r="U417" s="15" t="s">
        <v>262</v>
      </c>
      <c r="V417" s="15" t="s">
        <v>263</v>
      </c>
      <c r="W417" s="15" t="s">
        <v>264</v>
      </c>
      <c r="X417" s="15" t="s">
        <v>120</v>
      </c>
      <c r="Y417" s="18"/>
      <c r="Z417" s="15" t="s">
        <v>120</v>
      </c>
      <c r="AA417" s="18"/>
      <c r="AB417" s="15" t="s">
        <v>120</v>
      </c>
      <c r="AC417" s="18"/>
      <c r="AD417" s="18"/>
      <c r="AE417" s="15" t="s">
        <v>120</v>
      </c>
      <c r="AF417" s="18"/>
      <c r="AG417" s="15" t="s">
        <v>120</v>
      </c>
      <c r="AH417" s="18"/>
      <c r="AI417" s="15" t="s">
        <v>120</v>
      </c>
      <c r="AJ417" s="18"/>
      <c r="AK417" s="18"/>
      <c r="AL417" s="15" t="s">
        <v>126</v>
      </c>
      <c r="AM417" s="15" t="s">
        <v>156</v>
      </c>
      <c r="AN417" s="15" t="s">
        <v>124</v>
      </c>
      <c r="AO417" s="15" t="s">
        <v>129</v>
      </c>
      <c r="AP417" s="15"/>
    </row>
    <row r="418" ht="22.5" customHeight="1">
      <c r="A418" s="15" t="s">
        <v>2073</v>
      </c>
      <c r="B418" s="15" t="s">
        <v>4469</v>
      </c>
      <c r="C418" s="15" t="s">
        <v>4470</v>
      </c>
      <c r="D418" s="41">
        <v>39962.0</v>
      </c>
      <c r="E418" s="15" t="s">
        <v>177</v>
      </c>
      <c r="F418" s="15">
        <v>5.647337598E9</v>
      </c>
      <c r="G418" s="15" t="s">
        <v>4471</v>
      </c>
      <c r="H418" s="15" t="s">
        <v>101</v>
      </c>
      <c r="I418" s="23" t="s">
        <v>4472</v>
      </c>
      <c r="J418" s="15" t="s">
        <v>4473</v>
      </c>
      <c r="K418" s="15" t="s">
        <v>4474</v>
      </c>
      <c r="L418" s="15">
        <v>5.621209358E9</v>
      </c>
      <c r="M418" s="18"/>
      <c r="N418" s="18"/>
      <c r="O418" s="18"/>
      <c r="P418" s="20">
        <v>16.0</v>
      </c>
      <c r="Q418" s="22">
        <v>46033.631736111114</v>
      </c>
      <c r="R418" s="15" t="s">
        <v>107</v>
      </c>
      <c r="S418" s="15" t="s">
        <v>109</v>
      </c>
      <c r="T418" s="15" t="s">
        <v>160</v>
      </c>
      <c r="U418" s="15" t="s">
        <v>1265</v>
      </c>
      <c r="V418" s="15" t="s">
        <v>1267</v>
      </c>
      <c r="W418" s="15" t="s">
        <v>1268</v>
      </c>
      <c r="X418" s="15" t="s">
        <v>120</v>
      </c>
      <c r="Y418" s="18"/>
      <c r="Z418" s="15" t="s">
        <v>120</v>
      </c>
      <c r="AA418" s="18"/>
      <c r="AB418" s="15" t="s">
        <v>120</v>
      </c>
      <c r="AC418" s="18"/>
      <c r="AD418" s="18"/>
      <c r="AE418" s="15" t="s">
        <v>120</v>
      </c>
      <c r="AF418" s="18"/>
      <c r="AG418" s="15" t="s">
        <v>120</v>
      </c>
      <c r="AH418" s="18"/>
      <c r="AI418" s="15" t="s">
        <v>120</v>
      </c>
      <c r="AJ418" s="18"/>
      <c r="AK418" s="18"/>
      <c r="AL418" s="15" t="s">
        <v>141</v>
      </c>
      <c r="AM418" s="15" t="s">
        <v>129</v>
      </c>
      <c r="AN418" s="15" t="s">
        <v>240</v>
      </c>
      <c r="AO418" s="15" t="s">
        <v>138</v>
      </c>
      <c r="AP418" s="15"/>
    </row>
    <row r="419" ht="22.5" customHeight="1">
      <c r="A419" s="15" t="s">
        <v>4475</v>
      </c>
      <c r="B419" s="15" t="s">
        <v>4476</v>
      </c>
      <c r="C419" s="15" t="s">
        <v>4477</v>
      </c>
      <c r="D419" s="41">
        <v>40435.0</v>
      </c>
      <c r="E419" s="15" t="s">
        <v>98</v>
      </c>
      <c r="F419" s="15">
        <v>5.633326967E9</v>
      </c>
      <c r="G419" s="15" t="s">
        <v>4478</v>
      </c>
      <c r="H419" s="15" t="s">
        <v>101</v>
      </c>
      <c r="I419" s="23" t="s">
        <v>584</v>
      </c>
      <c r="J419" s="15" t="s">
        <v>4479</v>
      </c>
      <c r="K419" s="15" t="s">
        <v>4480</v>
      </c>
      <c r="L419" s="15">
        <v>5.528566882E9</v>
      </c>
      <c r="M419" s="15" t="s">
        <v>4481</v>
      </c>
      <c r="N419" s="15" t="s">
        <v>4482</v>
      </c>
      <c r="O419" s="15">
        <v>5.611722513E9</v>
      </c>
      <c r="P419" s="20">
        <v>15.0</v>
      </c>
      <c r="Q419" s="22">
        <v>46021.50252314815</v>
      </c>
      <c r="R419" s="15" t="s">
        <v>107</v>
      </c>
      <c r="S419" s="15" t="s">
        <v>109</v>
      </c>
      <c r="T419" s="15" t="s">
        <v>204</v>
      </c>
      <c r="U419" s="15" t="s">
        <v>311</v>
      </c>
      <c r="V419" s="15" t="s">
        <v>312</v>
      </c>
      <c r="W419" s="15" t="s">
        <v>313</v>
      </c>
      <c r="X419" s="15" t="s">
        <v>120</v>
      </c>
      <c r="Y419" s="18"/>
      <c r="Z419" s="15" t="s">
        <v>120</v>
      </c>
      <c r="AA419" s="18"/>
      <c r="AB419" s="15" t="s">
        <v>120</v>
      </c>
      <c r="AC419" s="18"/>
      <c r="AD419" s="18"/>
      <c r="AE419" s="15" t="s">
        <v>120</v>
      </c>
      <c r="AF419" s="18"/>
      <c r="AG419" s="15" t="s">
        <v>120</v>
      </c>
      <c r="AH419" s="18"/>
      <c r="AI419" s="15" t="s">
        <v>120</v>
      </c>
      <c r="AJ419" s="18"/>
      <c r="AK419" s="18"/>
      <c r="AL419" s="15" t="s">
        <v>185</v>
      </c>
      <c r="AM419" s="15" t="s">
        <v>124</v>
      </c>
      <c r="AN419" s="15" t="s">
        <v>129</v>
      </c>
      <c r="AO419" s="15" t="s">
        <v>156</v>
      </c>
      <c r="AP419" s="15"/>
    </row>
    <row r="420" ht="22.5" customHeight="1">
      <c r="A420" s="15" t="s">
        <v>2200</v>
      </c>
      <c r="B420" s="15" t="s">
        <v>2202</v>
      </c>
      <c r="C420" s="15" t="s">
        <v>2203</v>
      </c>
      <c r="D420" s="41">
        <v>41267.0</v>
      </c>
      <c r="E420" s="15" t="s">
        <v>98</v>
      </c>
      <c r="F420" s="15" t="s">
        <v>2204</v>
      </c>
      <c r="G420" s="15" t="s">
        <v>2205</v>
      </c>
      <c r="H420" s="15" t="s">
        <v>140</v>
      </c>
      <c r="I420" s="18"/>
      <c r="J420" s="15" t="s">
        <v>2206</v>
      </c>
      <c r="K420" s="15" t="s">
        <v>2207</v>
      </c>
      <c r="L420" s="15" t="s">
        <v>2208</v>
      </c>
      <c r="M420" s="18"/>
      <c r="N420" s="18"/>
      <c r="O420" s="18"/>
      <c r="P420" s="20">
        <v>13.0</v>
      </c>
      <c r="Q420" s="22">
        <v>46019.73133101852</v>
      </c>
      <c r="R420" s="15" t="s">
        <v>107</v>
      </c>
      <c r="S420" s="15" t="s">
        <v>109</v>
      </c>
      <c r="T420" s="15" t="s">
        <v>127</v>
      </c>
      <c r="U420" s="15" t="s">
        <v>531</v>
      </c>
      <c r="V420" s="15" t="s">
        <v>532</v>
      </c>
      <c r="W420" s="15" t="s">
        <v>534</v>
      </c>
      <c r="X420" s="15" t="s">
        <v>120</v>
      </c>
      <c r="Y420" s="15" t="s">
        <v>135</v>
      </c>
      <c r="Z420" s="15" t="s">
        <v>120</v>
      </c>
      <c r="AA420" s="15" t="s">
        <v>135</v>
      </c>
      <c r="AB420" s="15" t="s">
        <v>117</v>
      </c>
      <c r="AC420" s="15" t="s">
        <v>117</v>
      </c>
      <c r="AD420" s="15" t="s">
        <v>334</v>
      </c>
      <c r="AE420" s="15" t="s">
        <v>120</v>
      </c>
      <c r="AF420" s="15" t="s">
        <v>2222</v>
      </c>
      <c r="AG420" s="15" t="s">
        <v>120</v>
      </c>
      <c r="AH420" s="15" t="s">
        <v>2222</v>
      </c>
      <c r="AI420" s="15" t="s">
        <v>120</v>
      </c>
      <c r="AJ420" s="15" t="s">
        <v>2222</v>
      </c>
      <c r="AK420" s="15" t="s">
        <v>2222</v>
      </c>
      <c r="AL420" s="15" t="s">
        <v>124</v>
      </c>
      <c r="AM420" s="15" t="s">
        <v>185</v>
      </c>
      <c r="AN420" s="15" t="s">
        <v>242</v>
      </c>
      <c r="AO420" s="15" t="s">
        <v>138</v>
      </c>
      <c r="AP420" s="15"/>
    </row>
    <row r="421" ht="22.5" customHeight="1">
      <c r="A421" s="15" t="s">
        <v>4483</v>
      </c>
      <c r="B421" s="15" t="s">
        <v>4484</v>
      </c>
      <c r="C421" s="15" t="s">
        <v>4485</v>
      </c>
      <c r="D421" s="41">
        <v>39680.0</v>
      </c>
      <c r="E421" s="15" t="s">
        <v>98</v>
      </c>
      <c r="F421" s="15">
        <v>5.588096278E9</v>
      </c>
      <c r="G421" s="15" t="s">
        <v>4486</v>
      </c>
      <c r="H421" s="15" t="s">
        <v>101</v>
      </c>
      <c r="I421" s="18"/>
      <c r="J421" s="15" t="s">
        <v>4487</v>
      </c>
      <c r="K421" s="15" t="s">
        <v>4486</v>
      </c>
      <c r="L421" s="15">
        <v>5.588096278E9</v>
      </c>
      <c r="M421" s="18"/>
      <c r="N421" s="18"/>
      <c r="O421" s="18"/>
      <c r="P421" s="20">
        <v>17.0</v>
      </c>
      <c r="Q421" s="22">
        <v>46036.8015625</v>
      </c>
      <c r="R421" s="15" t="s">
        <v>107</v>
      </c>
      <c r="S421" s="15" t="s">
        <v>109</v>
      </c>
      <c r="T421" s="15" t="s">
        <v>171</v>
      </c>
      <c r="U421" s="15" t="s">
        <v>2149</v>
      </c>
      <c r="V421" s="15" t="s">
        <v>2141</v>
      </c>
      <c r="W421" s="15" t="s">
        <v>2151</v>
      </c>
      <c r="X421" s="15" t="s">
        <v>120</v>
      </c>
      <c r="Y421" s="18"/>
      <c r="Z421" s="15" t="s">
        <v>120</v>
      </c>
      <c r="AA421" s="18"/>
      <c r="AB421" s="15" t="s">
        <v>120</v>
      </c>
      <c r="AC421" s="15" t="s">
        <v>120</v>
      </c>
      <c r="AD421" s="18"/>
      <c r="AE421" s="15" t="s">
        <v>120</v>
      </c>
      <c r="AF421" s="18"/>
      <c r="AG421" s="15" t="s">
        <v>120</v>
      </c>
      <c r="AH421" s="18"/>
      <c r="AI421" s="15" t="s">
        <v>120</v>
      </c>
      <c r="AJ421" s="18"/>
      <c r="AK421" s="18"/>
      <c r="AL421" s="15" t="s">
        <v>124</v>
      </c>
      <c r="AM421" s="15" t="s">
        <v>128</v>
      </c>
      <c r="AN421" s="15" t="s">
        <v>129</v>
      </c>
      <c r="AO421" s="15" t="s">
        <v>141</v>
      </c>
      <c r="AP421" s="15"/>
    </row>
    <row r="422" ht="22.5" customHeight="1">
      <c r="A422" s="15" t="s">
        <v>2087</v>
      </c>
      <c r="B422" s="15" t="s">
        <v>2088</v>
      </c>
      <c r="C422" s="15" t="s">
        <v>2089</v>
      </c>
      <c r="D422" s="41">
        <v>40998.0</v>
      </c>
      <c r="E422" s="15" t="s">
        <v>98</v>
      </c>
      <c r="F422" s="15">
        <v>5.662465364E9</v>
      </c>
      <c r="G422" s="15" t="s">
        <v>2091</v>
      </c>
      <c r="H422" s="15" t="s">
        <v>101</v>
      </c>
      <c r="I422" s="23" t="s">
        <v>2093</v>
      </c>
      <c r="J422" s="15" t="s">
        <v>2094</v>
      </c>
      <c r="K422" s="15" t="s">
        <v>2095</v>
      </c>
      <c r="L422" s="15">
        <v>5.623849054E9</v>
      </c>
      <c r="M422" s="18"/>
      <c r="N422" s="18"/>
      <c r="O422" s="18"/>
      <c r="P422" s="20">
        <v>13.0</v>
      </c>
      <c r="Q422" s="22">
        <v>46038.745787037034</v>
      </c>
      <c r="R422" s="15" t="s">
        <v>107</v>
      </c>
      <c r="S422" s="15" t="s">
        <v>109</v>
      </c>
      <c r="T422" s="15" t="s">
        <v>111</v>
      </c>
      <c r="U422" s="15" t="s">
        <v>1979</v>
      </c>
      <c r="V422" s="15" t="s">
        <v>1980</v>
      </c>
      <c r="W422" s="15" t="s">
        <v>1981</v>
      </c>
      <c r="X422" s="15" t="s">
        <v>120</v>
      </c>
      <c r="Y422" s="18"/>
      <c r="Z422" s="15" t="s">
        <v>120</v>
      </c>
      <c r="AA422" s="18"/>
      <c r="AB422" s="15" t="s">
        <v>120</v>
      </c>
      <c r="AC422" s="18"/>
      <c r="AD422" s="18"/>
      <c r="AE422" s="15" t="s">
        <v>120</v>
      </c>
      <c r="AF422" s="18"/>
      <c r="AG422" s="15" t="s">
        <v>120</v>
      </c>
      <c r="AH422" s="18"/>
      <c r="AI422" s="15" t="s">
        <v>117</v>
      </c>
      <c r="AJ422" s="15" t="s">
        <v>807</v>
      </c>
      <c r="AK422" s="18"/>
      <c r="AL422" s="15" t="s">
        <v>126</v>
      </c>
      <c r="AM422" s="15" t="s">
        <v>124</v>
      </c>
      <c r="AN422" s="15" t="s">
        <v>156</v>
      </c>
      <c r="AO422" s="15" t="s">
        <v>138</v>
      </c>
      <c r="AP422" s="15"/>
    </row>
    <row r="423" ht="22.5" customHeight="1">
      <c r="A423" s="15" t="s">
        <v>4488</v>
      </c>
      <c r="B423" s="15" t="s">
        <v>4489</v>
      </c>
      <c r="C423" s="15" t="s">
        <v>4490</v>
      </c>
      <c r="D423" s="41">
        <v>41249.0</v>
      </c>
      <c r="E423" s="15" t="s">
        <v>177</v>
      </c>
      <c r="F423" s="15">
        <v>5.661486434E9</v>
      </c>
      <c r="G423" s="15" t="s">
        <v>4491</v>
      </c>
      <c r="H423" s="15" t="s">
        <v>140</v>
      </c>
      <c r="I423" s="18"/>
      <c r="J423" s="15" t="s">
        <v>4492</v>
      </c>
      <c r="K423" s="15" t="s">
        <v>4493</v>
      </c>
      <c r="L423" s="15">
        <v>5.578562571E9</v>
      </c>
      <c r="M423" s="15" t="s">
        <v>4494</v>
      </c>
      <c r="N423" s="15" t="s">
        <v>4495</v>
      </c>
      <c r="O423" s="15">
        <v>5.529601348E9</v>
      </c>
      <c r="P423" s="20">
        <v>13.0</v>
      </c>
      <c r="Q423" s="22">
        <v>46047.61119212963</v>
      </c>
      <c r="R423" s="15" t="s">
        <v>107</v>
      </c>
      <c r="S423" s="15" t="s">
        <v>109</v>
      </c>
      <c r="T423" s="15" t="s">
        <v>127</v>
      </c>
      <c r="U423" s="15" t="s">
        <v>672</v>
      </c>
      <c r="V423" s="15" t="s">
        <v>673</v>
      </c>
      <c r="W423" s="15" t="s">
        <v>674</v>
      </c>
      <c r="X423" s="15" t="s">
        <v>120</v>
      </c>
      <c r="Y423" s="18"/>
      <c r="Z423" s="15" t="s">
        <v>120</v>
      </c>
      <c r="AA423" s="18"/>
      <c r="AB423" s="15" t="s">
        <v>120</v>
      </c>
      <c r="AC423" s="18"/>
      <c r="AD423" s="18"/>
      <c r="AE423" s="15" t="s">
        <v>120</v>
      </c>
      <c r="AF423" s="18"/>
      <c r="AG423" s="15" t="s">
        <v>120</v>
      </c>
      <c r="AH423" s="18"/>
      <c r="AI423" s="15" t="s">
        <v>120</v>
      </c>
      <c r="AJ423" s="18"/>
      <c r="AK423" s="18"/>
      <c r="AL423" s="15" t="s">
        <v>141</v>
      </c>
      <c r="AM423" s="15" t="s">
        <v>156</v>
      </c>
      <c r="AN423" s="15" t="s">
        <v>242</v>
      </c>
      <c r="AO423" s="15" t="s">
        <v>129</v>
      </c>
      <c r="AP423" s="15"/>
    </row>
    <row r="424" ht="22.5" customHeight="1">
      <c r="A424" s="15" t="s">
        <v>4496</v>
      </c>
      <c r="B424" s="15" t="s">
        <v>4497</v>
      </c>
      <c r="C424" s="15" t="s">
        <v>4498</v>
      </c>
      <c r="D424" s="41">
        <v>40988.0</v>
      </c>
      <c r="E424" s="15" t="s">
        <v>98</v>
      </c>
      <c r="F424" s="15">
        <v>5.583935011E9</v>
      </c>
      <c r="G424" s="15" t="s">
        <v>4499</v>
      </c>
      <c r="H424" s="15" t="s">
        <v>101</v>
      </c>
      <c r="I424" s="18"/>
      <c r="J424" s="15" t="s">
        <v>446</v>
      </c>
      <c r="K424" s="15" t="s">
        <v>4499</v>
      </c>
      <c r="L424" s="15">
        <v>5.583935011E9</v>
      </c>
      <c r="M424" s="15" t="s">
        <v>4500</v>
      </c>
      <c r="N424" s="15" t="s">
        <v>4501</v>
      </c>
      <c r="O424" s="15">
        <v>5.561798717E9</v>
      </c>
      <c r="P424" s="20">
        <v>13.0</v>
      </c>
      <c r="Q424" s="22">
        <v>46039.94981481481</v>
      </c>
      <c r="R424" s="15" t="s">
        <v>107</v>
      </c>
      <c r="S424" s="15" t="s">
        <v>109</v>
      </c>
      <c r="T424" s="15" t="s">
        <v>171</v>
      </c>
      <c r="U424" s="15" t="s">
        <v>444</v>
      </c>
      <c r="V424" s="15" t="s">
        <v>445</v>
      </c>
      <c r="W424" s="15" t="s">
        <v>446</v>
      </c>
      <c r="X424" s="15" t="s">
        <v>120</v>
      </c>
      <c r="Y424" s="18"/>
      <c r="Z424" s="15" t="s">
        <v>120</v>
      </c>
      <c r="AA424" s="18"/>
      <c r="AB424" s="15" t="s">
        <v>120</v>
      </c>
      <c r="AC424" s="18"/>
      <c r="AD424" s="18"/>
      <c r="AE424" s="15" t="s">
        <v>120</v>
      </c>
      <c r="AF424" s="18"/>
      <c r="AG424" s="15" t="s">
        <v>120</v>
      </c>
      <c r="AH424" s="18"/>
      <c r="AI424" s="15" t="s">
        <v>120</v>
      </c>
      <c r="AJ424" s="18"/>
      <c r="AK424" s="18"/>
      <c r="AL424" s="15" t="s">
        <v>185</v>
      </c>
      <c r="AM424" s="15" t="s">
        <v>240</v>
      </c>
      <c r="AN424" s="15" t="s">
        <v>156</v>
      </c>
      <c r="AO424" s="15" t="s">
        <v>138</v>
      </c>
      <c r="AP424" s="15"/>
    </row>
    <row r="425" ht="22.5" customHeight="1">
      <c r="A425" s="15" t="s">
        <v>4502</v>
      </c>
      <c r="B425" s="15" t="s">
        <v>4503</v>
      </c>
      <c r="C425" s="18"/>
      <c r="D425" s="41">
        <v>40841.0</v>
      </c>
      <c r="E425" s="15" t="s">
        <v>98</v>
      </c>
      <c r="F425" s="15">
        <v>5.564195753E9</v>
      </c>
      <c r="G425" s="15" t="s">
        <v>789</v>
      </c>
      <c r="H425" s="15" t="s">
        <v>101</v>
      </c>
      <c r="I425" s="23" t="s">
        <v>135</v>
      </c>
      <c r="J425" s="15" t="s">
        <v>4504</v>
      </c>
      <c r="K425" s="15" t="s">
        <v>4505</v>
      </c>
      <c r="L425" s="15">
        <v>9.98492326E9</v>
      </c>
      <c r="M425" s="18"/>
      <c r="N425" s="18"/>
      <c r="O425" s="18"/>
      <c r="P425" s="20">
        <v>14.0</v>
      </c>
      <c r="Q425" s="22">
        <v>46039.798472222225</v>
      </c>
      <c r="R425" s="15" t="s">
        <v>107</v>
      </c>
      <c r="S425" s="15" t="s">
        <v>109</v>
      </c>
      <c r="T425" s="15" t="s">
        <v>208</v>
      </c>
      <c r="U425" s="15" t="s">
        <v>788</v>
      </c>
      <c r="V425" s="15" t="s">
        <v>789</v>
      </c>
      <c r="W425" s="15" t="s">
        <v>790</v>
      </c>
      <c r="X425" s="15" t="s">
        <v>120</v>
      </c>
      <c r="Y425" s="18"/>
      <c r="Z425" s="15" t="s">
        <v>120</v>
      </c>
      <c r="AA425" s="18"/>
      <c r="AB425" s="15" t="s">
        <v>120</v>
      </c>
      <c r="AC425" s="15" t="s">
        <v>120</v>
      </c>
      <c r="AD425" s="18"/>
      <c r="AE425" s="15" t="s">
        <v>120</v>
      </c>
      <c r="AF425" s="18"/>
      <c r="AG425" s="15" t="s">
        <v>120</v>
      </c>
      <c r="AH425" s="18"/>
      <c r="AI425" s="15" t="s">
        <v>120</v>
      </c>
      <c r="AJ425" s="18"/>
      <c r="AK425" s="18"/>
      <c r="AL425" s="15" t="s">
        <v>156</v>
      </c>
      <c r="AM425" s="15" t="s">
        <v>138</v>
      </c>
      <c r="AN425" s="15" t="s">
        <v>126</v>
      </c>
      <c r="AO425" s="15" t="s">
        <v>128</v>
      </c>
      <c r="AP425" s="15"/>
    </row>
    <row r="426" ht="22.5" customHeight="1">
      <c r="A426" s="15" t="s">
        <v>4506</v>
      </c>
      <c r="B426" s="15" t="s">
        <v>4507</v>
      </c>
      <c r="C426" s="15" t="s">
        <v>4508</v>
      </c>
      <c r="D426" s="41">
        <v>40597.0</v>
      </c>
      <c r="E426" s="15" t="s">
        <v>177</v>
      </c>
      <c r="F426" s="15">
        <v>5.559409752E9</v>
      </c>
      <c r="G426" s="15" t="s">
        <v>4509</v>
      </c>
      <c r="H426" s="15" t="s">
        <v>150</v>
      </c>
      <c r="I426" s="23" t="s">
        <v>135</v>
      </c>
      <c r="J426" s="15" t="s">
        <v>4510</v>
      </c>
      <c r="K426" s="15" t="s">
        <v>4509</v>
      </c>
      <c r="L426" s="15">
        <v>5.559409752E9</v>
      </c>
      <c r="M426" s="15" t="s">
        <v>4511</v>
      </c>
      <c r="N426" s="15" t="s">
        <v>4512</v>
      </c>
      <c r="O426" s="15">
        <v>5.528900445E9</v>
      </c>
      <c r="P426" s="20">
        <v>15.0</v>
      </c>
      <c r="Q426" s="22">
        <v>46024.73274305555</v>
      </c>
      <c r="R426" s="15" t="s">
        <v>107</v>
      </c>
      <c r="S426" s="15" t="s">
        <v>109</v>
      </c>
      <c r="T426" s="15" t="s">
        <v>127</v>
      </c>
      <c r="U426" s="15" t="s">
        <v>672</v>
      </c>
      <c r="V426" s="15" t="s">
        <v>673</v>
      </c>
      <c r="W426" s="15" t="s">
        <v>674</v>
      </c>
      <c r="X426" s="15" t="s">
        <v>120</v>
      </c>
      <c r="Y426" s="15" t="s">
        <v>4513</v>
      </c>
      <c r="Z426" s="15" t="s">
        <v>120</v>
      </c>
      <c r="AA426" s="18"/>
      <c r="AB426" s="15" t="s">
        <v>120</v>
      </c>
      <c r="AC426" s="15" t="s">
        <v>120</v>
      </c>
      <c r="AD426" s="18"/>
      <c r="AE426" s="15" t="s">
        <v>120</v>
      </c>
      <c r="AF426" s="18"/>
      <c r="AG426" s="15" t="s">
        <v>120</v>
      </c>
      <c r="AH426" s="18"/>
      <c r="AI426" s="15" t="s">
        <v>120</v>
      </c>
      <c r="AJ426" s="18"/>
      <c r="AK426" s="18"/>
      <c r="AL426" s="15" t="s">
        <v>156</v>
      </c>
      <c r="AM426" s="15" t="s">
        <v>185</v>
      </c>
      <c r="AN426" s="15" t="s">
        <v>124</v>
      </c>
      <c r="AO426" s="15" t="s">
        <v>129</v>
      </c>
      <c r="AP426" s="15"/>
    </row>
    <row r="427" ht="22.5" customHeight="1">
      <c r="A427" s="15" t="s">
        <v>2743</v>
      </c>
      <c r="B427" s="15" t="s">
        <v>2746</v>
      </c>
      <c r="C427" s="15" t="s">
        <v>2748</v>
      </c>
      <c r="D427" s="41">
        <v>40003.0</v>
      </c>
      <c r="E427" s="15" t="s">
        <v>98</v>
      </c>
      <c r="F427" s="15" t="s">
        <v>2754</v>
      </c>
      <c r="G427" s="15" t="s">
        <v>2755</v>
      </c>
      <c r="H427" s="15" t="s">
        <v>101</v>
      </c>
      <c r="I427" s="18"/>
      <c r="J427" s="15" t="s">
        <v>2756</v>
      </c>
      <c r="K427" s="15" t="s">
        <v>2757</v>
      </c>
      <c r="L427" s="15">
        <v>5.520777186E9</v>
      </c>
      <c r="M427" s="18"/>
      <c r="N427" s="18"/>
      <c r="O427" s="18"/>
      <c r="P427" s="20">
        <v>16.0</v>
      </c>
      <c r="Q427" s="22">
        <v>46022.605462962965</v>
      </c>
      <c r="R427" s="15" t="s">
        <v>107</v>
      </c>
      <c r="S427" s="15" t="s">
        <v>109</v>
      </c>
      <c r="T427" s="15" t="s">
        <v>192</v>
      </c>
      <c r="U427" s="15" t="s">
        <v>749</v>
      </c>
      <c r="V427" s="15" t="s">
        <v>750</v>
      </c>
      <c r="W427" s="15" t="s">
        <v>751</v>
      </c>
      <c r="X427" s="15" t="s">
        <v>120</v>
      </c>
      <c r="Y427" s="18"/>
      <c r="Z427" s="15" t="s">
        <v>120</v>
      </c>
      <c r="AA427" s="18"/>
      <c r="AB427" s="15" t="s">
        <v>120</v>
      </c>
      <c r="AC427" s="18"/>
      <c r="AD427" s="18"/>
      <c r="AE427" s="15" t="s">
        <v>120</v>
      </c>
      <c r="AF427" s="18"/>
      <c r="AG427" s="15" t="s">
        <v>117</v>
      </c>
      <c r="AH427" s="15" t="s">
        <v>2762</v>
      </c>
      <c r="AI427" s="15" t="s">
        <v>120</v>
      </c>
      <c r="AJ427" s="18"/>
      <c r="AK427" s="18"/>
      <c r="AL427" s="15" t="s">
        <v>156</v>
      </c>
      <c r="AM427" s="15" t="s">
        <v>185</v>
      </c>
      <c r="AN427" s="15" t="s">
        <v>138</v>
      </c>
      <c r="AO427" s="15" t="s">
        <v>126</v>
      </c>
      <c r="AP427" s="15"/>
    </row>
    <row r="428" ht="22.5" customHeight="1">
      <c r="A428" s="15" t="s">
        <v>4608</v>
      </c>
      <c r="B428" s="15" t="s">
        <v>4609</v>
      </c>
      <c r="C428" s="15" t="s">
        <v>4610</v>
      </c>
      <c r="D428" s="41">
        <v>40765.0</v>
      </c>
      <c r="E428" s="15" t="s">
        <v>177</v>
      </c>
      <c r="F428" s="15">
        <v>5.643092809E9</v>
      </c>
      <c r="G428" s="15" t="s">
        <v>4611</v>
      </c>
      <c r="H428" s="15" t="s">
        <v>101</v>
      </c>
      <c r="I428" s="18"/>
      <c r="J428" s="15" t="s">
        <v>4612</v>
      </c>
      <c r="K428" s="15" t="s">
        <v>4613</v>
      </c>
      <c r="L428" s="15">
        <v>5.532336556E9</v>
      </c>
      <c r="M428" s="18"/>
      <c r="N428" s="18"/>
      <c r="O428" s="18"/>
      <c r="P428" s="20">
        <v>14.0</v>
      </c>
      <c r="Q428" s="22">
        <v>46040.91380787037</v>
      </c>
      <c r="R428" s="15" t="s">
        <v>107</v>
      </c>
      <c r="S428" s="15" t="s">
        <v>109</v>
      </c>
      <c r="T428" s="15" t="s">
        <v>111</v>
      </c>
      <c r="U428" s="15" t="s">
        <v>1979</v>
      </c>
      <c r="V428" s="15" t="s">
        <v>1980</v>
      </c>
      <c r="W428" s="15" t="s">
        <v>1981</v>
      </c>
      <c r="X428" s="15" t="s">
        <v>120</v>
      </c>
      <c r="Y428" s="18"/>
      <c r="Z428" s="15" t="s">
        <v>120</v>
      </c>
      <c r="AA428" s="18"/>
      <c r="AB428" s="15" t="s">
        <v>120</v>
      </c>
      <c r="AC428" s="18"/>
      <c r="AD428" s="18"/>
      <c r="AE428" s="15" t="s">
        <v>120</v>
      </c>
      <c r="AF428" s="18"/>
      <c r="AG428" s="15" t="s">
        <v>120</v>
      </c>
      <c r="AH428" s="18"/>
      <c r="AI428" s="15" t="s">
        <v>120</v>
      </c>
      <c r="AJ428" s="18"/>
      <c r="AK428" s="18"/>
      <c r="AL428" s="15" t="s">
        <v>129</v>
      </c>
      <c r="AM428" s="15" t="s">
        <v>240</v>
      </c>
      <c r="AN428" s="15" t="s">
        <v>141</v>
      </c>
      <c r="AO428" s="15" t="s">
        <v>138</v>
      </c>
      <c r="AP428" s="15"/>
    </row>
    <row r="429" ht="22.5" customHeight="1">
      <c r="A429" s="15" t="s">
        <v>4514</v>
      </c>
      <c r="B429" s="15" t="s">
        <v>2643</v>
      </c>
      <c r="C429" s="15" t="s">
        <v>4515</v>
      </c>
      <c r="D429" s="41">
        <v>39715.0</v>
      </c>
      <c r="E429" s="15" t="s">
        <v>177</v>
      </c>
      <c r="F429" s="15">
        <v>5.545993258E9</v>
      </c>
      <c r="G429" s="15" t="s">
        <v>4516</v>
      </c>
      <c r="H429" s="15" t="s">
        <v>101</v>
      </c>
      <c r="I429" s="18"/>
      <c r="J429" s="15" t="s">
        <v>2652</v>
      </c>
      <c r="K429" s="15" t="s">
        <v>2653</v>
      </c>
      <c r="L429" s="15">
        <v>5.545993258E9</v>
      </c>
      <c r="M429" s="18"/>
      <c r="N429" s="18"/>
      <c r="O429" s="18"/>
      <c r="P429" s="20">
        <v>17.0</v>
      </c>
      <c r="Q429" s="22">
        <v>46040.63799768518</v>
      </c>
      <c r="R429" s="15" t="s">
        <v>107</v>
      </c>
      <c r="S429" s="15" t="s">
        <v>109</v>
      </c>
      <c r="T429" s="15" t="s">
        <v>192</v>
      </c>
      <c r="U429" s="15" t="s">
        <v>485</v>
      </c>
      <c r="V429" s="15" t="s">
        <v>486</v>
      </c>
      <c r="W429" s="15" t="s">
        <v>487</v>
      </c>
      <c r="X429" s="15" t="s">
        <v>120</v>
      </c>
      <c r="Y429" s="18"/>
      <c r="Z429" s="15" t="s">
        <v>120</v>
      </c>
      <c r="AA429" s="18"/>
      <c r="AB429" s="15" t="s">
        <v>120</v>
      </c>
      <c r="AC429" s="18"/>
      <c r="AD429" s="18"/>
      <c r="AE429" s="15" t="s">
        <v>120</v>
      </c>
      <c r="AF429" s="18"/>
      <c r="AG429" s="15" t="s">
        <v>120</v>
      </c>
      <c r="AH429" s="18"/>
      <c r="AI429" s="15" t="s">
        <v>120</v>
      </c>
      <c r="AJ429" s="18"/>
      <c r="AK429" s="18"/>
      <c r="AL429" s="15" t="s">
        <v>242</v>
      </c>
      <c r="AM429" s="15" t="s">
        <v>138</v>
      </c>
      <c r="AN429" s="15" t="s">
        <v>129</v>
      </c>
      <c r="AO429" s="15" t="s">
        <v>216</v>
      </c>
      <c r="AP429" s="15"/>
    </row>
    <row r="430" ht="22.5" customHeight="1">
      <c r="A430" s="15" t="s">
        <v>4517</v>
      </c>
      <c r="B430" s="15" t="s">
        <v>4518</v>
      </c>
      <c r="C430" s="18"/>
      <c r="D430" s="41">
        <v>39658.0</v>
      </c>
      <c r="E430" s="15" t="s">
        <v>98</v>
      </c>
      <c r="F430" s="15">
        <v>5.581603029E9</v>
      </c>
      <c r="G430" s="15" t="s">
        <v>4519</v>
      </c>
      <c r="H430" s="15" t="s">
        <v>140</v>
      </c>
      <c r="I430" s="18"/>
      <c r="J430" s="15" t="s">
        <v>4520</v>
      </c>
      <c r="K430" s="15" t="s">
        <v>4521</v>
      </c>
      <c r="L430" s="15">
        <v>5.564152314E9</v>
      </c>
      <c r="M430" s="15" t="s">
        <v>4522</v>
      </c>
      <c r="N430" s="15" t="s">
        <v>4523</v>
      </c>
      <c r="O430" s="15">
        <v>5.612974702E9</v>
      </c>
      <c r="P430" s="20">
        <v>17.0</v>
      </c>
      <c r="Q430" s="22">
        <v>46035.733449074076</v>
      </c>
      <c r="R430" s="15" t="s">
        <v>107</v>
      </c>
      <c r="S430" s="15" t="s">
        <v>109</v>
      </c>
      <c r="T430" s="15" t="s">
        <v>208</v>
      </c>
      <c r="U430" s="15" t="s">
        <v>209</v>
      </c>
      <c r="V430" s="15" t="s">
        <v>210</v>
      </c>
      <c r="W430" s="15" t="s">
        <v>211</v>
      </c>
      <c r="X430" s="15" t="s">
        <v>120</v>
      </c>
      <c r="Y430" s="18"/>
      <c r="Z430" s="15" t="s">
        <v>117</v>
      </c>
      <c r="AA430" s="58" t="s">
        <v>4524</v>
      </c>
      <c r="AB430" s="15" t="s">
        <v>120</v>
      </c>
      <c r="AC430" s="18"/>
      <c r="AD430" s="18"/>
      <c r="AE430" s="15" t="s">
        <v>120</v>
      </c>
      <c r="AF430" s="18"/>
      <c r="AG430" s="15" t="s">
        <v>120</v>
      </c>
      <c r="AH430" s="18"/>
      <c r="AI430" s="15" t="s">
        <v>120</v>
      </c>
      <c r="AJ430" s="18"/>
      <c r="AK430" s="18"/>
      <c r="AL430" s="15" t="s">
        <v>141</v>
      </c>
      <c r="AM430" s="15" t="s">
        <v>185</v>
      </c>
      <c r="AN430" s="15" t="s">
        <v>124</v>
      </c>
      <c r="AO430" s="15" t="s">
        <v>126</v>
      </c>
      <c r="AP430" s="15"/>
    </row>
    <row r="431" ht="22.5" customHeight="1">
      <c r="A431" s="15" t="s">
        <v>4525</v>
      </c>
      <c r="B431" s="15" t="s">
        <v>4526</v>
      </c>
      <c r="C431" s="15" t="s">
        <v>4527</v>
      </c>
      <c r="D431" s="41">
        <v>40859.0</v>
      </c>
      <c r="E431" s="15" t="s">
        <v>98</v>
      </c>
      <c r="F431" s="15">
        <v>5.571769419E9</v>
      </c>
      <c r="G431" s="15" t="s">
        <v>4528</v>
      </c>
      <c r="H431" s="15" t="s">
        <v>140</v>
      </c>
      <c r="I431" s="18"/>
      <c r="J431" s="15" t="s">
        <v>3932</v>
      </c>
      <c r="K431" s="15" t="s">
        <v>3933</v>
      </c>
      <c r="L431" s="15">
        <v>5.515373729E9</v>
      </c>
      <c r="M431" s="18"/>
      <c r="N431" s="18"/>
      <c r="O431" s="18"/>
      <c r="P431" s="20">
        <v>14.0</v>
      </c>
      <c r="Q431" s="22">
        <v>46026.498703703706</v>
      </c>
      <c r="R431" s="15" t="s">
        <v>107</v>
      </c>
      <c r="S431" s="15" t="s">
        <v>109</v>
      </c>
      <c r="T431" s="15" t="s">
        <v>160</v>
      </c>
      <c r="U431" s="15" t="s">
        <v>308</v>
      </c>
      <c r="V431" s="15" t="s">
        <v>309</v>
      </c>
      <c r="W431" s="15" t="s">
        <v>310</v>
      </c>
      <c r="X431" s="15" t="s">
        <v>120</v>
      </c>
      <c r="Y431" s="18"/>
      <c r="Z431" s="15" t="s">
        <v>120</v>
      </c>
      <c r="AA431" s="18"/>
      <c r="AB431" s="15" t="s">
        <v>120</v>
      </c>
      <c r="AC431" s="18"/>
      <c r="AD431" s="18"/>
      <c r="AE431" s="15" t="s">
        <v>120</v>
      </c>
      <c r="AF431" s="18"/>
      <c r="AG431" s="15" t="s">
        <v>120</v>
      </c>
      <c r="AH431" s="18"/>
      <c r="AI431" s="15" t="s">
        <v>120</v>
      </c>
      <c r="AJ431" s="18"/>
      <c r="AK431" s="18"/>
      <c r="AL431" s="15" t="s">
        <v>156</v>
      </c>
      <c r="AM431" s="15" t="s">
        <v>138</v>
      </c>
      <c r="AN431" s="15" t="s">
        <v>242</v>
      </c>
      <c r="AO431" s="15" t="s">
        <v>141</v>
      </c>
      <c r="AP431" s="15"/>
    </row>
    <row r="432" ht="22.5" customHeight="1">
      <c r="A432" s="15" t="s">
        <v>2107</v>
      </c>
      <c r="B432" s="15" t="s">
        <v>2109</v>
      </c>
      <c r="C432" s="15" t="s">
        <v>2110</v>
      </c>
      <c r="D432" s="41">
        <v>39501.0</v>
      </c>
      <c r="E432" s="15" t="s">
        <v>177</v>
      </c>
      <c r="F432" s="15">
        <v>5.647514006E9</v>
      </c>
      <c r="G432" s="15" t="s">
        <v>2111</v>
      </c>
      <c r="H432" s="15" t="s">
        <v>101</v>
      </c>
      <c r="I432" s="18"/>
      <c r="J432" s="15" t="s">
        <v>2113</v>
      </c>
      <c r="K432" s="15" t="s">
        <v>2114</v>
      </c>
      <c r="L432" s="15">
        <v>5.531576762E9</v>
      </c>
      <c r="M432" s="18"/>
      <c r="N432" s="18"/>
      <c r="O432" s="18"/>
      <c r="P432" s="20">
        <v>18.0</v>
      </c>
      <c r="Q432" s="22">
        <v>46033.43136574074</v>
      </c>
      <c r="R432" s="15" t="s">
        <v>107</v>
      </c>
      <c r="S432" s="15" t="s">
        <v>109</v>
      </c>
      <c r="T432" s="15" t="s">
        <v>127</v>
      </c>
      <c r="U432" s="15" t="s">
        <v>130</v>
      </c>
      <c r="V432" s="15" t="s">
        <v>131</v>
      </c>
      <c r="W432" s="15" t="s">
        <v>132</v>
      </c>
      <c r="X432" s="15" t="s">
        <v>120</v>
      </c>
      <c r="Y432" s="18"/>
      <c r="Z432" s="15" t="s">
        <v>120</v>
      </c>
      <c r="AA432" s="18"/>
      <c r="AB432" s="15" t="s">
        <v>120</v>
      </c>
      <c r="AC432" s="15" t="s">
        <v>120</v>
      </c>
      <c r="AD432" s="18"/>
      <c r="AE432" s="15" t="s">
        <v>120</v>
      </c>
      <c r="AF432" s="18"/>
      <c r="AG432" s="15" t="s">
        <v>120</v>
      </c>
      <c r="AH432" s="18"/>
      <c r="AI432" s="15" t="s">
        <v>117</v>
      </c>
      <c r="AJ432" s="15" t="s">
        <v>1282</v>
      </c>
      <c r="AK432" s="18"/>
      <c r="AL432" s="15" t="s">
        <v>141</v>
      </c>
      <c r="AM432" s="15" t="s">
        <v>242</v>
      </c>
      <c r="AN432" s="15" t="s">
        <v>128</v>
      </c>
      <c r="AO432" s="15" t="s">
        <v>185</v>
      </c>
      <c r="AP432" s="15"/>
    </row>
    <row r="433" ht="22.5" customHeight="1">
      <c r="A433" s="15" t="s">
        <v>4529</v>
      </c>
      <c r="B433" s="15" t="s">
        <v>4530</v>
      </c>
      <c r="C433" s="18"/>
      <c r="D433" s="41">
        <v>40865.0</v>
      </c>
      <c r="E433" s="15" t="s">
        <v>177</v>
      </c>
      <c r="F433" s="15">
        <v>5.53916441E9</v>
      </c>
      <c r="G433" s="15" t="s">
        <v>4531</v>
      </c>
      <c r="H433" s="15" t="s">
        <v>150</v>
      </c>
      <c r="I433" s="18"/>
      <c r="J433" s="15" t="s">
        <v>4532</v>
      </c>
      <c r="K433" s="15" t="s">
        <v>4533</v>
      </c>
      <c r="L433" s="15">
        <v>5.576888923E9</v>
      </c>
      <c r="M433" s="18"/>
      <c r="N433" s="18"/>
      <c r="O433" s="18"/>
      <c r="P433" s="20">
        <v>14.0</v>
      </c>
      <c r="Q433" s="22">
        <v>46039.43934027778</v>
      </c>
      <c r="R433" s="15" t="s">
        <v>107</v>
      </c>
      <c r="S433" s="15" t="s">
        <v>109</v>
      </c>
      <c r="T433" s="15" t="s">
        <v>160</v>
      </c>
      <c r="U433" s="15" t="s">
        <v>308</v>
      </c>
      <c r="V433" s="15" t="s">
        <v>309</v>
      </c>
      <c r="W433" s="15" t="s">
        <v>310</v>
      </c>
      <c r="X433" s="15" t="s">
        <v>120</v>
      </c>
      <c r="Y433" s="18"/>
      <c r="Z433" s="15" t="s">
        <v>120</v>
      </c>
      <c r="AA433" s="18"/>
      <c r="AB433" s="15" t="s">
        <v>120</v>
      </c>
      <c r="AC433" s="15" t="s">
        <v>120</v>
      </c>
      <c r="AD433" s="18"/>
      <c r="AE433" s="15" t="s">
        <v>120</v>
      </c>
      <c r="AF433" s="18"/>
      <c r="AG433" s="15" t="s">
        <v>120</v>
      </c>
      <c r="AH433" s="18"/>
      <c r="AI433" s="15" t="s">
        <v>120</v>
      </c>
      <c r="AJ433" s="18"/>
      <c r="AK433" s="18"/>
      <c r="AL433" s="15" t="s">
        <v>138</v>
      </c>
      <c r="AM433" s="15" t="s">
        <v>185</v>
      </c>
      <c r="AN433" s="15" t="s">
        <v>124</v>
      </c>
      <c r="AO433" s="15" t="s">
        <v>128</v>
      </c>
      <c r="AP433" s="15"/>
    </row>
    <row r="434" ht="22.5" customHeight="1">
      <c r="A434" s="15" t="s">
        <v>2130</v>
      </c>
      <c r="B434" s="15" t="s">
        <v>2132</v>
      </c>
      <c r="C434" s="15" t="s">
        <v>2135</v>
      </c>
      <c r="D434" s="41">
        <v>41174.0</v>
      </c>
      <c r="E434" s="15" t="s">
        <v>177</v>
      </c>
      <c r="F434" s="15">
        <v>5.543910301E9</v>
      </c>
      <c r="G434" s="15" t="s">
        <v>2138</v>
      </c>
      <c r="H434" s="15" t="s">
        <v>101</v>
      </c>
      <c r="I434" s="23" t="s">
        <v>2140</v>
      </c>
      <c r="J434" s="15" t="s">
        <v>2142</v>
      </c>
      <c r="K434" s="15" t="s">
        <v>2143</v>
      </c>
      <c r="L434" s="15">
        <v>5.616811205E9</v>
      </c>
      <c r="M434" s="15" t="s">
        <v>2144</v>
      </c>
      <c r="N434" s="15" t="s">
        <v>2146</v>
      </c>
      <c r="O434" s="15">
        <v>5.543910301E9</v>
      </c>
      <c r="P434" s="20">
        <v>13.0</v>
      </c>
      <c r="Q434" s="22">
        <v>46034.67327546296</v>
      </c>
      <c r="R434" s="15" t="s">
        <v>107</v>
      </c>
      <c r="S434" s="15" t="s">
        <v>109</v>
      </c>
      <c r="T434" s="15" t="s">
        <v>204</v>
      </c>
      <c r="U434" s="15" t="s">
        <v>357</v>
      </c>
      <c r="V434" s="15" t="s">
        <v>359</v>
      </c>
      <c r="W434" s="15" t="s">
        <v>362</v>
      </c>
      <c r="X434" s="15" t="s">
        <v>120</v>
      </c>
      <c r="Y434" s="15" t="s">
        <v>1325</v>
      </c>
      <c r="Z434" s="15" t="s">
        <v>117</v>
      </c>
      <c r="AA434" s="52" t="s">
        <v>2153</v>
      </c>
      <c r="AB434" s="15" t="s">
        <v>120</v>
      </c>
      <c r="AC434" s="15" t="s">
        <v>120</v>
      </c>
      <c r="AD434" s="15" t="s">
        <v>1325</v>
      </c>
      <c r="AE434" s="15" t="s">
        <v>120</v>
      </c>
      <c r="AF434" s="15" t="s">
        <v>1325</v>
      </c>
      <c r="AG434" s="15" t="s">
        <v>120</v>
      </c>
      <c r="AH434" s="15" t="s">
        <v>1325</v>
      </c>
      <c r="AI434" s="15" t="s">
        <v>117</v>
      </c>
      <c r="AJ434" s="15" t="s">
        <v>1282</v>
      </c>
      <c r="AK434" s="15" t="s">
        <v>1325</v>
      </c>
      <c r="AL434" s="15" t="s">
        <v>129</v>
      </c>
      <c r="AM434" s="15" t="s">
        <v>126</v>
      </c>
      <c r="AN434" s="15" t="s">
        <v>156</v>
      </c>
      <c r="AO434" s="15" t="s">
        <v>124</v>
      </c>
      <c r="AP434" s="15"/>
    </row>
    <row r="435" ht="22.5" customHeight="1">
      <c r="A435" s="15" t="s">
        <v>4534</v>
      </c>
      <c r="B435" s="15" t="s">
        <v>4535</v>
      </c>
      <c r="C435" s="15" t="s">
        <v>4536</v>
      </c>
      <c r="D435" s="41">
        <v>39821.0</v>
      </c>
      <c r="E435" s="15" t="s">
        <v>177</v>
      </c>
      <c r="F435" s="15">
        <v>5.624788862E9</v>
      </c>
      <c r="G435" s="15" t="s">
        <v>4537</v>
      </c>
      <c r="H435" s="15" t="s">
        <v>140</v>
      </c>
      <c r="I435" s="18"/>
      <c r="J435" s="15" t="s">
        <v>4538</v>
      </c>
      <c r="K435" s="15" t="s">
        <v>4539</v>
      </c>
      <c r="L435" s="15">
        <v>5.576694444E9</v>
      </c>
      <c r="M435" s="15" t="s">
        <v>4540</v>
      </c>
      <c r="N435" s="15" t="s">
        <v>4541</v>
      </c>
      <c r="O435" s="15">
        <v>5.611241581E9</v>
      </c>
      <c r="P435" s="20">
        <v>17.0</v>
      </c>
      <c r="Q435" s="22">
        <v>46027.524513888886</v>
      </c>
      <c r="R435" s="15" t="s">
        <v>107</v>
      </c>
      <c r="S435" s="15" t="s">
        <v>109</v>
      </c>
      <c r="T435" s="15" t="s">
        <v>192</v>
      </c>
      <c r="U435" s="15" t="s">
        <v>505</v>
      </c>
      <c r="V435" s="15" t="s">
        <v>506</v>
      </c>
      <c r="W435" s="15" t="s">
        <v>507</v>
      </c>
      <c r="X435" s="15" t="s">
        <v>120</v>
      </c>
      <c r="Y435" s="18"/>
      <c r="Z435" s="15" t="s">
        <v>120</v>
      </c>
      <c r="AA435" s="18"/>
      <c r="AB435" s="15" t="s">
        <v>120</v>
      </c>
      <c r="AC435" s="18"/>
      <c r="AD435" s="18"/>
      <c r="AE435" s="15" t="s">
        <v>120</v>
      </c>
      <c r="AF435" s="18"/>
      <c r="AG435" s="15" t="s">
        <v>120</v>
      </c>
      <c r="AH435" s="18"/>
      <c r="AI435" s="15" t="s">
        <v>120</v>
      </c>
      <c r="AJ435" s="18"/>
      <c r="AK435" s="15" t="s">
        <v>4542</v>
      </c>
      <c r="AL435" s="15" t="s">
        <v>242</v>
      </c>
      <c r="AM435" s="15" t="s">
        <v>124</v>
      </c>
      <c r="AN435" s="15" t="s">
        <v>126</v>
      </c>
      <c r="AO435" s="15" t="s">
        <v>216</v>
      </c>
      <c r="AP435" s="15"/>
    </row>
    <row r="436" ht="22.5" customHeight="1">
      <c r="A436" s="15" t="s">
        <v>4543</v>
      </c>
      <c r="B436" s="15" t="s">
        <v>2876</v>
      </c>
      <c r="C436" s="15" t="s">
        <v>4544</v>
      </c>
      <c r="D436" s="41">
        <v>41056.0</v>
      </c>
      <c r="E436" s="15" t="s">
        <v>177</v>
      </c>
      <c r="F436" s="15">
        <v>5.517260354E9</v>
      </c>
      <c r="G436" s="15" t="s">
        <v>4545</v>
      </c>
      <c r="H436" s="15" t="s">
        <v>140</v>
      </c>
      <c r="I436" s="23" t="s">
        <v>2878</v>
      </c>
      <c r="J436" s="15" t="s">
        <v>4546</v>
      </c>
      <c r="K436" s="15" t="s">
        <v>312</v>
      </c>
      <c r="L436" s="15">
        <v>5.517260354E9</v>
      </c>
      <c r="M436" s="18"/>
      <c r="N436" s="18"/>
      <c r="O436" s="18"/>
      <c r="P436" s="20">
        <v>13.0</v>
      </c>
      <c r="Q436" s="22">
        <v>46036.76274305556</v>
      </c>
      <c r="R436" s="15" t="s">
        <v>107</v>
      </c>
      <c r="S436" s="15" t="s">
        <v>109</v>
      </c>
      <c r="T436" s="15" t="s">
        <v>204</v>
      </c>
      <c r="U436" s="15" t="s">
        <v>311</v>
      </c>
      <c r="V436" s="15" t="s">
        <v>312</v>
      </c>
      <c r="W436" s="15" t="s">
        <v>313</v>
      </c>
      <c r="X436" s="15" t="s">
        <v>120</v>
      </c>
      <c r="Y436" s="18"/>
      <c r="Z436" s="15" t="s">
        <v>120</v>
      </c>
      <c r="AA436" s="18"/>
      <c r="AB436" s="15" t="s">
        <v>120</v>
      </c>
      <c r="AC436" s="15" t="s">
        <v>120</v>
      </c>
      <c r="AD436" s="18"/>
      <c r="AE436" s="15" t="s">
        <v>120</v>
      </c>
      <c r="AF436" s="18"/>
      <c r="AG436" s="15" t="s">
        <v>120</v>
      </c>
      <c r="AH436" s="18"/>
      <c r="AI436" s="15" t="s">
        <v>120</v>
      </c>
      <c r="AJ436" s="18"/>
      <c r="AK436" s="18"/>
      <c r="AL436" s="15" t="s">
        <v>141</v>
      </c>
      <c r="AM436" s="15" t="s">
        <v>129</v>
      </c>
      <c r="AN436" s="15" t="s">
        <v>240</v>
      </c>
      <c r="AO436" s="15" t="s">
        <v>138</v>
      </c>
      <c r="AP436" s="15"/>
    </row>
    <row r="437" ht="22.5" customHeight="1">
      <c r="A437" s="15" t="s">
        <v>4547</v>
      </c>
      <c r="B437" s="15" t="s">
        <v>1489</v>
      </c>
      <c r="C437" s="15" t="s">
        <v>4548</v>
      </c>
      <c r="D437" s="41">
        <v>39759.0</v>
      </c>
      <c r="E437" s="15" t="s">
        <v>98</v>
      </c>
      <c r="F437" s="15">
        <v>5.531199341E9</v>
      </c>
      <c r="G437" s="15" t="s">
        <v>4549</v>
      </c>
      <c r="H437" s="15" t="s">
        <v>140</v>
      </c>
      <c r="I437" s="18"/>
      <c r="J437" s="15" t="s">
        <v>4550</v>
      </c>
      <c r="K437" s="15" t="s">
        <v>4551</v>
      </c>
      <c r="L437" s="15">
        <v>5.633678799E9</v>
      </c>
      <c r="M437" s="15" t="s">
        <v>4552</v>
      </c>
      <c r="N437" s="15" t="s">
        <v>4553</v>
      </c>
      <c r="O437" s="15">
        <v>5.614596054E9</v>
      </c>
      <c r="P437" s="20">
        <v>17.0</v>
      </c>
      <c r="Q437" s="22">
        <v>46029.85907407408</v>
      </c>
      <c r="R437" s="15" t="s">
        <v>107</v>
      </c>
      <c r="S437" s="15" t="s">
        <v>109</v>
      </c>
      <c r="T437" s="15" t="s">
        <v>111</v>
      </c>
      <c r="U437" s="15" t="s">
        <v>112</v>
      </c>
      <c r="V437" s="15" t="s">
        <v>114</v>
      </c>
      <c r="W437" s="15" t="s">
        <v>115</v>
      </c>
      <c r="X437" s="15" t="s">
        <v>120</v>
      </c>
      <c r="Y437" s="18"/>
      <c r="Z437" s="15" t="s">
        <v>120</v>
      </c>
      <c r="AA437" s="18"/>
      <c r="AB437" s="15" t="s">
        <v>120</v>
      </c>
      <c r="AC437" s="18"/>
      <c r="AD437" s="18"/>
      <c r="AE437" s="15" t="s">
        <v>120</v>
      </c>
      <c r="AF437" s="18"/>
      <c r="AG437" s="15" t="s">
        <v>120</v>
      </c>
      <c r="AH437" s="18"/>
      <c r="AI437" s="15" t="s">
        <v>120</v>
      </c>
      <c r="AJ437" s="18"/>
      <c r="AK437" s="18"/>
      <c r="AL437" s="15" t="s">
        <v>129</v>
      </c>
      <c r="AM437" s="15" t="s">
        <v>126</v>
      </c>
      <c r="AN437" s="15" t="s">
        <v>185</v>
      </c>
      <c r="AO437" s="15" t="s">
        <v>216</v>
      </c>
      <c r="AP437" s="15"/>
    </row>
    <row r="438" ht="22.5" customHeight="1">
      <c r="A438" s="15" t="s">
        <v>4554</v>
      </c>
      <c r="B438" s="15" t="s">
        <v>4555</v>
      </c>
      <c r="C438" s="15" t="s">
        <v>4556</v>
      </c>
      <c r="D438" s="41">
        <v>39686.0</v>
      </c>
      <c r="E438" s="15" t="s">
        <v>177</v>
      </c>
      <c r="F438" s="15">
        <v>5.61608017E9</v>
      </c>
      <c r="G438" s="15" t="s">
        <v>4557</v>
      </c>
      <c r="H438" s="15" t="s">
        <v>101</v>
      </c>
      <c r="I438" s="18"/>
      <c r="J438" s="15" t="s">
        <v>4558</v>
      </c>
      <c r="K438" s="15" t="s">
        <v>4559</v>
      </c>
      <c r="L438" s="15">
        <v>5.515893665E9</v>
      </c>
      <c r="M438" s="15" t="s">
        <v>4560</v>
      </c>
      <c r="N438" s="15" t="s">
        <v>4561</v>
      </c>
      <c r="O438" s="15">
        <v>5.548188814E9</v>
      </c>
      <c r="P438" s="20">
        <v>17.0</v>
      </c>
      <c r="Q438" s="22">
        <v>46025.64208333333</v>
      </c>
      <c r="R438" s="15" t="s">
        <v>107</v>
      </c>
      <c r="S438" s="15" t="s">
        <v>109</v>
      </c>
      <c r="T438" s="15" t="s">
        <v>160</v>
      </c>
      <c r="U438" s="15" t="s">
        <v>279</v>
      </c>
      <c r="V438" s="15" t="s">
        <v>280</v>
      </c>
      <c r="W438" s="15" t="s">
        <v>282</v>
      </c>
      <c r="X438" s="15" t="s">
        <v>120</v>
      </c>
      <c r="Y438" s="18"/>
      <c r="Z438" s="15" t="s">
        <v>120</v>
      </c>
      <c r="AA438" s="18"/>
      <c r="AB438" s="15" t="s">
        <v>120</v>
      </c>
      <c r="AC438" s="18"/>
      <c r="AD438" s="18"/>
      <c r="AE438" s="15" t="s">
        <v>120</v>
      </c>
      <c r="AF438" s="18"/>
      <c r="AG438" s="15" t="s">
        <v>120</v>
      </c>
      <c r="AH438" s="18"/>
      <c r="AI438" s="15" t="s">
        <v>120</v>
      </c>
      <c r="AJ438" s="18"/>
      <c r="AK438" s="18"/>
      <c r="AL438" s="15" t="s">
        <v>185</v>
      </c>
      <c r="AM438" s="15" t="s">
        <v>138</v>
      </c>
      <c r="AN438" s="15" t="s">
        <v>124</v>
      </c>
      <c r="AO438" s="15" t="s">
        <v>216</v>
      </c>
      <c r="AP438" s="15"/>
    </row>
    <row r="439" ht="22.5" customHeight="1">
      <c r="A439" s="15" t="s">
        <v>4562</v>
      </c>
      <c r="B439" s="15" t="s">
        <v>2621</v>
      </c>
      <c r="C439" s="15" t="s">
        <v>4563</v>
      </c>
      <c r="D439" s="41">
        <v>41017.0</v>
      </c>
      <c r="E439" s="15" t="s">
        <v>177</v>
      </c>
      <c r="F439" s="15">
        <v>5.571776934E9</v>
      </c>
      <c r="G439" s="15" t="s">
        <v>4564</v>
      </c>
      <c r="H439" s="15" t="s">
        <v>101</v>
      </c>
      <c r="I439" s="18"/>
      <c r="J439" s="15" t="s">
        <v>2631</v>
      </c>
      <c r="K439" s="15" t="s">
        <v>2632</v>
      </c>
      <c r="L439" s="15">
        <v>5.53569494E9</v>
      </c>
      <c r="M439" s="18"/>
      <c r="N439" s="18"/>
      <c r="O439" s="18"/>
      <c r="P439" s="20">
        <v>13.0</v>
      </c>
      <c r="Q439" s="22">
        <v>46022.65587962963</v>
      </c>
      <c r="R439" s="15" t="s">
        <v>107</v>
      </c>
      <c r="S439" s="15" t="s">
        <v>109</v>
      </c>
      <c r="T439" s="15" t="s">
        <v>111</v>
      </c>
      <c r="U439" s="15" t="s">
        <v>112</v>
      </c>
      <c r="V439" s="15" t="s">
        <v>114</v>
      </c>
      <c r="W439" s="15" t="s">
        <v>115</v>
      </c>
      <c r="X439" s="15" t="s">
        <v>120</v>
      </c>
      <c r="Y439" s="18"/>
      <c r="Z439" s="15" t="s">
        <v>120</v>
      </c>
      <c r="AA439" s="18"/>
      <c r="AB439" s="15" t="s">
        <v>120</v>
      </c>
      <c r="AC439" s="15" t="s">
        <v>120</v>
      </c>
      <c r="AD439" s="18"/>
      <c r="AE439" s="15" t="s">
        <v>120</v>
      </c>
      <c r="AF439" s="18"/>
      <c r="AG439" s="15" t="s">
        <v>120</v>
      </c>
      <c r="AH439" s="18"/>
      <c r="AI439" s="15" t="s">
        <v>120</v>
      </c>
      <c r="AJ439" s="18"/>
      <c r="AK439" s="18"/>
      <c r="AL439" s="15" t="s">
        <v>138</v>
      </c>
      <c r="AM439" s="15" t="s">
        <v>242</v>
      </c>
      <c r="AN439" s="15" t="s">
        <v>129</v>
      </c>
      <c r="AO439" s="15" t="s">
        <v>185</v>
      </c>
      <c r="AP439" s="15"/>
    </row>
    <row r="440" ht="22.5" customHeight="1">
      <c r="A440" s="15" t="s">
        <v>4565</v>
      </c>
      <c r="B440" s="15" t="s">
        <v>4566</v>
      </c>
      <c r="C440" s="15" t="s">
        <v>4567</v>
      </c>
      <c r="D440" s="41">
        <v>40656.0</v>
      </c>
      <c r="E440" s="15" t="s">
        <v>98</v>
      </c>
      <c r="F440" s="15">
        <v>5.529282814E9</v>
      </c>
      <c r="G440" s="15" t="s">
        <v>4568</v>
      </c>
      <c r="H440" s="15" t="s">
        <v>150</v>
      </c>
      <c r="I440" s="18"/>
      <c r="J440" s="15" t="s">
        <v>4569</v>
      </c>
      <c r="K440" s="15" t="s">
        <v>4568</v>
      </c>
      <c r="L440" s="15">
        <v>5.529282814E9</v>
      </c>
      <c r="M440" s="18"/>
      <c r="N440" s="18"/>
      <c r="O440" s="18"/>
      <c r="P440" s="20">
        <v>14.0</v>
      </c>
      <c r="Q440" s="22">
        <v>46033.63523148148</v>
      </c>
      <c r="R440" s="15" t="s">
        <v>107</v>
      </c>
      <c r="S440" s="15" t="s">
        <v>109</v>
      </c>
      <c r="T440" s="15" t="s">
        <v>160</v>
      </c>
      <c r="U440" s="15" t="s">
        <v>1739</v>
      </c>
      <c r="V440" s="15" t="s">
        <v>1740</v>
      </c>
      <c r="W440" s="15" t="s">
        <v>1741</v>
      </c>
      <c r="X440" s="15" t="s">
        <v>120</v>
      </c>
      <c r="Y440" s="18"/>
      <c r="Z440" s="15" t="s">
        <v>120</v>
      </c>
      <c r="AA440" s="18"/>
      <c r="AB440" s="15" t="s">
        <v>120</v>
      </c>
      <c r="AC440" s="15" t="s">
        <v>117</v>
      </c>
      <c r="AD440" s="18"/>
      <c r="AE440" s="15" t="s">
        <v>120</v>
      </c>
      <c r="AF440" s="18"/>
      <c r="AG440" s="15" t="s">
        <v>120</v>
      </c>
      <c r="AH440" s="18"/>
      <c r="AI440" s="15" t="s">
        <v>120</v>
      </c>
      <c r="AJ440" s="18"/>
      <c r="AK440" s="18"/>
      <c r="AL440" s="15" t="s">
        <v>138</v>
      </c>
      <c r="AM440" s="15" t="s">
        <v>185</v>
      </c>
      <c r="AN440" s="15" t="s">
        <v>141</v>
      </c>
      <c r="AO440" s="15" t="s">
        <v>240</v>
      </c>
      <c r="AP440" s="15"/>
    </row>
    <row r="441" ht="22.5" customHeight="1">
      <c r="A441" s="15" t="s">
        <v>4586</v>
      </c>
      <c r="B441" s="15" t="s">
        <v>4587</v>
      </c>
      <c r="C441" s="18"/>
      <c r="D441" s="41">
        <v>40947.0</v>
      </c>
      <c r="E441" s="15" t="s">
        <v>98</v>
      </c>
      <c r="F441" s="15">
        <v>5.569673436E9</v>
      </c>
      <c r="G441" s="15" t="s">
        <v>4588</v>
      </c>
      <c r="H441" s="15" t="s">
        <v>150</v>
      </c>
      <c r="I441" s="18"/>
      <c r="J441" s="15" t="s">
        <v>4589</v>
      </c>
      <c r="K441" s="15" t="s">
        <v>4590</v>
      </c>
      <c r="L441" s="15">
        <v>5.648418954E9</v>
      </c>
      <c r="M441" s="18"/>
      <c r="N441" s="18"/>
      <c r="O441" s="18"/>
      <c r="P441" s="20">
        <v>14.0</v>
      </c>
      <c r="Q441" s="22">
        <v>46040.93951388889</v>
      </c>
      <c r="R441" s="15" t="s">
        <v>107</v>
      </c>
      <c r="S441" s="15" t="s">
        <v>109</v>
      </c>
      <c r="T441" s="15" t="s">
        <v>208</v>
      </c>
      <c r="U441" s="15" t="s">
        <v>1599</v>
      </c>
      <c r="V441" s="15" t="s">
        <v>1600</v>
      </c>
      <c r="W441" s="15" t="s">
        <v>1602</v>
      </c>
      <c r="X441" s="15" t="s">
        <v>120</v>
      </c>
      <c r="Y441" s="18"/>
      <c r="Z441" s="15" t="s">
        <v>120</v>
      </c>
      <c r="AA441" s="18"/>
      <c r="AB441" s="15" t="s">
        <v>120</v>
      </c>
      <c r="AC441" s="15" t="s">
        <v>120</v>
      </c>
      <c r="AD441" s="18"/>
      <c r="AE441" s="15" t="s">
        <v>120</v>
      </c>
      <c r="AF441" s="18"/>
      <c r="AG441" s="15" t="s">
        <v>120</v>
      </c>
      <c r="AH441" s="18"/>
      <c r="AI441" s="15" t="s">
        <v>120</v>
      </c>
      <c r="AJ441" s="18"/>
      <c r="AK441" s="18"/>
      <c r="AL441" s="15" t="s">
        <v>156</v>
      </c>
      <c r="AM441" s="15" t="s">
        <v>240</v>
      </c>
      <c r="AN441" s="15" t="s">
        <v>242</v>
      </c>
      <c r="AO441" s="15" t="s">
        <v>216</v>
      </c>
      <c r="AP441" s="15"/>
    </row>
    <row r="442" ht="22.5" customHeight="1">
      <c r="A442" s="15" t="s">
        <v>4591</v>
      </c>
      <c r="B442" s="15" t="s">
        <v>4592</v>
      </c>
      <c r="C442" s="15" t="s">
        <v>4593</v>
      </c>
      <c r="D442" s="41">
        <v>40929.0</v>
      </c>
      <c r="E442" s="15" t="s">
        <v>177</v>
      </c>
      <c r="F442" s="15">
        <v>5.56160539E9</v>
      </c>
      <c r="G442" s="15" t="s">
        <v>4594</v>
      </c>
      <c r="H442" s="15" t="s">
        <v>140</v>
      </c>
      <c r="I442" s="18"/>
      <c r="J442" s="15" t="s">
        <v>4595</v>
      </c>
      <c r="K442" s="15" t="s">
        <v>4596</v>
      </c>
      <c r="L442" s="15">
        <v>7.711561612E9</v>
      </c>
      <c r="M442" s="18"/>
      <c r="N442" s="18"/>
      <c r="O442" s="18"/>
      <c r="P442" s="20">
        <v>14.0</v>
      </c>
      <c r="Q442" s="22">
        <v>46019.49998842592</v>
      </c>
      <c r="R442" s="15" t="s">
        <v>107</v>
      </c>
      <c r="S442" s="15" t="s">
        <v>109</v>
      </c>
      <c r="T442" s="15" t="s">
        <v>171</v>
      </c>
      <c r="U442" s="15" t="s">
        <v>388</v>
      </c>
      <c r="V442" s="15" t="s">
        <v>389</v>
      </c>
      <c r="W442" s="15" t="s">
        <v>392</v>
      </c>
      <c r="X442" s="15" t="s">
        <v>120</v>
      </c>
      <c r="Y442" s="18"/>
      <c r="Z442" s="15" t="s">
        <v>120</v>
      </c>
      <c r="AA442" s="18"/>
      <c r="AB442" s="15" t="s">
        <v>120</v>
      </c>
      <c r="AC442" s="18"/>
      <c r="AD442" s="18"/>
      <c r="AE442" s="15" t="s">
        <v>120</v>
      </c>
      <c r="AF442" s="18"/>
      <c r="AG442" s="15" t="s">
        <v>120</v>
      </c>
      <c r="AH442" s="18"/>
      <c r="AI442" s="15" t="s">
        <v>120</v>
      </c>
      <c r="AJ442" s="18"/>
      <c r="AK442" s="18"/>
      <c r="AL442" s="15" t="s">
        <v>126</v>
      </c>
      <c r="AM442" s="15" t="s">
        <v>141</v>
      </c>
      <c r="AN442" s="15" t="s">
        <v>129</v>
      </c>
      <c r="AO442" s="15" t="s">
        <v>129</v>
      </c>
      <c r="AP442" s="15"/>
    </row>
    <row r="443" ht="22.5" customHeight="1">
      <c r="A443" s="15" t="s">
        <v>4597</v>
      </c>
      <c r="B443" s="15" t="s">
        <v>4598</v>
      </c>
      <c r="C443" s="15" t="s">
        <v>4599</v>
      </c>
      <c r="D443" s="41">
        <v>40414.0</v>
      </c>
      <c r="E443" s="15" t="s">
        <v>98</v>
      </c>
      <c r="F443" s="15">
        <v>5.659792337E9</v>
      </c>
      <c r="G443" s="15" t="s">
        <v>4600</v>
      </c>
      <c r="H443" s="15" t="s">
        <v>101</v>
      </c>
      <c r="I443" s="18"/>
      <c r="J443" s="15" t="s">
        <v>4601</v>
      </c>
      <c r="K443" s="15" t="s">
        <v>4600</v>
      </c>
      <c r="L443" s="15">
        <v>5.545334945E9</v>
      </c>
      <c r="M443" s="15" t="s">
        <v>4602</v>
      </c>
      <c r="N443" s="15" t="s">
        <v>4603</v>
      </c>
      <c r="O443" s="15">
        <v>5.528820703E9</v>
      </c>
      <c r="P443" s="20">
        <v>15.0</v>
      </c>
      <c r="Q443" s="22">
        <v>46029.909479166665</v>
      </c>
      <c r="R443" s="15" t="s">
        <v>107</v>
      </c>
      <c r="S443" s="15" t="s">
        <v>109</v>
      </c>
      <c r="T443" s="15" t="s">
        <v>204</v>
      </c>
      <c r="U443" s="15" t="s">
        <v>367</v>
      </c>
      <c r="V443" s="15" t="s">
        <v>368</v>
      </c>
      <c r="W443" s="15" t="s">
        <v>369</v>
      </c>
      <c r="X443" s="15" t="s">
        <v>120</v>
      </c>
      <c r="Y443" s="18"/>
      <c r="Z443" s="15" t="s">
        <v>120</v>
      </c>
      <c r="AA443" s="18"/>
      <c r="AB443" s="15" t="s">
        <v>120</v>
      </c>
      <c r="AC443" s="15" t="s">
        <v>120</v>
      </c>
      <c r="AD443" s="18"/>
      <c r="AE443" s="15" t="s">
        <v>120</v>
      </c>
      <c r="AF443" s="18"/>
      <c r="AG443" s="15" t="s">
        <v>120</v>
      </c>
      <c r="AH443" s="18"/>
      <c r="AI443" s="15" t="s">
        <v>120</v>
      </c>
      <c r="AJ443" s="18"/>
      <c r="AK443" s="18"/>
      <c r="AL443" s="15" t="s">
        <v>156</v>
      </c>
      <c r="AM443" s="15" t="s">
        <v>216</v>
      </c>
      <c r="AN443" s="15" t="s">
        <v>185</v>
      </c>
      <c r="AO443" s="15" t="s">
        <v>124</v>
      </c>
      <c r="AP443" s="15"/>
    </row>
    <row r="444" ht="22.5" customHeight="1">
      <c r="A444" s="15" t="s">
        <v>4604</v>
      </c>
      <c r="B444" s="15" t="s">
        <v>2104</v>
      </c>
      <c r="C444" s="15" t="s">
        <v>4605</v>
      </c>
      <c r="D444" s="41">
        <v>40645.0</v>
      </c>
      <c r="E444" s="15" t="s">
        <v>98</v>
      </c>
      <c r="F444" s="15">
        <v>5.658496912E9</v>
      </c>
      <c r="G444" s="15" t="s">
        <v>2106</v>
      </c>
      <c r="H444" s="15" t="s">
        <v>140</v>
      </c>
      <c r="I444" s="18"/>
      <c r="J444" s="15" t="s">
        <v>4606</v>
      </c>
      <c r="K444" s="15" t="s">
        <v>2106</v>
      </c>
      <c r="L444" s="15">
        <v>5.540329002E9</v>
      </c>
      <c r="M444" s="18"/>
      <c r="N444" s="18"/>
      <c r="O444" s="18"/>
      <c r="P444" s="20">
        <v>14.0</v>
      </c>
      <c r="Q444" s="22">
        <v>46030.88364583333</v>
      </c>
      <c r="R444" s="15" t="s">
        <v>107</v>
      </c>
      <c r="S444" s="15" t="s">
        <v>109</v>
      </c>
      <c r="T444" s="15" t="s">
        <v>208</v>
      </c>
      <c r="U444" s="15" t="s">
        <v>478</v>
      </c>
      <c r="V444" s="15" t="s">
        <v>480</v>
      </c>
      <c r="W444" s="15" t="s">
        <v>481</v>
      </c>
      <c r="X444" s="15" t="s">
        <v>120</v>
      </c>
      <c r="Y444" s="18"/>
      <c r="Z444" s="15" t="s">
        <v>117</v>
      </c>
      <c r="AA444" s="58" t="s">
        <v>4607</v>
      </c>
      <c r="AB444" s="15" t="s">
        <v>120</v>
      </c>
      <c r="AC444" s="15" t="s">
        <v>120</v>
      </c>
      <c r="AD444" s="18"/>
      <c r="AE444" s="15" t="s">
        <v>120</v>
      </c>
      <c r="AF444" s="18"/>
      <c r="AG444" s="15" t="s">
        <v>120</v>
      </c>
      <c r="AH444" s="18"/>
      <c r="AI444" s="15" t="s">
        <v>120</v>
      </c>
      <c r="AJ444" s="18"/>
      <c r="AK444" s="18"/>
      <c r="AL444" s="15" t="s">
        <v>126</v>
      </c>
      <c r="AM444" s="15" t="s">
        <v>138</v>
      </c>
      <c r="AN444" s="15" t="s">
        <v>185</v>
      </c>
      <c r="AO444" s="15" t="s">
        <v>216</v>
      </c>
      <c r="AP444" s="15"/>
    </row>
    <row r="445" ht="22.5" customHeight="1">
      <c r="A445" s="15" t="s">
        <v>2502</v>
      </c>
      <c r="B445" s="15" t="s">
        <v>2503</v>
      </c>
      <c r="C445" s="15" t="s">
        <v>2504</v>
      </c>
      <c r="D445" s="41">
        <v>39661.0</v>
      </c>
      <c r="E445" s="15" t="s">
        <v>98</v>
      </c>
      <c r="F445" s="15">
        <v>5.574823712E9</v>
      </c>
      <c r="G445" s="15" t="s">
        <v>2505</v>
      </c>
      <c r="H445" s="15" t="s">
        <v>101</v>
      </c>
      <c r="I445" s="23" t="s">
        <v>2506</v>
      </c>
      <c r="J445" s="15" t="s">
        <v>2507</v>
      </c>
      <c r="K445" s="15" t="s">
        <v>2509</v>
      </c>
      <c r="L445" s="15">
        <v>5.547865572E9</v>
      </c>
      <c r="M445" s="18"/>
      <c r="N445" s="18"/>
      <c r="O445" s="18"/>
      <c r="P445" s="20">
        <v>17.0</v>
      </c>
      <c r="Q445" s="22">
        <v>46040.57517361111</v>
      </c>
      <c r="R445" s="15" t="s">
        <v>107</v>
      </c>
      <c r="S445" s="15" t="s">
        <v>109</v>
      </c>
      <c r="T445" s="15" t="s">
        <v>127</v>
      </c>
      <c r="U445" s="15" t="s">
        <v>234</v>
      </c>
      <c r="V445" s="15" t="s">
        <v>227</v>
      </c>
      <c r="W445" s="15" t="s">
        <v>236</v>
      </c>
      <c r="X445" s="15" t="s">
        <v>120</v>
      </c>
      <c r="Y445" s="18"/>
      <c r="Z445" s="15" t="s">
        <v>120</v>
      </c>
      <c r="AA445" s="18"/>
      <c r="AB445" s="15" t="s">
        <v>120</v>
      </c>
      <c r="AC445" s="18"/>
      <c r="AD445" s="18"/>
      <c r="AE445" s="15" t="s">
        <v>117</v>
      </c>
      <c r="AF445" s="15" t="s">
        <v>2419</v>
      </c>
      <c r="AG445" s="15" t="s">
        <v>120</v>
      </c>
      <c r="AH445" s="18"/>
      <c r="AI445" s="15" t="s">
        <v>120</v>
      </c>
      <c r="AJ445" s="18"/>
      <c r="AK445" s="18"/>
      <c r="AL445" s="15" t="s">
        <v>156</v>
      </c>
      <c r="AM445" s="15" t="s">
        <v>185</v>
      </c>
      <c r="AN445" s="15" t="s">
        <v>138</v>
      </c>
      <c r="AO445" s="15" t="s">
        <v>126</v>
      </c>
      <c r="AP445" s="15"/>
    </row>
    <row r="446" ht="22.5" customHeight="1">
      <c r="A446" s="15" t="s">
        <v>4614</v>
      </c>
      <c r="B446" s="15" t="s">
        <v>4114</v>
      </c>
      <c r="C446" s="15" t="s">
        <v>4615</v>
      </c>
      <c r="D446" s="41">
        <v>40436.0</v>
      </c>
      <c r="E446" s="15" t="s">
        <v>177</v>
      </c>
      <c r="F446" s="15">
        <v>5.53084821E9</v>
      </c>
      <c r="G446" s="15" t="s">
        <v>4616</v>
      </c>
      <c r="H446" s="15" t="s">
        <v>150</v>
      </c>
      <c r="I446" s="18"/>
      <c r="J446" s="15" t="s">
        <v>4117</v>
      </c>
      <c r="K446" s="15" t="s">
        <v>4118</v>
      </c>
      <c r="L446" s="15">
        <v>5.53084821E9</v>
      </c>
      <c r="M446" s="18"/>
      <c r="N446" s="18"/>
      <c r="O446" s="18"/>
      <c r="P446" s="20">
        <v>15.0</v>
      </c>
      <c r="Q446" s="22">
        <v>46037.93922453704</v>
      </c>
      <c r="R446" s="15" t="s">
        <v>107</v>
      </c>
      <c r="S446" s="15" t="s">
        <v>109</v>
      </c>
      <c r="T446" s="15" t="s">
        <v>111</v>
      </c>
      <c r="U446" s="15" t="s">
        <v>657</v>
      </c>
      <c r="V446" s="15" t="s">
        <v>659</v>
      </c>
      <c r="W446" s="15" t="s">
        <v>662</v>
      </c>
      <c r="X446" s="15" t="s">
        <v>120</v>
      </c>
      <c r="Y446" s="18"/>
      <c r="Z446" s="15" t="s">
        <v>117</v>
      </c>
      <c r="AA446" s="58" t="s">
        <v>1340</v>
      </c>
      <c r="AB446" s="15" t="s">
        <v>120</v>
      </c>
      <c r="AC446" s="15" t="s">
        <v>120</v>
      </c>
      <c r="AD446" s="18"/>
      <c r="AE446" s="15" t="s">
        <v>120</v>
      </c>
      <c r="AF446" s="18"/>
      <c r="AG446" s="15" t="s">
        <v>120</v>
      </c>
      <c r="AH446" s="18"/>
      <c r="AI446" s="15" t="s">
        <v>120</v>
      </c>
      <c r="AJ446" s="18"/>
      <c r="AK446" s="18"/>
      <c r="AL446" s="15" t="s">
        <v>156</v>
      </c>
      <c r="AM446" s="15" t="s">
        <v>128</v>
      </c>
      <c r="AN446" s="15" t="s">
        <v>240</v>
      </c>
      <c r="AO446" s="15" t="s">
        <v>138</v>
      </c>
      <c r="AP446" s="15"/>
    </row>
    <row r="447" ht="22.5" customHeight="1">
      <c r="A447" s="15" t="s">
        <v>4617</v>
      </c>
      <c r="B447" s="15" t="s">
        <v>4618</v>
      </c>
      <c r="C447" s="15" t="s">
        <v>4619</v>
      </c>
      <c r="D447" s="41">
        <v>40825.0</v>
      </c>
      <c r="E447" s="15" t="s">
        <v>177</v>
      </c>
      <c r="F447" s="15">
        <v>5.577549295E9</v>
      </c>
      <c r="G447" s="15" t="s">
        <v>4620</v>
      </c>
      <c r="H447" s="15" t="s">
        <v>150</v>
      </c>
      <c r="I447" s="18"/>
      <c r="J447" s="15" t="s">
        <v>4621</v>
      </c>
      <c r="K447" s="15" t="s">
        <v>4622</v>
      </c>
      <c r="L447" s="15">
        <v>5.56208794E9</v>
      </c>
      <c r="M447" s="15" t="s">
        <v>4623</v>
      </c>
      <c r="N447" s="15" t="s">
        <v>4624</v>
      </c>
      <c r="O447" s="15">
        <v>5.538462831E9</v>
      </c>
      <c r="P447" s="20">
        <v>14.0</v>
      </c>
      <c r="Q447" s="22">
        <v>46037.76263888889</v>
      </c>
      <c r="R447" s="15" t="s">
        <v>107</v>
      </c>
      <c r="S447" s="15" t="s">
        <v>109</v>
      </c>
      <c r="T447" s="15" t="s">
        <v>111</v>
      </c>
      <c r="U447" s="15" t="s">
        <v>1979</v>
      </c>
      <c r="V447" s="15" t="s">
        <v>1980</v>
      </c>
      <c r="W447" s="15" t="s">
        <v>1981</v>
      </c>
      <c r="X447" s="15" t="s">
        <v>120</v>
      </c>
      <c r="Y447" s="18"/>
      <c r="Z447" s="15" t="s">
        <v>120</v>
      </c>
      <c r="AA447" s="18"/>
      <c r="AB447" s="15" t="s">
        <v>120</v>
      </c>
      <c r="AC447" s="18"/>
      <c r="AD447" s="18"/>
      <c r="AE447" s="15" t="s">
        <v>120</v>
      </c>
      <c r="AF447" s="18"/>
      <c r="AG447" s="15" t="s">
        <v>120</v>
      </c>
      <c r="AH447" s="18"/>
      <c r="AI447" s="15" t="s">
        <v>120</v>
      </c>
      <c r="AJ447" s="18"/>
      <c r="AK447" s="18"/>
      <c r="AL447" s="15" t="s">
        <v>185</v>
      </c>
      <c r="AM447" s="15" t="s">
        <v>128</v>
      </c>
      <c r="AN447" s="15" t="s">
        <v>141</v>
      </c>
      <c r="AO447" s="15" t="s">
        <v>156</v>
      </c>
      <c r="AP447" s="15"/>
    </row>
    <row r="448" ht="22.5" customHeight="1">
      <c r="A448" s="15" t="s">
        <v>4625</v>
      </c>
      <c r="B448" s="15" t="s">
        <v>4626</v>
      </c>
      <c r="C448" s="15" t="s">
        <v>4627</v>
      </c>
      <c r="D448" s="41">
        <v>39902.0</v>
      </c>
      <c r="E448" s="15" t="s">
        <v>98</v>
      </c>
      <c r="F448" s="15">
        <v>5.63648085E9</v>
      </c>
      <c r="G448" s="15" t="s">
        <v>4628</v>
      </c>
      <c r="H448" s="15" t="s">
        <v>150</v>
      </c>
      <c r="I448" s="18"/>
      <c r="J448" s="15" t="s">
        <v>4629</v>
      </c>
      <c r="K448" s="15" t="s">
        <v>4630</v>
      </c>
      <c r="L448" s="15">
        <v>5.566343985E9</v>
      </c>
      <c r="M448" s="15" t="s">
        <v>4631</v>
      </c>
      <c r="N448" s="15" t="s">
        <v>4632</v>
      </c>
      <c r="O448" s="15">
        <v>5.614541283E9</v>
      </c>
      <c r="P448" s="20">
        <v>16.0</v>
      </c>
      <c r="Q448" s="22">
        <v>46033.45927083334</v>
      </c>
      <c r="R448" s="15" t="s">
        <v>107</v>
      </c>
      <c r="S448" s="15" t="s">
        <v>109</v>
      </c>
      <c r="T448" s="15" t="s">
        <v>111</v>
      </c>
      <c r="U448" s="15" t="s">
        <v>1979</v>
      </c>
      <c r="V448" s="15" t="s">
        <v>1980</v>
      </c>
      <c r="W448" s="15" t="s">
        <v>1981</v>
      </c>
      <c r="X448" s="15" t="s">
        <v>120</v>
      </c>
      <c r="Y448" s="18"/>
      <c r="Z448" s="15" t="s">
        <v>120</v>
      </c>
      <c r="AA448" s="18"/>
      <c r="AB448" s="15" t="s">
        <v>120</v>
      </c>
      <c r="AC448" s="18"/>
      <c r="AD448" s="18"/>
      <c r="AE448" s="15" t="s">
        <v>120</v>
      </c>
      <c r="AF448" s="18"/>
      <c r="AG448" s="15" t="s">
        <v>120</v>
      </c>
      <c r="AH448" s="18"/>
      <c r="AI448" s="15" t="s">
        <v>120</v>
      </c>
      <c r="AJ448" s="18"/>
      <c r="AK448" s="18"/>
      <c r="AL448" s="15" t="s">
        <v>216</v>
      </c>
      <c r="AM448" s="15" t="s">
        <v>242</v>
      </c>
      <c r="AN448" s="15" t="s">
        <v>141</v>
      </c>
      <c r="AO448" s="15" t="s">
        <v>126</v>
      </c>
      <c r="AP448" s="15"/>
    </row>
    <row r="449" ht="22.5" customHeight="1">
      <c r="A449" s="15" t="s">
        <v>3870</v>
      </c>
      <c r="B449" s="15" t="s">
        <v>1713</v>
      </c>
      <c r="C449" s="15" t="s">
        <v>4633</v>
      </c>
      <c r="D449" s="41">
        <v>39898.0</v>
      </c>
      <c r="E449" s="15" t="s">
        <v>177</v>
      </c>
      <c r="F449" s="15" t="s">
        <v>4634</v>
      </c>
      <c r="G449" s="15" t="s">
        <v>4635</v>
      </c>
      <c r="H449" s="15" t="s">
        <v>150</v>
      </c>
      <c r="I449" s="18"/>
      <c r="J449" s="15" t="s">
        <v>1719</v>
      </c>
      <c r="K449" s="15" t="s">
        <v>1720</v>
      </c>
      <c r="L449" s="15">
        <v>4.731807245E9</v>
      </c>
      <c r="M449" s="18"/>
      <c r="N449" s="18"/>
      <c r="O449" s="18"/>
      <c r="P449" s="20">
        <v>16.0</v>
      </c>
      <c r="Q449" s="22">
        <v>46029.737280092595</v>
      </c>
      <c r="R449" s="15" t="s">
        <v>107</v>
      </c>
      <c r="S449" s="15" t="s">
        <v>109</v>
      </c>
      <c r="T449" s="15" t="s">
        <v>127</v>
      </c>
      <c r="U449" s="15" t="s">
        <v>531</v>
      </c>
      <c r="V449" s="15" t="s">
        <v>532</v>
      </c>
      <c r="W449" s="15" t="s">
        <v>534</v>
      </c>
      <c r="X449" s="15" t="s">
        <v>120</v>
      </c>
      <c r="Y449" s="18"/>
      <c r="Z449" s="15" t="s">
        <v>117</v>
      </c>
      <c r="AA449" s="58" t="s">
        <v>1729</v>
      </c>
      <c r="AB449" s="15" t="s">
        <v>120</v>
      </c>
      <c r="AC449" s="15" t="s">
        <v>120</v>
      </c>
      <c r="AD449" s="18"/>
      <c r="AE449" s="15" t="s">
        <v>120</v>
      </c>
      <c r="AF449" s="18"/>
      <c r="AG449" s="15" t="s">
        <v>120</v>
      </c>
      <c r="AH449" s="18"/>
      <c r="AI449" s="15" t="s">
        <v>120</v>
      </c>
      <c r="AJ449" s="18"/>
      <c r="AK449" s="18"/>
      <c r="AL449" s="15" t="s">
        <v>185</v>
      </c>
      <c r="AM449" s="15" t="s">
        <v>124</v>
      </c>
      <c r="AN449" s="15" t="s">
        <v>129</v>
      </c>
      <c r="AO449" s="15" t="s">
        <v>128</v>
      </c>
      <c r="AP449" s="15"/>
    </row>
    <row r="450" ht="22.5" customHeight="1">
      <c r="A450" s="15" t="s">
        <v>4636</v>
      </c>
      <c r="B450" s="15" t="s">
        <v>4637</v>
      </c>
      <c r="C450" s="15" t="s">
        <v>4638</v>
      </c>
      <c r="D450" s="41">
        <v>40515.0</v>
      </c>
      <c r="E450" s="15" t="s">
        <v>177</v>
      </c>
      <c r="F450" s="15">
        <v>5.520814176E9</v>
      </c>
      <c r="G450" s="15" t="s">
        <v>4639</v>
      </c>
      <c r="H450" s="15" t="s">
        <v>101</v>
      </c>
      <c r="I450" s="18"/>
      <c r="J450" s="15" t="s">
        <v>4640</v>
      </c>
      <c r="K450" s="15" t="s">
        <v>4641</v>
      </c>
      <c r="L450" s="15">
        <v>5.535120159E9</v>
      </c>
      <c r="M450" s="18"/>
      <c r="N450" s="18"/>
      <c r="O450" s="18"/>
      <c r="P450" s="20">
        <v>15.0</v>
      </c>
      <c r="Q450" s="22">
        <v>46026.7800462963</v>
      </c>
      <c r="R450" s="15" t="s">
        <v>107</v>
      </c>
      <c r="S450" s="15" t="s">
        <v>109</v>
      </c>
      <c r="T450" s="15" t="s">
        <v>208</v>
      </c>
      <c r="U450" s="15" t="s">
        <v>228</v>
      </c>
      <c r="V450" s="15" t="s">
        <v>229</v>
      </c>
      <c r="W450" s="15" t="s">
        <v>230</v>
      </c>
      <c r="X450" s="15" t="s">
        <v>120</v>
      </c>
      <c r="Y450" s="18"/>
      <c r="Z450" s="15" t="s">
        <v>120</v>
      </c>
      <c r="AA450" s="18"/>
      <c r="AB450" s="15" t="s">
        <v>120</v>
      </c>
      <c r="AC450" s="15" t="s">
        <v>120</v>
      </c>
      <c r="AD450" s="18"/>
      <c r="AE450" s="15" t="s">
        <v>120</v>
      </c>
      <c r="AF450" s="18"/>
      <c r="AG450" s="15" t="s">
        <v>120</v>
      </c>
      <c r="AH450" s="18"/>
      <c r="AI450" s="15" t="s">
        <v>120</v>
      </c>
      <c r="AJ450" s="18"/>
      <c r="AK450" s="18"/>
      <c r="AL450" s="15" t="s">
        <v>138</v>
      </c>
      <c r="AM450" s="15" t="s">
        <v>242</v>
      </c>
      <c r="AN450" s="15" t="s">
        <v>156</v>
      </c>
      <c r="AO450" s="15" t="s">
        <v>141</v>
      </c>
      <c r="AP450" s="15"/>
    </row>
    <row r="451" ht="22.5" customHeight="1">
      <c r="A451" s="15" t="s">
        <v>730</v>
      </c>
      <c r="B451" s="15" t="s">
        <v>4642</v>
      </c>
      <c r="C451" s="15" t="s">
        <v>84</v>
      </c>
      <c r="D451" s="41">
        <v>41107.0</v>
      </c>
      <c r="E451" s="15" t="s">
        <v>98</v>
      </c>
      <c r="F451" s="15">
        <v>5.526983786E9</v>
      </c>
      <c r="G451" s="15" t="s">
        <v>4643</v>
      </c>
      <c r="H451" s="15" t="s">
        <v>101</v>
      </c>
      <c r="I451" s="18"/>
      <c r="J451" s="15" t="s">
        <v>4644</v>
      </c>
      <c r="K451" s="15" t="s">
        <v>4645</v>
      </c>
      <c r="L451" s="15">
        <v>5.535930523E9</v>
      </c>
      <c r="M451" s="15" t="s">
        <v>4646</v>
      </c>
      <c r="N451" s="15" t="s">
        <v>4647</v>
      </c>
      <c r="O451" s="15">
        <v>5.554685549E9</v>
      </c>
      <c r="P451" s="20">
        <v>13.0</v>
      </c>
      <c r="Q451" s="22">
        <v>46038.877337962964</v>
      </c>
      <c r="R451" s="15" t="s">
        <v>107</v>
      </c>
      <c r="S451" s="15" t="s">
        <v>109</v>
      </c>
      <c r="T451" s="15" t="s">
        <v>208</v>
      </c>
      <c r="U451" s="15" t="s">
        <v>228</v>
      </c>
      <c r="V451" s="15" t="s">
        <v>229</v>
      </c>
      <c r="W451" s="15" t="s">
        <v>230</v>
      </c>
      <c r="X451" s="15" t="s">
        <v>120</v>
      </c>
      <c r="Y451" s="18"/>
      <c r="Z451" s="15" t="s">
        <v>120</v>
      </c>
      <c r="AA451" s="18"/>
      <c r="AB451" s="15" t="s">
        <v>120</v>
      </c>
      <c r="AC451" s="18"/>
      <c r="AD451" s="18"/>
      <c r="AE451" s="15" t="s">
        <v>120</v>
      </c>
      <c r="AF451" s="18"/>
      <c r="AG451" s="15" t="s">
        <v>120</v>
      </c>
      <c r="AH451" s="18"/>
      <c r="AI451" s="15" t="s">
        <v>120</v>
      </c>
      <c r="AJ451" s="18"/>
      <c r="AK451" s="18"/>
      <c r="AL451" s="15" t="s">
        <v>242</v>
      </c>
      <c r="AM451" s="15" t="s">
        <v>156</v>
      </c>
      <c r="AN451" s="15" t="s">
        <v>185</v>
      </c>
      <c r="AO451" s="15" t="s">
        <v>124</v>
      </c>
      <c r="AP451" s="15"/>
    </row>
    <row r="452" ht="22.5" customHeight="1">
      <c r="A452" s="15" t="s">
        <v>1285</v>
      </c>
      <c r="B452" s="15" t="s">
        <v>1575</v>
      </c>
      <c r="C452" s="18"/>
      <c r="D452" s="41">
        <v>39727.0</v>
      </c>
      <c r="E452" s="15" t="s">
        <v>98</v>
      </c>
      <c r="F452" s="15">
        <v>5.548718075E9</v>
      </c>
      <c r="G452" s="15" t="s">
        <v>1584</v>
      </c>
      <c r="H452" s="15" t="s">
        <v>110</v>
      </c>
      <c r="I452" s="18"/>
      <c r="J452" s="15" t="s">
        <v>1586</v>
      </c>
      <c r="K452" s="15" t="s">
        <v>2165</v>
      </c>
      <c r="L452" s="15">
        <v>5.564927995E9</v>
      </c>
      <c r="M452" s="18"/>
      <c r="N452" s="18"/>
      <c r="O452" s="18"/>
      <c r="P452" s="20">
        <v>17.0</v>
      </c>
      <c r="Q452" s="22">
        <v>46033.430555555555</v>
      </c>
      <c r="R452" s="15" t="s">
        <v>107</v>
      </c>
      <c r="S452" s="15" t="s">
        <v>109</v>
      </c>
      <c r="T452" s="15" t="s">
        <v>160</v>
      </c>
      <c r="U452" s="15" t="s">
        <v>308</v>
      </c>
      <c r="V452" s="15" t="s">
        <v>309</v>
      </c>
      <c r="W452" s="15" t="s">
        <v>310</v>
      </c>
      <c r="X452" s="15" t="s">
        <v>120</v>
      </c>
      <c r="Y452" s="18"/>
      <c r="Z452" s="15" t="s">
        <v>120</v>
      </c>
      <c r="AA452" s="18"/>
      <c r="AB452" s="15" t="s">
        <v>120</v>
      </c>
      <c r="AC452" s="15" t="s">
        <v>120</v>
      </c>
      <c r="AD452" s="18"/>
      <c r="AE452" s="15" t="s">
        <v>120</v>
      </c>
      <c r="AF452" s="18"/>
      <c r="AG452" s="15" t="s">
        <v>120</v>
      </c>
      <c r="AH452" s="18"/>
      <c r="AI452" s="15" t="s">
        <v>117</v>
      </c>
      <c r="AJ452" s="15" t="s">
        <v>178</v>
      </c>
      <c r="AK452" s="18"/>
      <c r="AL452" s="15" t="s">
        <v>138</v>
      </c>
      <c r="AM452" s="15" t="s">
        <v>156</v>
      </c>
      <c r="AN452" s="15" t="s">
        <v>129</v>
      </c>
      <c r="AO452" s="15" t="s">
        <v>242</v>
      </c>
      <c r="AP452" s="15"/>
    </row>
    <row r="453" ht="22.5" customHeight="1">
      <c r="A453" s="15" t="s">
        <v>4648</v>
      </c>
      <c r="B453" s="15" t="s">
        <v>1718</v>
      </c>
      <c r="C453" s="15" t="s">
        <v>4649</v>
      </c>
      <c r="D453" s="41">
        <v>40342.0</v>
      </c>
      <c r="E453" s="15" t="s">
        <v>177</v>
      </c>
      <c r="F453" s="15">
        <v>5.525235473E9</v>
      </c>
      <c r="G453" s="15" t="s">
        <v>4650</v>
      </c>
      <c r="H453" s="15" t="s">
        <v>101</v>
      </c>
      <c r="I453" s="18"/>
      <c r="J453" s="15" t="s">
        <v>1726</v>
      </c>
      <c r="K453" s="15" t="s">
        <v>1727</v>
      </c>
      <c r="L453" s="15">
        <v>5.565208788E9</v>
      </c>
      <c r="M453" s="18"/>
      <c r="N453" s="18"/>
      <c r="O453" s="18"/>
      <c r="P453" s="20">
        <v>15.0</v>
      </c>
      <c r="Q453" s="22">
        <v>46029.90222222222</v>
      </c>
      <c r="R453" s="15" t="s">
        <v>107</v>
      </c>
      <c r="S453" s="15" t="s">
        <v>109</v>
      </c>
      <c r="T453" s="15" t="s">
        <v>160</v>
      </c>
      <c r="U453" s="15" t="s">
        <v>1739</v>
      </c>
      <c r="V453" s="15" t="s">
        <v>1740</v>
      </c>
      <c r="W453" s="15" t="s">
        <v>1741</v>
      </c>
      <c r="X453" s="15" t="s">
        <v>120</v>
      </c>
      <c r="Y453" s="18"/>
      <c r="Z453" s="15" t="s">
        <v>120</v>
      </c>
      <c r="AA453" s="18"/>
      <c r="AB453" s="15" t="s">
        <v>120</v>
      </c>
      <c r="AC453" s="18"/>
      <c r="AD453" s="18"/>
      <c r="AE453" s="15" t="s">
        <v>120</v>
      </c>
      <c r="AF453" s="18"/>
      <c r="AG453" s="15" t="s">
        <v>120</v>
      </c>
      <c r="AH453" s="18"/>
      <c r="AI453" s="15" t="s">
        <v>120</v>
      </c>
      <c r="AJ453" s="18"/>
      <c r="AK453" s="18"/>
      <c r="AL453" s="15" t="s">
        <v>141</v>
      </c>
      <c r="AM453" s="15" t="s">
        <v>156</v>
      </c>
      <c r="AN453" s="15" t="s">
        <v>216</v>
      </c>
      <c r="AO453" s="15" t="s">
        <v>242</v>
      </c>
      <c r="AP453" s="15"/>
    </row>
    <row r="454" ht="22.5" customHeight="1">
      <c r="A454" s="15" t="s">
        <v>4651</v>
      </c>
      <c r="B454" s="15" t="s">
        <v>3121</v>
      </c>
      <c r="C454" s="15" t="s">
        <v>4652</v>
      </c>
      <c r="D454" s="41">
        <v>40452.0</v>
      </c>
      <c r="E454" s="15" t="s">
        <v>177</v>
      </c>
      <c r="F454" s="15">
        <v>5.617535447E9</v>
      </c>
      <c r="G454" s="15" t="s">
        <v>4653</v>
      </c>
      <c r="H454" s="15" t="s">
        <v>140</v>
      </c>
      <c r="I454" s="18"/>
      <c r="J454" s="15" t="s">
        <v>4654</v>
      </c>
      <c r="K454" s="15" t="s">
        <v>4655</v>
      </c>
      <c r="L454" s="15">
        <v>5.621406969E9</v>
      </c>
      <c r="M454" s="15" t="s">
        <v>4656</v>
      </c>
      <c r="N454" s="15" t="s">
        <v>4657</v>
      </c>
      <c r="O454" s="15">
        <v>5.554623425E9</v>
      </c>
      <c r="P454" s="20">
        <v>15.0</v>
      </c>
      <c r="Q454" s="22">
        <v>46018.347407407404</v>
      </c>
      <c r="R454" s="15" t="s">
        <v>107</v>
      </c>
      <c r="S454" s="15" t="s">
        <v>109</v>
      </c>
      <c r="T454" s="15" t="s">
        <v>171</v>
      </c>
      <c r="U454" s="15" t="s">
        <v>1048</v>
      </c>
      <c r="V454" s="15" t="s">
        <v>1050</v>
      </c>
      <c r="W454" s="15" t="s">
        <v>1051</v>
      </c>
      <c r="X454" s="15" t="s">
        <v>120</v>
      </c>
      <c r="Y454" s="18"/>
      <c r="Z454" s="15" t="s">
        <v>120</v>
      </c>
      <c r="AA454" s="18"/>
      <c r="AB454" s="15" t="s">
        <v>120</v>
      </c>
      <c r="AC454" s="15" t="s">
        <v>120</v>
      </c>
      <c r="AD454" s="18"/>
      <c r="AE454" s="15" t="s">
        <v>120</v>
      </c>
      <c r="AF454" s="18"/>
      <c r="AG454" s="15" t="s">
        <v>120</v>
      </c>
      <c r="AH454" s="18"/>
      <c r="AI454" s="15" t="s">
        <v>120</v>
      </c>
      <c r="AJ454" s="18"/>
      <c r="AK454" s="18"/>
      <c r="AL454" s="15" t="s">
        <v>129</v>
      </c>
      <c r="AM454" s="15" t="s">
        <v>124</v>
      </c>
      <c r="AN454" s="15" t="s">
        <v>126</v>
      </c>
      <c r="AO454" s="15" t="s">
        <v>138</v>
      </c>
      <c r="AP454" s="15"/>
    </row>
    <row r="455" ht="22.5" customHeight="1">
      <c r="A455" s="15" t="s">
        <v>4658</v>
      </c>
      <c r="B455" s="15" t="s">
        <v>4659</v>
      </c>
      <c r="C455" s="15" t="s">
        <v>4660</v>
      </c>
      <c r="D455" s="41">
        <v>39683.0</v>
      </c>
      <c r="E455" s="15" t="s">
        <v>98</v>
      </c>
      <c r="F455" s="15">
        <v>5.519030443E9</v>
      </c>
      <c r="G455" s="15" t="s">
        <v>4661</v>
      </c>
      <c r="H455" s="15" t="s">
        <v>101</v>
      </c>
      <c r="I455" s="23" t="s">
        <v>135</v>
      </c>
      <c r="J455" s="15" t="s">
        <v>4662</v>
      </c>
      <c r="K455" s="15" t="s">
        <v>4663</v>
      </c>
      <c r="L455" s="15">
        <v>5.54653213E9</v>
      </c>
      <c r="M455" s="15" t="s">
        <v>4664</v>
      </c>
      <c r="N455" s="15" t="s">
        <v>4665</v>
      </c>
      <c r="O455" s="15">
        <v>5.536345581E9</v>
      </c>
      <c r="P455" s="20">
        <v>17.0</v>
      </c>
      <c r="Q455" s="22">
        <v>46033.50067129629</v>
      </c>
      <c r="R455" s="15" t="s">
        <v>107</v>
      </c>
      <c r="S455" s="15" t="s">
        <v>109</v>
      </c>
      <c r="T455" s="15" t="s">
        <v>171</v>
      </c>
      <c r="U455" s="15" t="s">
        <v>444</v>
      </c>
      <c r="V455" s="15" t="s">
        <v>445</v>
      </c>
      <c r="W455" s="15" t="s">
        <v>446</v>
      </c>
      <c r="X455" s="15" t="s">
        <v>120</v>
      </c>
      <c r="Y455" s="15" t="s">
        <v>135</v>
      </c>
      <c r="Z455" s="15" t="s">
        <v>120</v>
      </c>
      <c r="AA455" s="15" t="s">
        <v>135</v>
      </c>
      <c r="AB455" s="15" t="s">
        <v>120</v>
      </c>
      <c r="AC455" s="15" t="s">
        <v>120</v>
      </c>
      <c r="AD455" s="15" t="s">
        <v>135</v>
      </c>
      <c r="AE455" s="15" t="s">
        <v>120</v>
      </c>
      <c r="AF455" s="15" t="s">
        <v>135</v>
      </c>
      <c r="AG455" s="15" t="s">
        <v>120</v>
      </c>
      <c r="AH455" s="15" t="s">
        <v>135</v>
      </c>
      <c r="AI455" s="15" t="s">
        <v>120</v>
      </c>
      <c r="AJ455" s="15" t="s">
        <v>135</v>
      </c>
      <c r="AK455" s="15" t="s">
        <v>135</v>
      </c>
      <c r="AL455" s="15" t="s">
        <v>156</v>
      </c>
      <c r="AM455" s="15" t="s">
        <v>138</v>
      </c>
      <c r="AN455" s="15" t="s">
        <v>185</v>
      </c>
      <c r="AO455" s="15" t="s">
        <v>126</v>
      </c>
      <c r="AP455" s="15"/>
    </row>
    <row r="456" ht="22.5" customHeight="1">
      <c r="A456" s="15" t="s">
        <v>3714</v>
      </c>
      <c r="B456" s="15" t="s">
        <v>2510</v>
      </c>
      <c r="C456" s="15" t="s">
        <v>3715</v>
      </c>
      <c r="D456" s="41">
        <v>40312.0</v>
      </c>
      <c r="E456" s="15" t="s">
        <v>177</v>
      </c>
      <c r="F456" s="15">
        <v>5.563381959E9</v>
      </c>
      <c r="G456" s="15" t="s">
        <v>2515</v>
      </c>
      <c r="H456" s="15" t="s">
        <v>101</v>
      </c>
      <c r="I456" s="23" t="s">
        <v>2513</v>
      </c>
      <c r="J456" s="15" t="s">
        <v>2514</v>
      </c>
      <c r="K456" s="15" t="s">
        <v>2515</v>
      </c>
      <c r="L456" s="15">
        <v>5.527229124E9</v>
      </c>
      <c r="M456" s="18"/>
      <c r="N456" s="18"/>
      <c r="O456" s="18"/>
      <c r="P456" s="20">
        <v>15.0</v>
      </c>
      <c r="Q456" s="22">
        <v>46033.86787037037</v>
      </c>
      <c r="R456" s="15" t="s">
        <v>107</v>
      </c>
      <c r="S456" s="15" t="s">
        <v>109</v>
      </c>
      <c r="T456" s="15" t="s">
        <v>111</v>
      </c>
      <c r="U456" s="15" t="s">
        <v>657</v>
      </c>
      <c r="V456" s="15" t="s">
        <v>659</v>
      </c>
      <c r="W456" s="15" t="s">
        <v>662</v>
      </c>
      <c r="X456" s="15" t="s">
        <v>120</v>
      </c>
      <c r="Y456" s="18"/>
      <c r="Z456" s="15" t="s">
        <v>120</v>
      </c>
      <c r="AA456" s="18"/>
      <c r="AB456" s="15" t="s">
        <v>120</v>
      </c>
      <c r="AC456" s="18"/>
      <c r="AD456" s="18"/>
      <c r="AE456" s="15" t="s">
        <v>120</v>
      </c>
      <c r="AF456" s="18"/>
      <c r="AG456" s="15" t="s">
        <v>120</v>
      </c>
      <c r="AH456" s="18"/>
      <c r="AI456" s="15" t="s">
        <v>120</v>
      </c>
      <c r="AJ456" s="18"/>
      <c r="AK456" s="18"/>
      <c r="AL456" s="15" t="s">
        <v>126</v>
      </c>
      <c r="AM456" s="15" t="s">
        <v>129</v>
      </c>
      <c r="AN456" s="15" t="s">
        <v>185</v>
      </c>
      <c r="AO456" s="15" t="s">
        <v>128</v>
      </c>
      <c r="AP456" s="15"/>
    </row>
    <row r="457" ht="22.5" customHeight="1">
      <c r="A457" s="15" t="s">
        <v>4666</v>
      </c>
      <c r="B457" s="15" t="s">
        <v>1731</v>
      </c>
      <c r="C457" s="15" t="s">
        <v>4667</v>
      </c>
      <c r="D457" s="41">
        <v>39933.0</v>
      </c>
      <c r="E457" s="15" t="s">
        <v>98</v>
      </c>
      <c r="F457" s="15">
        <v>5.51813172E9</v>
      </c>
      <c r="G457" s="15" t="s">
        <v>4668</v>
      </c>
      <c r="H457" s="15" t="s">
        <v>140</v>
      </c>
      <c r="I457" s="23" t="s">
        <v>135</v>
      </c>
      <c r="J457" s="15" t="s">
        <v>1736</v>
      </c>
      <c r="K457" s="15" t="s">
        <v>1737</v>
      </c>
      <c r="L457" s="15">
        <v>5.522714514E9</v>
      </c>
      <c r="M457" s="18"/>
      <c r="N457" s="18"/>
      <c r="O457" s="18"/>
      <c r="P457" s="20">
        <v>16.0</v>
      </c>
      <c r="Q457" s="22">
        <v>46035.689675925925</v>
      </c>
      <c r="R457" s="15" t="s">
        <v>107</v>
      </c>
      <c r="S457" s="15" t="s">
        <v>109</v>
      </c>
      <c r="T457" s="15" t="s">
        <v>171</v>
      </c>
      <c r="U457" s="15" t="s">
        <v>1048</v>
      </c>
      <c r="V457" s="15" t="s">
        <v>1050</v>
      </c>
      <c r="W457" s="15" t="s">
        <v>1051</v>
      </c>
      <c r="X457" s="15" t="s">
        <v>120</v>
      </c>
      <c r="Y457" s="18"/>
      <c r="Z457" s="15" t="s">
        <v>117</v>
      </c>
      <c r="AA457" s="52" t="s">
        <v>4669</v>
      </c>
      <c r="AB457" s="15" t="s">
        <v>117</v>
      </c>
      <c r="AC457" s="15" t="s">
        <v>117</v>
      </c>
      <c r="AD457" s="23" t="s">
        <v>4670</v>
      </c>
      <c r="AE457" s="15" t="s">
        <v>117</v>
      </c>
      <c r="AF457" s="15" t="s">
        <v>4671</v>
      </c>
      <c r="AG457" s="15" t="s">
        <v>117</v>
      </c>
      <c r="AH457" s="15" t="s">
        <v>4672</v>
      </c>
      <c r="AI457" s="15" t="s">
        <v>120</v>
      </c>
      <c r="AJ457" s="18"/>
      <c r="AK457" s="18"/>
      <c r="AL457" s="15" t="s">
        <v>185</v>
      </c>
      <c r="AM457" s="15" t="s">
        <v>138</v>
      </c>
      <c r="AN457" s="15" t="s">
        <v>141</v>
      </c>
      <c r="AO457" s="15" t="s">
        <v>242</v>
      </c>
      <c r="AP457" s="15"/>
    </row>
    <row r="458" ht="22.5" customHeight="1">
      <c r="A458" s="15" t="s">
        <v>4673</v>
      </c>
      <c r="B458" s="15" t="s">
        <v>3995</v>
      </c>
      <c r="C458" s="15" t="s">
        <v>4674</v>
      </c>
      <c r="D458" s="41">
        <v>41180.0</v>
      </c>
      <c r="E458" s="15" t="s">
        <v>98</v>
      </c>
      <c r="F458" s="15">
        <v>5.574714092E9</v>
      </c>
      <c r="G458" s="15" t="s">
        <v>4675</v>
      </c>
      <c r="H458" s="15" t="s">
        <v>101</v>
      </c>
      <c r="I458" s="23" t="s">
        <v>1537</v>
      </c>
      <c r="J458" s="15" t="s">
        <v>3998</v>
      </c>
      <c r="K458" s="15" t="s">
        <v>3999</v>
      </c>
      <c r="L458" s="15">
        <v>5.568794778E9</v>
      </c>
      <c r="M458" s="15" t="s">
        <v>4000</v>
      </c>
      <c r="N458" s="15" t="s">
        <v>4001</v>
      </c>
      <c r="O458" s="15">
        <v>5.539691329E9</v>
      </c>
      <c r="P458" s="20">
        <v>13.0</v>
      </c>
      <c r="Q458" s="22">
        <v>46019.69081018519</v>
      </c>
      <c r="R458" s="15" t="s">
        <v>107</v>
      </c>
      <c r="S458" s="15" t="s">
        <v>109</v>
      </c>
      <c r="T458" s="15" t="s">
        <v>127</v>
      </c>
      <c r="U458" s="15" t="s">
        <v>531</v>
      </c>
      <c r="V458" s="15" t="s">
        <v>532</v>
      </c>
      <c r="W458" s="15" t="s">
        <v>534</v>
      </c>
      <c r="X458" s="15" t="s">
        <v>120</v>
      </c>
      <c r="Y458" s="18"/>
      <c r="Z458" s="15" t="s">
        <v>120</v>
      </c>
      <c r="AA458" s="18"/>
      <c r="AB458" s="15" t="s">
        <v>120</v>
      </c>
      <c r="AC458" s="18"/>
      <c r="AD458" s="18"/>
      <c r="AE458" s="15" t="s">
        <v>120</v>
      </c>
      <c r="AF458" s="18"/>
      <c r="AG458" s="15" t="s">
        <v>120</v>
      </c>
      <c r="AH458" s="18"/>
      <c r="AI458" s="15" t="s">
        <v>120</v>
      </c>
      <c r="AJ458" s="18"/>
      <c r="AK458" s="18"/>
      <c r="AL458" s="15" t="s">
        <v>128</v>
      </c>
      <c r="AM458" s="15" t="s">
        <v>156</v>
      </c>
      <c r="AN458" s="15" t="s">
        <v>141</v>
      </c>
      <c r="AO458" s="15" t="s">
        <v>138</v>
      </c>
      <c r="AP458" s="15"/>
    </row>
    <row r="459" ht="22.5" customHeight="1">
      <c r="A459" s="15" t="s">
        <v>4676</v>
      </c>
      <c r="B459" s="15" t="s">
        <v>1252</v>
      </c>
      <c r="C459" s="15" t="s">
        <v>4677</v>
      </c>
      <c r="D459" s="41">
        <v>39472.0</v>
      </c>
      <c r="E459" s="15" t="s">
        <v>177</v>
      </c>
      <c r="F459" s="15">
        <v>5.614707074E9</v>
      </c>
      <c r="G459" s="15" t="s">
        <v>4678</v>
      </c>
      <c r="H459" s="15" t="s">
        <v>101</v>
      </c>
      <c r="I459" s="18"/>
      <c r="J459" s="15" t="s">
        <v>4679</v>
      </c>
      <c r="K459" s="15" t="s">
        <v>1261</v>
      </c>
      <c r="L459" s="15">
        <v>5.6147074E7</v>
      </c>
      <c r="M459" s="18"/>
      <c r="N459" s="18"/>
      <c r="O459" s="18"/>
      <c r="P459" s="20">
        <v>18.0</v>
      </c>
      <c r="Q459" s="22">
        <v>46040.9384375</v>
      </c>
      <c r="R459" s="15" t="s">
        <v>260</v>
      </c>
      <c r="S459" s="15" t="s">
        <v>109</v>
      </c>
      <c r="T459" s="15" t="s">
        <v>160</v>
      </c>
      <c r="U459" s="15" t="s">
        <v>1265</v>
      </c>
      <c r="V459" s="15" t="s">
        <v>1267</v>
      </c>
      <c r="W459" s="15" t="s">
        <v>1268</v>
      </c>
      <c r="X459" s="15" t="s">
        <v>120</v>
      </c>
      <c r="Y459" s="18"/>
      <c r="Z459" s="15" t="s">
        <v>120</v>
      </c>
      <c r="AA459" s="18"/>
      <c r="AB459" s="15" t="s">
        <v>120</v>
      </c>
      <c r="AC459" s="18"/>
      <c r="AD459" s="18"/>
      <c r="AE459" s="15" t="s">
        <v>120</v>
      </c>
      <c r="AF459" s="18"/>
      <c r="AG459" s="15" t="s">
        <v>120</v>
      </c>
      <c r="AH459" s="18"/>
      <c r="AI459" s="15" t="s">
        <v>120</v>
      </c>
      <c r="AJ459" s="18"/>
      <c r="AK459" s="18"/>
      <c r="AL459" s="15" t="s">
        <v>129</v>
      </c>
      <c r="AM459" s="15" t="s">
        <v>138</v>
      </c>
      <c r="AN459" s="15" t="s">
        <v>128</v>
      </c>
      <c r="AO459" s="15" t="s">
        <v>216</v>
      </c>
      <c r="AP459" s="15"/>
    </row>
    <row r="460" ht="22.5" customHeight="1">
      <c r="A460" s="15" t="s">
        <v>4680</v>
      </c>
      <c r="B460" s="15" t="s">
        <v>4681</v>
      </c>
      <c r="C460" s="15" t="s">
        <v>4682</v>
      </c>
      <c r="D460" s="41">
        <v>39493.0</v>
      </c>
      <c r="E460" s="15" t="s">
        <v>98</v>
      </c>
      <c r="F460" s="15">
        <v>5.542634262E9</v>
      </c>
      <c r="G460" s="15" t="s">
        <v>4683</v>
      </c>
      <c r="H460" s="15" t="s">
        <v>101</v>
      </c>
      <c r="I460" s="18"/>
      <c r="J460" s="15" t="s">
        <v>2847</v>
      </c>
      <c r="K460" s="15" t="s">
        <v>167</v>
      </c>
      <c r="L460" s="15">
        <v>5.516251047E9</v>
      </c>
      <c r="M460" s="18"/>
      <c r="N460" s="18"/>
      <c r="O460" s="18"/>
      <c r="P460" s="20">
        <v>18.0</v>
      </c>
      <c r="Q460" s="22">
        <v>46033.57305555556</v>
      </c>
      <c r="R460" s="15" t="s">
        <v>107</v>
      </c>
      <c r="S460" s="15" t="s">
        <v>109</v>
      </c>
      <c r="T460" s="15" t="s">
        <v>171</v>
      </c>
      <c r="U460" s="15" t="s">
        <v>173</v>
      </c>
      <c r="V460" s="15" t="s">
        <v>167</v>
      </c>
      <c r="W460" s="15" t="s">
        <v>175</v>
      </c>
      <c r="X460" s="15" t="s">
        <v>120</v>
      </c>
      <c r="Y460" s="18"/>
      <c r="Z460" s="15" t="s">
        <v>120</v>
      </c>
      <c r="AA460" s="18"/>
      <c r="AB460" s="15" t="s">
        <v>120</v>
      </c>
      <c r="AC460" s="15" t="s">
        <v>120</v>
      </c>
      <c r="AD460" s="18"/>
      <c r="AE460" s="15" t="s">
        <v>120</v>
      </c>
      <c r="AF460" s="18"/>
      <c r="AG460" s="15" t="s">
        <v>120</v>
      </c>
      <c r="AH460" s="18"/>
      <c r="AI460" s="15" t="s">
        <v>120</v>
      </c>
      <c r="AJ460" s="18"/>
      <c r="AK460" s="18"/>
      <c r="AL460" s="15" t="s">
        <v>185</v>
      </c>
      <c r="AM460" s="15" t="s">
        <v>185</v>
      </c>
      <c r="AN460" s="15" t="s">
        <v>185</v>
      </c>
      <c r="AO460" s="15" t="s">
        <v>185</v>
      </c>
      <c r="AP460" s="15"/>
    </row>
    <row r="461" ht="22.5" customHeight="1">
      <c r="A461" s="15" t="s">
        <v>4692</v>
      </c>
      <c r="B461" s="15" t="s">
        <v>3826</v>
      </c>
      <c r="C461" s="15" t="s">
        <v>4693</v>
      </c>
      <c r="D461" s="41">
        <v>40246.0</v>
      </c>
      <c r="E461" s="15" t="s">
        <v>98</v>
      </c>
      <c r="F461" s="15">
        <v>5.527438401E9</v>
      </c>
      <c r="G461" s="15" t="s">
        <v>4694</v>
      </c>
      <c r="H461" s="15" t="s">
        <v>140</v>
      </c>
      <c r="I461" s="18"/>
      <c r="J461" s="15" t="s">
        <v>3829</v>
      </c>
      <c r="K461" s="15" t="s">
        <v>3830</v>
      </c>
      <c r="L461" s="15">
        <v>5.533331875E9</v>
      </c>
      <c r="M461" s="15" t="s">
        <v>3831</v>
      </c>
      <c r="N461" s="15" t="s">
        <v>3832</v>
      </c>
      <c r="O461" s="15">
        <v>5.527556424E9</v>
      </c>
      <c r="P461" s="20">
        <v>15.0</v>
      </c>
      <c r="Q461" s="22">
        <v>46047.55054398148</v>
      </c>
      <c r="R461" s="15" t="s">
        <v>107</v>
      </c>
      <c r="S461" s="15" t="s">
        <v>109</v>
      </c>
      <c r="T461" s="15" t="s">
        <v>208</v>
      </c>
      <c r="U461" s="15" t="s">
        <v>478</v>
      </c>
      <c r="V461" s="15" t="s">
        <v>480</v>
      </c>
      <c r="W461" s="15" t="s">
        <v>481</v>
      </c>
      <c r="X461" s="15" t="s">
        <v>120</v>
      </c>
      <c r="Y461" s="18"/>
      <c r="Z461" s="15" t="s">
        <v>120</v>
      </c>
      <c r="AA461" s="18"/>
      <c r="AB461" s="15" t="s">
        <v>120</v>
      </c>
      <c r="AC461" s="18"/>
      <c r="AD461" s="18"/>
      <c r="AE461" s="15" t="s">
        <v>120</v>
      </c>
      <c r="AF461" s="18"/>
      <c r="AG461" s="15" t="s">
        <v>120</v>
      </c>
      <c r="AH461" s="18"/>
      <c r="AI461" s="15" t="s">
        <v>120</v>
      </c>
      <c r="AJ461" s="18"/>
      <c r="AK461" s="18"/>
      <c r="AL461" s="15" t="s">
        <v>124</v>
      </c>
      <c r="AM461" s="15" t="s">
        <v>126</v>
      </c>
      <c r="AN461" s="15" t="s">
        <v>138</v>
      </c>
      <c r="AO461" s="15" t="s">
        <v>185</v>
      </c>
      <c r="AP461" s="15"/>
    </row>
    <row r="462" ht="22.5" customHeight="1">
      <c r="A462" s="15" t="s">
        <v>4695</v>
      </c>
      <c r="B462" s="15" t="s">
        <v>4696</v>
      </c>
      <c r="C462" s="15" t="s">
        <v>4697</v>
      </c>
      <c r="D462" s="41">
        <v>41011.0</v>
      </c>
      <c r="E462" s="15" t="s">
        <v>177</v>
      </c>
      <c r="F462" s="15">
        <v>5.564393591E9</v>
      </c>
      <c r="G462" s="15" t="s">
        <v>4698</v>
      </c>
      <c r="H462" s="15" t="s">
        <v>101</v>
      </c>
      <c r="I462" s="23" t="s">
        <v>4699</v>
      </c>
      <c r="J462" s="15" t="s">
        <v>603</v>
      </c>
      <c r="K462" s="15" t="s">
        <v>602</v>
      </c>
      <c r="L462" s="15">
        <v>5.560615652E9</v>
      </c>
      <c r="M462" s="15" t="s">
        <v>4700</v>
      </c>
      <c r="N462" s="15" t="s">
        <v>4701</v>
      </c>
      <c r="O462" s="15">
        <v>5.531433125E9</v>
      </c>
      <c r="P462" s="20">
        <v>13.0</v>
      </c>
      <c r="Q462" s="22">
        <v>46026.56737268518</v>
      </c>
      <c r="R462" s="15" t="s">
        <v>107</v>
      </c>
      <c r="S462" s="15" t="s">
        <v>109</v>
      </c>
      <c r="T462" s="15" t="s">
        <v>208</v>
      </c>
      <c r="U462" s="15" t="s">
        <v>601</v>
      </c>
      <c r="V462" s="15" t="s">
        <v>602</v>
      </c>
      <c r="W462" s="15" t="s">
        <v>603</v>
      </c>
      <c r="X462" s="15" t="s">
        <v>120</v>
      </c>
      <c r="Y462" s="18"/>
      <c r="Z462" s="15" t="s">
        <v>120</v>
      </c>
      <c r="AA462" s="18"/>
      <c r="AB462" s="15" t="s">
        <v>120</v>
      </c>
      <c r="AC462" s="15" t="s">
        <v>120</v>
      </c>
      <c r="AD462" s="18"/>
      <c r="AE462" s="15" t="s">
        <v>120</v>
      </c>
      <c r="AF462" s="18"/>
      <c r="AG462" s="15" t="s">
        <v>120</v>
      </c>
      <c r="AH462" s="18"/>
      <c r="AI462" s="15" t="s">
        <v>120</v>
      </c>
      <c r="AJ462" s="18"/>
      <c r="AK462" s="18"/>
      <c r="AL462" s="15" t="s">
        <v>185</v>
      </c>
      <c r="AM462" s="15" t="s">
        <v>124</v>
      </c>
      <c r="AN462" s="15" t="s">
        <v>240</v>
      </c>
      <c r="AO462" s="15" t="s">
        <v>156</v>
      </c>
      <c r="AP462" s="15"/>
    </row>
    <row r="463" ht="22.5" customHeight="1">
      <c r="A463" s="15" t="s">
        <v>4702</v>
      </c>
      <c r="B463" s="15" t="s">
        <v>4703</v>
      </c>
      <c r="C463" s="15" t="s">
        <v>4704</v>
      </c>
      <c r="D463" s="41">
        <v>41063.0</v>
      </c>
      <c r="E463" s="15" t="s">
        <v>98</v>
      </c>
      <c r="F463" s="15">
        <v>7.352103225E9</v>
      </c>
      <c r="G463" s="15" t="s">
        <v>4705</v>
      </c>
      <c r="H463" s="15" t="s">
        <v>140</v>
      </c>
      <c r="I463" s="18"/>
      <c r="J463" s="15" t="s">
        <v>4706</v>
      </c>
      <c r="K463" s="15" t="s">
        <v>4705</v>
      </c>
      <c r="L463" s="15">
        <v>7.352103225E9</v>
      </c>
      <c r="M463" s="18"/>
      <c r="N463" s="18"/>
      <c r="O463" s="18"/>
      <c r="P463" s="20">
        <v>13.0</v>
      </c>
      <c r="Q463" s="22">
        <v>46040.5750462963</v>
      </c>
      <c r="R463" s="15" t="s">
        <v>107</v>
      </c>
      <c r="S463" s="15" t="s">
        <v>109</v>
      </c>
      <c r="T463" s="15" t="s">
        <v>204</v>
      </c>
      <c r="U463" s="15" t="s">
        <v>367</v>
      </c>
      <c r="V463" s="15" t="s">
        <v>368</v>
      </c>
      <c r="W463" s="15" t="s">
        <v>369</v>
      </c>
      <c r="X463" s="15" t="s">
        <v>120</v>
      </c>
      <c r="Y463" s="18"/>
      <c r="Z463" s="15" t="s">
        <v>120</v>
      </c>
      <c r="AA463" s="18"/>
      <c r="AB463" s="15" t="s">
        <v>120</v>
      </c>
      <c r="AC463" s="18"/>
      <c r="AD463" s="18"/>
      <c r="AE463" s="15" t="s">
        <v>120</v>
      </c>
      <c r="AF463" s="18"/>
      <c r="AG463" s="15" t="s">
        <v>120</v>
      </c>
      <c r="AH463" s="18"/>
      <c r="AI463" s="15" t="s">
        <v>120</v>
      </c>
      <c r="AJ463" s="18"/>
      <c r="AK463" s="18"/>
      <c r="AL463" s="15" t="s">
        <v>141</v>
      </c>
      <c r="AM463" s="15" t="s">
        <v>129</v>
      </c>
      <c r="AN463" s="15" t="s">
        <v>138</v>
      </c>
      <c r="AO463" s="15" t="s">
        <v>242</v>
      </c>
      <c r="AP463" s="15"/>
    </row>
    <row r="464" ht="22.5" customHeight="1">
      <c r="A464" s="15" t="s">
        <v>4707</v>
      </c>
      <c r="B464" s="15" t="s">
        <v>4708</v>
      </c>
      <c r="C464" s="15" t="s">
        <v>4709</v>
      </c>
      <c r="D464" s="41">
        <v>40088.0</v>
      </c>
      <c r="E464" s="15" t="s">
        <v>98</v>
      </c>
      <c r="F464" s="15">
        <v>5.574574457E9</v>
      </c>
      <c r="G464" s="15" t="s">
        <v>4710</v>
      </c>
      <c r="H464" s="15" t="s">
        <v>101</v>
      </c>
      <c r="I464" s="18"/>
      <c r="J464" s="15" t="s">
        <v>4711</v>
      </c>
      <c r="K464" s="15" t="s">
        <v>4710</v>
      </c>
      <c r="L464" s="15">
        <v>5.574574457E9</v>
      </c>
      <c r="M464" s="18"/>
      <c r="N464" s="18"/>
      <c r="O464" s="18"/>
      <c r="P464" s="20">
        <v>16.0</v>
      </c>
      <c r="Q464" s="22">
        <v>46036.78939814815</v>
      </c>
      <c r="R464" s="15" t="s">
        <v>107</v>
      </c>
      <c r="S464" s="15" t="s">
        <v>109</v>
      </c>
      <c r="T464" s="15" t="s">
        <v>171</v>
      </c>
      <c r="U464" s="15" t="s">
        <v>2149</v>
      </c>
      <c r="V464" s="15" t="s">
        <v>2141</v>
      </c>
      <c r="W464" s="15" t="s">
        <v>2151</v>
      </c>
      <c r="X464" s="15" t="s">
        <v>120</v>
      </c>
      <c r="Y464" s="18"/>
      <c r="Z464" s="15" t="s">
        <v>120</v>
      </c>
      <c r="AA464" s="18"/>
      <c r="AB464" s="15" t="s">
        <v>120</v>
      </c>
      <c r="AC464" s="15" t="s">
        <v>120</v>
      </c>
      <c r="AD464" s="18"/>
      <c r="AE464" s="15" t="s">
        <v>120</v>
      </c>
      <c r="AF464" s="18"/>
      <c r="AG464" s="15" t="s">
        <v>120</v>
      </c>
      <c r="AH464" s="18"/>
      <c r="AI464" s="15" t="s">
        <v>120</v>
      </c>
      <c r="AJ464" s="18"/>
      <c r="AK464" s="18"/>
      <c r="AL464" s="15" t="s">
        <v>138</v>
      </c>
      <c r="AM464" s="15" t="s">
        <v>185</v>
      </c>
      <c r="AN464" s="15" t="s">
        <v>156</v>
      </c>
      <c r="AO464" s="15" t="s">
        <v>124</v>
      </c>
      <c r="AP464" s="15"/>
    </row>
    <row r="465" ht="22.5" customHeight="1">
      <c r="A465" s="15" t="s">
        <v>4712</v>
      </c>
      <c r="B465" s="15" t="s">
        <v>4713</v>
      </c>
      <c r="C465" s="15" t="s">
        <v>4714</v>
      </c>
      <c r="D465" s="41">
        <v>39804.0</v>
      </c>
      <c r="E465" s="15" t="s">
        <v>177</v>
      </c>
      <c r="F465" s="15">
        <v>5.545379942E9</v>
      </c>
      <c r="G465" s="15" t="s">
        <v>4715</v>
      </c>
      <c r="H465" s="15" t="s">
        <v>101</v>
      </c>
      <c r="I465" s="18"/>
      <c r="J465" s="15" t="s">
        <v>4716</v>
      </c>
      <c r="K465" s="15" t="s">
        <v>4717</v>
      </c>
      <c r="L465" s="15">
        <v>5.523166647E9</v>
      </c>
      <c r="M465" s="15" t="s">
        <v>4718</v>
      </c>
      <c r="N465" s="15" t="s">
        <v>4719</v>
      </c>
      <c r="O465" s="15">
        <v>5.548573196E9</v>
      </c>
      <c r="P465" s="20">
        <v>17.0</v>
      </c>
      <c r="Q465" s="22">
        <v>46033.78391203703</v>
      </c>
      <c r="R465" s="15" t="s">
        <v>107</v>
      </c>
      <c r="S465" s="15" t="s">
        <v>109</v>
      </c>
      <c r="T465" s="15" t="s">
        <v>204</v>
      </c>
      <c r="U465" s="15" t="s">
        <v>311</v>
      </c>
      <c r="V465" s="15" t="s">
        <v>312</v>
      </c>
      <c r="W465" s="15" t="s">
        <v>313</v>
      </c>
      <c r="X465" s="15" t="s">
        <v>120</v>
      </c>
      <c r="Y465" s="18"/>
      <c r="Z465" s="15" t="s">
        <v>120</v>
      </c>
      <c r="AA465" s="18"/>
      <c r="AB465" s="15" t="s">
        <v>120</v>
      </c>
      <c r="AC465" s="18"/>
      <c r="AD465" s="18"/>
      <c r="AE465" s="15" t="s">
        <v>117</v>
      </c>
      <c r="AF465" s="15" t="s">
        <v>1096</v>
      </c>
      <c r="AG465" s="15" t="s">
        <v>120</v>
      </c>
      <c r="AH465" s="18"/>
      <c r="AI465" s="15" t="s">
        <v>120</v>
      </c>
      <c r="AJ465" s="18"/>
      <c r="AK465" s="18"/>
      <c r="AL465" s="15" t="s">
        <v>138</v>
      </c>
      <c r="AM465" s="15" t="s">
        <v>242</v>
      </c>
      <c r="AN465" s="15" t="s">
        <v>156</v>
      </c>
      <c r="AO465" s="15" t="s">
        <v>216</v>
      </c>
      <c r="AP465" s="15"/>
    </row>
    <row r="466" ht="22.5" customHeight="1">
      <c r="A466" s="15" t="s">
        <v>4720</v>
      </c>
      <c r="B466" s="15" t="s">
        <v>4721</v>
      </c>
      <c r="C466" s="15" t="s">
        <v>4722</v>
      </c>
      <c r="D466" s="41">
        <v>40327.0</v>
      </c>
      <c r="E466" s="15" t="s">
        <v>98</v>
      </c>
      <c r="F466" s="18" t="str">
        <f>+52 56 4527 5331</f>
        <v>#ERROR!</v>
      </c>
      <c r="G466" s="15" t="s">
        <v>4723</v>
      </c>
      <c r="H466" s="15" t="s">
        <v>140</v>
      </c>
      <c r="I466" s="18"/>
      <c r="J466" s="15" t="s">
        <v>4724</v>
      </c>
      <c r="K466" s="15" t="s">
        <v>4725</v>
      </c>
      <c r="L466" s="18" t="str">
        <f>+52 56 3471 0928</f>
        <v>#ERROR!</v>
      </c>
      <c r="M466" s="18"/>
      <c r="N466" s="18"/>
      <c r="O466" s="18"/>
      <c r="P466" s="20">
        <v>15.0</v>
      </c>
      <c r="Q466" s="22">
        <v>46040.87525462963</v>
      </c>
      <c r="R466" s="15" t="s">
        <v>107</v>
      </c>
      <c r="S466" s="15" t="s">
        <v>109</v>
      </c>
      <c r="T466" s="15" t="s">
        <v>171</v>
      </c>
      <c r="U466" s="15" t="s">
        <v>388</v>
      </c>
      <c r="V466" s="15" t="s">
        <v>389</v>
      </c>
      <c r="W466" s="15" t="s">
        <v>392</v>
      </c>
      <c r="X466" s="15" t="s">
        <v>120</v>
      </c>
      <c r="Y466" s="18"/>
      <c r="Z466" s="15" t="s">
        <v>120</v>
      </c>
      <c r="AA466" s="18"/>
      <c r="AB466" s="15" t="s">
        <v>120</v>
      </c>
      <c r="AC466" s="15" t="s">
        <v>120</v>
      </c>
      <c r="AD466" s="18"/>
      <c r="AE466" s="15" t="s">
        <v>120</v>
      </c>
      <c r="AF466" s="18"/>
      <c r="AG466" s="15" t="s">
        <v>120</v>
      </c>
      <c r="AH466" s="18"/>
      <c r="AI466" s="15" t="s">
        <v>120</v>
      </c>
      <c r="AJ466" s="18"/>
      <c r="AK466" s="18"/>
      <c r="AL466" s="15" t="s">
        <v>240</v>
      </c>
      <c r="AM466" s="15" t="s">
        <v>129</v>
      </c>
      <c r="AN466" s="15" t="s">
        <v>242</v>
      </c>
      <c r="AO466" s="15" t="s">
        <v>124</v>
      </c>
      <c r="AP466" s="15"/>
    </row>
    <row r="467" ht="22.5" customHeight="1">
      <c r="A467" s="15" t="s">
        <v>4726</v>
      </c>
      <c r="B467" s="15" t="s">
        <v>4727</v>
      </c>
      <c r="C467" s="15" t="s">
        <v>4728</v>
      </c>
      <c r="D467" s="41">
        <v>40430.0</v>
      </c>
      <c r="E467" s="15" t="s">
        <v>177</v>
      </c>
      <c r="F467" s="15" t="s">
        <v>4729</v>
      </c>
      <c r="G467" s="15" t="s">
        <v>4730</v>
      </c>
      <c r="H467" s="15" t="s">
        <v>101</v>
      </c>
      <c r="I467" s="23" t="s">
        <v>2786</v>
      </c>
      <c r="J467" s="15" t="s">
        <v>4731</v>
      </c>
      <c r="K467" s="15" t="s">
        <v>4732</v>
      </c>
      <c r="L467" s="15">
        <v>5.579836461E9</v>
      </c>
      <c r="M467" s="18"/>
      <c r="N467" s="18"/>
      <c r="O467" s="18"/>
      <c r="P467" s="20">
        <v>15.0</v>
      </c>
      <c r="Q467" s="22">
        <v>46035.8233912037</v>
      </c>
      <c r="R467" s="15" t="s">
        <v>107</v>
      </c>
      <c r="S467" s="15" t="s">
        <v>109</v>
      </c>
      <c r="T467" s="15" t="s">
        <v>111</v>
      </c>
      <c r="U467" s="15" t="s">
        <v>657</v>
      </c>
      <c r="V467" s="15" t="s">
        <v>659</v>
      </c>
      <c r="W467" s="15" t="s">
        <v>662</v>
      </c>
      <c r="X467" s="15" t="s">
        <v>120</v>
      </c>
      <c r="Y467" s="15" t="s">
        <v>667</v>
      </c>
      <c r="Z467" s="15" t="s">
        <v>120</v>
      </c>
      <c r="AA467" s="15" t="s">
        <v>667</v>
      </c>
      <c r="AB467" s="15" t="s">
        <v>120</v>
      </c>
      <c r="AC467" s="18"/>
      <c r="AD467" s="15" t="s">
        <v>667</v>
      </c>
      <c r="AE467" s="15" t="s">
        <v>120</v>
      </c>
      <c r="AF467" s="15" t="s">
        <v>667</v>
      </c>
      <c r="AG467" s="15" t="s">
        <v>120</v>
      </c>
      <c r="AH467" s="15" t="s">
        <v>667</v>
      </c>
      <c r="AI467" s="15" t="s">
        <v>120</v>
      </c>
      <c r="AJ467" s="15" t="s">
        <v>667</v>
      </c>
      <c r="AK467" s="15" t="s">
        <v>667</v>
      </c>
      <c r="AL467" s="15" t="s">
        <v>156</v>
      </c>
      <c r="AM467" s="15" t="s">
        <v>126</v>
      </c>
      <c r="AN467" s="15" t="s">
        <v>185</v>
      </c>
      <c r="AO467" s="15" t="s">
        <v>128</v>
      </c>
      <c r="AP467" s="15"/>
    </row>
    <row r="468" ht="22.5" customHeight="1">
      <c r="A468" s="15" t="s">
        <v>4737</v>
      </c>
      <c r="B468" s="15" t="s">
        <v>4738</v>
      </c>
      <c r="C468" s="18"/>
      <c r="D468" s="41">
        <v>41049.0</v>
      </c>
      <c r="E468" s="15" t="s">
        <v>177</v>
      </c>
      <c r="F468" s="15">
        <v>5.578792094E9</v>
      </c>
      <c r="G468" s="15" t="s">
        <v>1600</v>
      </c>
      <c r="H468" s="15" t="s">
        <v>140</v>
      </c>
      <c r="I468" s="23" t="s">
        <v>4739</v>
      </c>
      <c r="J468" s="15" t="s">
        <v>4740</v>
      </c>
      <c r="K468" s="15" t="s">
        <v>1600</v>
      </c>
      <c r="L468" s="15">
        <v>5.560691879E9</v>
      </c>
      <c r="M468" s="18"/>
      <c r="N468" s="18"/>
      <c r="O468" s="18"/>
      <c r="P468" s="20">
        <v>13.0</v>
      </c>
      <c r="Q468" s="22">
        <v>46039.61912037037</v>
      </c>
      <c r="R468" s="15" t="s">
        <v>107</v>
      </c>
      <c r="S468" s="15" t="s">
        <v>109</v>
      </c>
      <c r="T468" s="15" t="s">
        <v>208</v>
      </c>
      <c r="U468" s="15" t="s">
        <v>1599</v>
      </c>
      <c r="V468" s="15" t="s">
        <v>1600</v>
      </c>
      <c r="W468" s="15" t="s">
        <v>1602</v>
      </c>
      <c r="X468" s="15" t="s">
        <v>120</v>
      </c>
      <c r="Y468" s="18"/>
      <c r="Z468" s="15" t="s">
        <v>117</v>
      </c>
      <c r="AA468" s="52" t="s">
        <v>4741</v>
      </c>
      <c r="AB468" s="15" t="s">
        <v>117</v>
      </c>
      <c r="AC468" s="18"/>
      <c r="AD468" s="18"/>
      <c r="AE468" s="15" t="s">
        <v>120</v>
      </c>
      <c r="AF468" s="18"/>
      <c r="AG468" s="15" t="s">
        <v>120</v>
      </c>
      <c r="AH468" s="18"/>
      <c r="AI468" s="15" t="s">
        <v>120</v>
      </c>
      <c r="AJ468" s="18"/>
      <c r="AK468" s="18"/>
      <c r="AL468" s="15" t="s">
        <v>240</v>
      </c>
      <c r="AM468" s="15" t="s">
        <v>129</v>
      </c>
      <c r="AN468" s="15" t="s">
        <v>242</v>
      </c>
      <c r="AO468" s="15" t="s">
        <v>216</v>
      </c>
      <c r="AP468" s="15"/>
    </row>
    <row r="469" ht="22.5" customHeight="1">
      <c r="A469" s="15" t="s">
        <v>4742</v>
      </c>
      <c r="B469" s="15" t="s">
        <v>4743</v>
      </c>
      <c r="C469" s="15" t="s">
        <v>4744</v>
      </c>
      <c r="D469" s="41">
        <v>40564.0</v>
      </c>
      <c r="E469" s="15" t="s">
        <v>177</v>
      </c>
      <c r="F469" s="15">
        <v>5.565122439E9</v>
      </c>
      <c r="G469" s="15" t="s">
        <v>4745</v>
      </c>
      <c r="H469" s="15" t="s">
        <v>101</v>
      </c>
      <c r="I469" s="18"/>
      <c r="J469" s="15" t="s">
        <v>4746</v>
      </c>
      <c r="K469" s="15" t="s">
        <v>4745</v>
      </c>
      <c r="L469" s="15">
        <v>5.565407874E9</v>
      </c>
      <c r="M469" s="18"/>
      <c r="N469" s="18"/>
      <c r="O469" s="18"/>
      <c r="P469" s="20">
        <v>15.0</v>
      </c>
      <c r="Q469" s="22">
        <v>46041.51267361111</v>
      </c>
      <c r="R469" s="15" t="s">
        <v>107</v>
      </c>
      <c r="S469" s="15" t="s">
        <v>109</v>
      </c>
      <c r="T469" s="15" t="s">
        <v>111</v>
      </c>
      <c r="U469" s="15" t="s">
        <v>2283</v>
      </c>
      <c r="V469" s="15" t="s">
        <v>2285</v>
      </c>
      <c r="W469" s="15" t="s">
        <v>2286</v>
      </c>
      <c r="X469" s="15" t="s">
        <v>120</v>
      </c>
      <c r="Y469" s="18"/>
      <c r="Z469" s="15" t="s">
        <v>120</v>
      </c>
      <c r="AA469" s="18"/>
      <c r="AB469" s="15" t="s">
        <v>120</v>
      </c>
      <c r="AC469" s="18"/>
      <c r="AD469" s="18"/>
      <c r="AE469" s="15" t="s">
        <v>120</v>
      </c>
      <c r="AF469" s="18"/>
      <c r="AG469" s="15" t="s">
        <v>120</v>
      </c>
      <c r="AH469" s="18"/>
      <c r="AI469" s="15" t="s">
        <v>120</v>
      </c>
      <c r="AJ469" s="18"/>
      <c r="AK469" s="18"/>
      <c r="AL469" s="15" t="s">
        <v>141</v>
      </c>
      <c r="AM469" s="15" t="s">
        <v>128</v>
      </c>
      <c r="AN469" s="15" t="s">
        <v>156</v>
      </c>
      <c r="AO469" s="15" t="s">
        <v>124</v>
      </c>
      <c r="AP469" s="15"/>
    </row>
    <row r="470" ht="22.5" customHeight="1">
      <c r="A470" s="15" t="s">
        <v>4747</v>
      </c>
      <c r="B470" s="15" t="s">
        <v>4748</v>
      </c>
      <c r="C470" s="15" t="s">
        <v>4749</v>
      </c>
      <c r="D470" s="41">
        <v>39893.0</v>
      </c>
      <c r="E470" s="15" t="s">
        <v>98</v>
      </c>
      <c r="F470" s="15">
        <v>5.551949266E9</v>
      </c>
      <c r="G470" s="15" t="s">
        <v>4750</v>
      </c>
      <c r="H470" s="15" t="s">
        <v>140</v>
      </c>
      <c r="I470" s="23" t="s">
        <v>4751</v>
      </c>
      <c r="J470" s="15" t="s">
        <v>4752</v>
      </c>
      <c r="K470" s="15" t="s">
        <v>4753</v>
      </c>
      <c r="L470" s="15">
        <v>5.538622464E9</v>
      </c>
      <c r="M470" s="15" t="s">
        <v>4754</v>
      </c>
      <c r="N470" s="15" t="s">
        <v>4755</v>
      </c>
      <c r="O470" s="15">
        <v>5.614044598E9</v>
      </c>
      <c r="P470" s="20">
        <v>16.0</v>
      </c>
      <c r="Q470" s="22">
        <v>46026.505266203705</v>
      </c>
      <c r="R470" s="15" t="s">
        <v>107</v>
      </c>
      <c r="S470" s="15" t="s">
        <v>109</v>
      </c>
      <c r="T470" s="15" t="s">
        <v>160</v>
      </c>
      <c r="U470" s="15" t="s">
        <v>1739</v>
      </c>
      <c r="V470" s="15" t="s">
        <v>1740</v>
      </c>
      <c r="W470" s="15" t="s">
        <v>1741</v>
      </c>
      <c r="X470" s="15" t="s">
        <v>120</v>
      </c>
      <c r="Y470" s="18"/>
      <c r="Z470" s="15" t="s">
        <v>120</v>
      </c>
      <c r="AA470" s="18"/>
      <c r="AB470" s="15" t="s">
        <v>120</v>
      </c>
      <c r="AC470" s="18"/>
      <c r="AD470" s="18"/>
      <c r="AE470" s="15" t="s">
        <v>120</v>
      </c>
      <c r="AF470" s="18"/>
      <c r="AG470" s="15" t="s">
        <v>120</v>
      </c>
      <c r="AH470" s="18"/>
      <c r="AI470" s="15" t="s">
        <v>120</v>
      </c>
      <c r="AJ470" s="18"/>
      <c r="AK470" s="18"/>
      <c r="AL470" s="15" t="s">
        <v>126</v>
      </c>
      <c r="AM470" s="15" t="s">
        <v>216</v>
      </c>
      <c r="AN470" s="15" t="s">
        <v>124</v>
      </c>
      <c r="AO470" s="15" t="s">
        <v>185</v>
      </c>
      <c r="AP470" s="15"/>
    </row>
    <row r="471" ht="22.5" customHeight="1">
      <c r="A471" s="15" t="s">
        <v>2227</v>
      </c>
      <c r="B471" s="15" t="s">
        <v>2228</v>
      </c>
      <c r="C471" s="15" t="s">
        <v>2230</v>
      </c>
      <c r="D471" s="41">
        <v>41168.0</v>
      </c>
      <c r="E471" s="15" t="s">
        <v>98</v>
      </c>
      <c r="F471" s="15">
        <v>5.639486685E9</v>
      </c>
      <c r="G471" s="15" t="s">
        <v>2233</v>
      </c>
      <c r="H471" s="15" t="s">
        <v>101</v>
      </c>
      <c r="I471" s="18"/>
      <c r="J471" s="15" t="s">
        <v>2234</v>
      </c>
      <c r="K471" s="15" t="s">
        <v>2235</v>
      </c>
      <c r="L471" s="15">
        <v>5.529476162E9</v>
      </c>
      <c r="M471" s="18"/>
      <c r="N471" s="18"/>
      <c r="O471" s="18"/>
      <c r="P471" s="20">
        <v>13.0</v>
      </c>
      <c r="Q471" s="22">
        <v>46031.51671296296</v>
      </c>
      <c r="R471" s="15" t="s">
        <v>107</v>
      </c>
      <c r="S471" s="15" t="s">
        <v>109</v>
      </c>
      <c r="T471" s="15" t="s">
        <v>171</v>
      </c>
      <c r="U471" s="15" t="s">
        <v>388</v>
      </c>
      <c r="V471" s="15" t="s">
        <v>389</v>
      </c>
      <c r="W471" s="15" t="s">
        <v>392</v>
      </c>
      <c r="X471" s="15" t="s">
        <v>120</v>
      </c>
      <c r="Y471" s="18"/>
      <c r="Z471" s="15" t="s">
        <v>117</v>
      </c>
      <c r="AA471" s="52" t="s">
        <v>2241</v>
      </c>
      <c r="AB471" s="15" t="s">
        <v>117</v>
      </c>
      <c r="AC471" s="15" t="s">
        <v>117</v>
      </c>
      <c r="AD471" s="23" t="s">
        <v>2244</v>
      </c>
      <c r="AE471" s="15" t="s">
        <v>120</v>
      </c>
      <c r="AF471" s="18"/>
      <c r="AG471" s="15" t="s">
        <v>120</v>
      </c>
      <c r="AH471" s="18"/>
      <c r="AI471" s="15" t="s">
        <v>120</v>
      </c>
      <c r="AJ471" s="18"/>
      <c r="AK471" s="18"/>
      <c r="AL471" s="15" t="s">
        <v>128</v>
      </c>
      <c r="AM471" s="15" t="s">
        <v>138</v>
      </c>
      <c r="AN471" s="15" t="s">
        <v>242</v>
      </c>
      <c r="AO471" s="15" t="s">
        <v>124</v>
      </c>
      <c r="AP471" s="15"/>
    </row>
    <row r="472" ht="22.5" customHeight="1">
      <c r="A472" s="15" t="s">
        <v>2252</v>
      </c>
      <c r="B472" s="15" t="s">
        <v>2253</v>
      </c>
      <c r="C472" s="15" t="s">
        <v>2254</v>
      </c>
      <c r="D472" s="41">
        <v>39738.0</v>
      </c>
      <c r="E472" s="15" t="s">
        <v>177</v>
      </c>
      <c r="F472" s="15">
        <v>5.568020883E9</v>
      </c>
      <c r="G472" s="15" t="s">
        <v>2256</v>
      </c>
      <c r="H472" s="15" t="s">
        <v>150</v>
      </c>
      <c r="I472" s="18"/>
      <c r="J472" s="15" t="s">
        <v>2258</v>
      </c>
      <c r="K472" s="15" t="s">
        <v>2259</v>
      </c>
      <c r="L472" s="15">
        <v>5.516457551E9</v>
      </c>
      <c r="M472" s="15" t="s">
        <v>2261</v>
      </c>
      <c r="N472" s="15" t="s">
        <v>2262</v>
      </c>
      <c r="O472" s="15">
        <v>5.52686809E9</v>
      </c>
      <c r="P472" s="20">
        <v>17.0</v>
      </c>
      <c r="Q472" s="22">
        <v>46019.78790509259</v>
      </c>
      <c r="R472" s="15" t="s">
        <v>107</v>
      </c>
      <c r="S472" s="15" t="s">
        <v>109</v>
      </c>
      <c r="T472" s="15" t="s">
        <v>171</v>
      </c>
      <c r="U472" s="15" t="s">
        <v>388</v>
      </c>
      <c r="V472" s="15" t="s">
        <v>389</v>
      </c>
      <c r="W472" s="15" t="s">
        <v>392</v>
      </c>
      <c r="X472" s="15" t="s">
        <v>120</v>
      </c>
      <c r="Y472" s="18"/>
      <c r="Z472" s="15" t="s">
        <v>117</v>
      </c>
      <c r="AA472" s="52" t="s">
        <v>2270</v>
      </c>
      <c r="AB472" s="15" t="s">
        <v>117</v>
      </c>
      <c r="AC472" s="15" t="s">
        <v>117</v>
      </c>
      <c r="AD472" s="27" t="s">
        <v>2273</v>
      </c>
      <c r="AE472" s="15" t="s">
        <v>120</v>
      </c>
      <c r="AF472" s="18"/>
      <c r="AG472" s="15" t="s">
        <v>120</v>
      </c>
      <c r="AH472" s="18"/>
      <c r="AI472" s="15" t="s">
        <v>120</v>
      </c>
      <c r="AJ472" s="18"/>
      <c r="AK472" s="18"/>
      <c r="AL472" s="15" t="s">
        <v>126</v>
      </c>
      <c r="AM472" s="15" t="s">
        <v>185</v>
      </c>
      <c r="AN472" s="15" t="s">
        <v>242</v>
      </c>
      <c r="AO472" s="15" t="s">
        <v>124</v>
      </c>
      <c r="AP472" s="15"/>
    </row>
    <row r="473" ht="22.5" customHeight="1">
      <c r="A473" s="15" t="s">
        <v>4756</v>
      </c>
      <c r="B473" s="15" t="s">
        <v>1647</v>
      </c>
      <c r="C473" s="15" t="s">
        <v>4757</v>
      </c>
      <c r="D473" s="41">
        <v>39921.0</v>
      </c>
      <c r="E473" s="15" t="s">
        <v>98</v>
      </c>
      <c r="F473" s="15">
        <v>5.534099551E9</v>
      </c>
      <c r="G473" s="15" t="s">
        <v>4758</v>
      </c>
      <c r="H473" s="15" t="s">
        <v>140</v>
      </c>
      <c r="I473" s="18"/>
      <c r="J473" s="15" t="s">
        <v>1657</v>
      </c>
      <c r="K473" s="15" t="s">
        <v>1658</v>
      </c>
      <c r="L473" s="18" t="str">
        <f>+52 55 7335 6104</f>
        <v>#ERROR!</v>
      </c>
      <c r="M473" s="15" t="s">
        <v>1661</v>
      </c>
      <c r="N473" s="15" t="s">
        <v>1662</v>
      </c>
      <c r="O473" s="18" t="str">
        <f>+52 55 5159 0965</f>
        <v>#ERROR!</v>
      </c>
      <c r="P473" s="20">
        <v>16.0</v>
      </c>
      <c r="Q473" s="22">
        <v>46040.79828703704</v>
      </c>
      <c r="R473" s="15" t="s">
        <v>107</v>
      </c>
      <c r="S473" s="15" t="s">
        <v>109</v>
      </c>
      <c r="T473" s="15" t="s">
        <v>208</v>
      </c>
      <c r="U473" s="15" t="s">
        <v>478</v>
      </c>
      <c r="V473" s="15" t="s">
        <v>480</v>
      </c>
      <c r="W473" s="15" t="s">
        <v>481</v>
      </c>
      <c r="X473" s="15" t="s">
        <v>120</v>
      </c>
      <c r="Y473" s="18"/>
      <c r="Z473" s="15" t="s">
        <v>120</v>
      </c>
      <c r="AA473" s="18"/>
      <c r="AB473" s="15" t="s">
        <v>120</v>
      </c>
      <c r="AC473" s="18"/>
      <c r="AD473" s="18"/>
      <c r="AE473" s="15" t="s">
        <v>120</v>
      </c>
      <c r="AF473" s="18"/>
      <c r="AG473" s="15" t="s">
        <v>120</v>
      </c>
      <c r="AH473" s="18"/>
      <c r="AI473" s="15" t="s">
        <v>120</v>
      </c>
      <c r="AJ473" s="18"/>
      <c r="AK473" s="18"/>
      <c r="AL473" s="15" t="s">
        <v>156</v>
      </c>
      <c r="AM473" s="15" t="s">
        <v>129</v>
      </c>
      <c r="AN473" s="15" t="s">
        <v>242</v>
      </c>
      <c r="AO473" s="15" t="s">
        <v>128</v>
      </c>
      <c r="AP473" s="15"/>
    </row>
    <row r="474" ht="22.5" customHeight="1">
      <c r="A474" s="15" t="s">
        <v>2186</v>
      </c>
      <c r="B474" s="15" t="s">
        <v>2187</v>
      </c>
      <c r="C474" s="15" t="s">
        <v>2189</v>
      </c>
      <c r="D474" s="41">
        <v>41070.0</v>
      </c>
      <c r="E474" s="15" t="s">
        <v>177</v>
      </c>
      <c r="F474" s="15">
        <v>5.635977827E9</v>
      </c>
      <c r="G474" s="15" t="s">
        <v>2192</v>
      </c>
      <c r="H474" s="15" t="s">
        <v>150</v>
      </c>
      <c r="I474" s="23" t="s">
        <v>2196</v>
      </c>
      <c r="J474" s="15" t="s">
        <v>2197</v>
      </c>
      <c r="K474" s="15" t="s">
        <v>2192</v>
      </c>
      <c r="L474" s="15">
        <v>5.635977827E9</v>
      </c>
      <c r="M474" s="18"/>
      <c r="N474" s="18"/>
      <c r="O474" s="18"/>
      <c r="P474" s="20">
        <v>13.0</v>
      </c>
      <c r="Q474" s="22">
        <v>46028.608078703706</v>
      </c>
      <c r="R474" s="15" t="s">
        <v>107</v>
      </c>
      <c r="S474" s="15" t="s">
        <v>109</v>
      </c>
      <c r="T474" s="15" t="s">
        <v>160</v>
      </c>
      <c r="U474" s="15" t="s">
        <v>308</v>
      </c>
      <c r="V474" s="15" t="s">
        <v>309</v>
      </c>
      <c r="W474" s="15" t="s">
        <v>310</v>
      </c>
      <c r="X474" s="15" t="s">
        <v>120</v>
      </c>
      <c r="Y474" s="18"/>
      <c r="Z474" s="15" t="s">
        <v>117</v>
      </c>
      <c r="AA474" s="52" t="s">
        <v>2209</v>
      </c>
      <c r="AB474" s="15" t="s">
        <v>120</v>
      </c>
      <c r="AC474" s="18"/>
      <c r="AD474" s="18"/>
      <c r="AE474" s="15" t="s">
        <v>117</v>
      </c>
      <c r="AF474" s="15" t="s">
        <v>2210</v>
      </c>
      <c r="AG474" s="15" t="s">
        <v>117</v>
      </c>
      <c r="AH474" s="15" t="s">
        <v>2213</v>
      </c>
      <c r="AI474" s="15" t="s">
        <v>117</v>
      </c>
      <c r="AJ474" s="15" t="s">
        <v>2215</v>
      </c>
      <c r="AK474" s="18"/>
      <c r="AL474" s="15" t="s">
        <v>126</v>
      </c>
      <c r="AM474" s="15" t="s">
        <v>156</v>
      </c>
      <c r="AN474" s="15" t="s">
        <v>216</v>
      </c>
      <c r="AO474" s="15" t="s">
        <v>185</v>
      </c>
      <c r="AP474" s="15"/>
    </row>
    <row r="475" ht="22.5" customHeight="1">
      <c r="A475" s="15" t="s">
        <v>4759</v>
      </c>
      <c r="B475" s="15" t="s">
        <v>4760</v>
      </c>
      <c r="C475" s="15" t="s">
        <v>4761</v>
      </c>
      <c r="D475" s="41">
        <v>40444.0</v>
      </c>
      <c r="E475" s="15" t="s">
        <v>98</v>
      </c>
      <c r="F475" s="15">
        <v>7.352103225E9</v>
      </c>
      <c r="G475" s="15" t="s">
        <v>4762</v>
      </c>
      <c r="H475" s="15" t="s">
        <v>140</v>
      </c>
      <c r="I475" s="18"/>
      <c r="J475" s="15" t="s">
        <v>4763</v>
      </c>
      <c r="K475" s="15" t="s">
        <v>4705</v>
      </c>
      <c r="L475" s="15">
        <v>7.352103225E9</v>
      </c>
      <c r="M475" s="18"/>
      <c r="N475" s="18"/>
      <c r="O475" s="18"/>
      <c r="P475" s="20">
        <v>15.0</v>
      </c>
      <c r="Q475" s="22">
        <v>46040.58005787037</v>
      </c>
      <c r="R475" s="15" t="s">
        <v>107</v>
      </c>
      <c r="S475" s="15" t="s">
        <v>109</v>
      </c>
      <c r="T475" s="15" t="s">
        <v>204</v>
      </c>
      <c r="U475" s="15" t="s">
        <v>367</v>
      </c>
      <c r="V475" s="15" t="s">
        <v>368</v>
      </c>
      <c r="W475" s="15" t="s">
        <v>369</v>
      </c>
      <c r="X475" s="15" t="s">
        <v>120</v>
      </c>
      <c r="Y475" s="18"/>
      <c r="Z475" s="15" t="s">
        <v>120</v>
      </c>
      <c r="AA475" s="18"/>
      <c r="AB475" s="15" t="s">
        <v>120</v>
      </c>
      <c r="AC475" s="18"/>
      <c r="AD475" s="18"/>
      <c r="AE475" s="15" t="s">
        <v>120</v>
      </c>
      <c r="AF475" s="18"/>
      <c r="AG475" s="15" t="s">
        <v>120</v>
      </c>
      <c r="AH475" s="18"/>
      <c r="AI475" s="15" t="s">
        <v>120</v>
      </c>
      <c r="AJ475" s="18"/>
      <c r="AK475" s="18"/>
      <c r="AL475" s="15" t="s">
        <v>141</v>
      </c>
      <c r="AM475" s="15" t="s">
        <v>124</v>
      </c>
      <c r="AN475" s="15" t="s">
        <v>128</v>
      </c>
      <c r="AO475" s="15" t="s">
        <v>138</v>
      </c>
      <c r="AP475" s="15"/>
    </row>
    <row r="476" ht="22.5" customHeight="1">
      <c r="A476" s="15" t="s">
        <v>1857</v>
      </c>
      <c r="B476" s="15" t="s">
        <v>4766</v>
      </c>
      <c r="C476" s="15" t="s">
        <v>4767</v>
      </c>
      <c r="D476" s="41">
        <v>40379.0</v>
      </c>
      <c r="E476" s="15" t="s">
        <v>177</v>
      </c>
      <c r="F476" s="15" t="s">
        <v>4768</v>
      </c>
      <c r="G476" s="15" t="s">
        <v>2698</v>
      </c>
      <c r="H476" s="15" t="s">
        <v>140</v>
      </c>
      <c r="I476" s="18"/>
      <c r="J476" s="15" t="s">
        <v>2697</v>
      </c>
      <c r="K476" s="15" t="s">
        <v>2698</v>
      </c>
      <c r="L476" s="15">
        <v>5.633435445E9</v>
      </c>
      <c r="M476" s="18"/>
      <c r="N476" s="18"/>
      <c r="O476" s="18"/>
      <c r="P476" s="20">
        <v>15.0</v>
      </c>
      <c r="Q476" s="22">
        <v>46018.523993055554</v>
      </c>
      <c r="R476" s="15" t="s">
        <v>107</v>
      </c>
      <c r="S476" s="15" t="s">
        <v>109</v>
      </c>
      <c r="T476" s="15" t="s">
        <v>204</v>
      </c>
      <c r="U476" s="15" t="s">
        <v>295</v>
      </c>
      <c r="V476" s="15" t="s">
        <v>298</v>
      </c>
      <c r="W476" s="15" t="s">
        <v>299</v>
      </c>
      <c r="X476" s="15" t="s">
        <v>120</v>
      </c>
      <c r="Y476" s="18"/>
      <c r="Z476" s="15" t="s">
        <v>117</v>
      </c>
      <c r="AA476" s="58" t="s">
        <v>334</v>
      </c>
      <c r="AB476" s="15" t="s">
        <v>120</v>
      </c>
      <c r="AC476" s="18"/>
      <c r="AD476" s="18"/>
      <c r="AE476" s="15" t="s">
        <v>120</v>
      </c>
      <c r="AF476" s="18"/>
      <c r="AG476" s="15" t="s">
        <v>120</v>
      </c>
      <c r="AH476" s="18"/>
      <c r="AI476" s="15" t="s">
        <v>120</v>
      </c>
      <c r="AJ476" s="18"/>
      <c r="AK476" s="15" t="s">
        <v>135</v>
      </c>
      <c r="AL476" s="15" t="s">
        <v>141</v>
      </c>
      <c r="AM476" s="15" t="s">
        <v>242</v>
      </c>
      <c r="AN476" s="15" t="s">
        <v>240</v>
      </c>
      <c r="AO476" s="15" t="s">
        <v>216</v>
      </c>
      <c r="AP476" s="15"/>
    </row>
    <row r="477" ht="22.5" customHeight="1">
      <c r="A477" s="15" t="s">
        <v>2219</v>
      </c>
      <c r="B477" s="15" t="s">
        <v>2220</v>
      </c>
      <c r="C477" s="15" t="s">
        <v>2223</v>
      </c>
      <c r="D477" s="41">
        <v>40894.0</v>
      </c>
      <c r="E477" s="15" t="s">
        <v>177</v>
      </c>
      <c r="F477" s="18">
        <f>+56927670769</f>
        <v>56927670769</v>
      </c>
      <c r="G477" s="15" t="s">
        <v>2226</v>
      </c>
      <c r="H477" s="15" t="s">
        <v>101</v>
      </c>
      <c r="I477" s="18"/>
      <c r="J477" s="15" t="s">
        <v>2229</v>
      </c>
      <c r="K477" s="15" t="s">
        <v>2232</v>
      </c>
      <c r="L477" s="15">
        <v>5.534621137E9</v>
      </c>
      <c r="M477" s="18"/>
      <c r="N477" s="18"/>
      <c r="O477" s="18"/>
      <c r="P477" s="20">
        <v>14.0</v>
      </c>
      <c r="Q477" s="22">
        <v>46021.58766203704</v>
      </c>
      <c r="R477" s="15" t="s">
        <v>107</v>
      </c>
      <c r="S477" s="15" t="s">
        <v>109</v>
      </c>
      <c r="T477" s="15" t="s">
        <v>204</v>
      </c>
      <c r="U477" s="15" t="s">
        <v>205</v>
      </c>
      <c r="V477" s="15" t="s">
        <v>206</v>
      </c>
      <c r="W477" s="15" t="s">
        <v>207</v>
      </c>
      <c r="X477" s="15" t="s">
        <v>120</v>
      </c>
      <c r="Y477" s="18"/>
      <c r="Z477" s="15" t="s">
        <v>120</v>
      </c>
      <c r="AA477" s="18"/>
      <c r="AB477" s="15" t="s">
        <v>120</v>
      </c>
      <c r="AC477" s="18"/>
      <c r="AD477" s="18"/>
      <c r="AE477" s="15" t="s">
        <v>120</v>
      </c>
      <c r="AF477" s="18"/>
      <c r="AG477" s="15" t="s">
        <v>120</v>
      </c>
      <c r="AH477" s="18"/>
      <c r="AI477" s="15" t="s">
        <v>117</v>
      </c>
      <c r="AJ477" s="15" t="s">
        <v>2243</v>
      </c>
      <c r="AK477" s="18"/>
      <c r="AL477" s="15" t="s">
        <v>126</v>
      </c>
      <c r="AM477" s="15" t="s">
        <v>138</v>
      </c>
      <c r="AN477" s="15" t="s">
        <v>242</v>
      </c>
      <c r="AO477" s="15" t="s">
        <v>185</v>
      </c>
      <c r="AP477" s="15"/>
    </row>
    <row r="478" ht="22.5" customHeight="1">
      <c r="A478" s="15" t="s">
        <v>4769</v>
      </c>
      <c r="B478" s="15" t="s">
        <v>4770</v>
      </c>
      <c r="C478" s="15" t="s">
        <v>4771</v>
      </c>
      <c r="D478" s="41">
        <v>40134.0</v>
      </c>
      <c r="E478" s="15" t="s">
        <v>98</v>
      </c>
      <c r="F478" s="15">
        <v>5.591700501E9</v>
      </c>
      <c r="G478" s="15" t="s">
        <v>4772</v>
      </c>
      <c r="H478" s="15" t="s">
        <v>140</v>
      </c>
      <c r="I478" s="18"/>
      <c r="J478" s="15" t="s">
        <v>4773</v>
      </c>
      <c r="K478" s="15" t="s">
        <v>4774</v>
      </c>
      <c r="L478" s="15">
        <v>2.202778129E9</v>
      </c>
      <c r="M478" s="18"/>
      <c r="N478" s="18"/>
      <c r="O478" s="18"/>
      <c r="P478" s="20">
        <v>16.0</v>
      </c>
      <c r="Q478" s="22">
        <v>46046.81524305556</v>
      </c>
      <c r="R478" s="15" t="s">
        <v>260</v>
      </c>
      <c r="S478" s="15" t="s">
        <v>109</v>
      </c>
      <c r="T478" s="15" t="s">
        <v>160</v>
      </c>
      <c r="U478" s="15" t="s">
        <v>308</v>
      </c>
      <c r="V478" s="15" t="s">
        <v>309</v>
      </c>
      <c r="W478" s="15" t="s">
        <v>310</v>
      </c>
      <c r="X478" s="15" t="s">
        <v>120</v>
      </c>
      <c r="Y478" s="18"/>
      <c r="Z478" s="15" t="s">
        <v>120</v>
      </c>
      <c r="AA478" s="18"/>
      <c r="AB478" s="15" t="s">
        <v>120</v>
      </c>
      <c r="AC478" s="15" t="s">
        <v>120</v>
      </c>
      <c r="AD478" s="18"/>
      <c r="AE478" s="15" t="s">
        <v>120</v>
      </c>
      <c r="AF478" s="18"/>
      <c r="AG478" s="15" t="s">
        <v>120</v>
      </c>
      <c r="AH478" s="18"/>
      <c r="AI478" s="15" t="s">
        <v>120</v>
      </c>
      <c r="AJ478" s="18"/>
      <c r="AK478" s="18"/>
      <c r="AL478" s="15" t="s">
        <v>242</v>
      </c>
      <c r="AM478" s="15" t="s">
        <v>129</v>
      </c>
      <c r="AN478" s="15" t="s">
        <v>128</v>
      </c>
      <c r="AO478" s="15" t="s">
        <v>156</v>
      </c>
      <c r="AP478" s="15"/>
    </row>
    <row r="479" ht="22.5" customHeight="1">
      <c r="A479" s="15" t="s">
        <v>4009</v>
      </c>
      <c r="B479" s="15" t="s">
        <v>4775</v>
      </c>
      <c r="C479" s="18"/>
      <c r="D479" s="41">
        <v>41250.0</v>
      </c>
      <c r="E479" s="15" t="s">
        <v>98</v>
      </c>
      <c r="F479" s="15">
        <v>5.512226705E9</v>
      </c>
      <c r="G479" s="15" t="s">
        <v>4776</v>
      </c>
      <c r="H479" s="15" t="s">
        <v>101</v>
      </c>
      <c r="I479" s="18"/>
      <c r="J479" s="15" t="s">
        <v>1268</v>
      </c>
      <c r="K479" s="15" t="s">
        <v>4777</v>
      </c>
      <c r="L479" s="15">
        <v>5.510258319E9</v>
      </c>
      <c r="M479" s="18"/>
      <c r="N479" s="18"/>
      <c r="O479" s="18"/>
      <c r="P479" s="20">
        <v>13.0</v>
      </c>
      <c r="Q479" s="22">
        <v>46033.50733796296</v>
      </c>
      <c r="R479" s="15" t="s">
        <v>107</v>
      </c>
      <c r="S479" s="15" t="s">
        <v>109</v>
      </c>
      <c r="T479" s="15" t="s">
        <v>160</v>
      </c>
      <c r="U479" s="15" t="s">
        <v>308</v>
      </c>
      <c r="V479" s="15" t="s">
        <v>309</v>
      </c>
      <c r="W479" s="15" t="s">
        <v>310</v>
      </c>
      <c r="X479" s="15" t="s">
        <v>120</v>
      </c>
      <c r="Y479" s="18"/>
      <c r="Z479" s="15" t="s">
        <v>120</v>
      </c>
      <c r="AA479" s="18"/>
      <c r="AB479" s="15" t="s">
        <v>120</v>
      </c>
      <c r="AC479" s="18"/>
      <c r="AD479" s="18"/>
      <c r="AE479" s="15" t="s">
        <v>120</v>
      </c>
      <c r="AF479" s="18"/>
      <c r="AG479" s="15" t="s">
        <v>120</v>
      </c>
      <c r="AH479" s="18"/>
      <c r="AI479" s="15" t="s">
        <v>120</v>
      </c>
      <c r="AJ479" s="18"/>
      <c r="AK479" s="18"/>
      <c r="AL479" s="15" t="s">
        <v>185</v>
      </c>
      <c r="AM479" s="15" t="s">
        <v>124</v>
      </c>
      <c r="AN479" s="15" t="s">
        <v>216</v>
      </c>
      <c r="AO479" s="15" t="s">
        <v>242</v>
      </c>
      <c r="AP479" s="15"/>
    </row>
    <row r="480" ht="22.5" customHeight="1">
      <c r="A480" s="15" t="s">
        <v>2843</v>
      </c>
      <c r="B480" s="15" t="s">
        <v>4088</v>
      </c>
      <c r="C480" s="15" t="s">
        <v>4778</v>
      </c>
      <c r="D480" s="41">
        <v>39450.0</v>
      </c>
      <c r="E480" s="15" t="s">
        <v>98</v>
      </c>
      <c r="F480" s="15">
        <v>5.533444968E9</v>
      </c>
      <c r="G480" s="15" t="s">
        <v>4779</v>
      </c>
      <c r="H480" s="15" t="s">
        <v>101</v>
      </c>
      <c r="I480" s="23" t="s">
        <v>135</v>
      </c>
      <c r="J480" s="15" t="s">
        <v>4091</v>
      </c>
      <c r="K480" s="15" t="s">
        <v>4092</v>
      </c>
      <c r="L480" s="15">
        <v>5.585591381E9</v>
      </c>
      <c r="M480" s="18"/>
      <c r="N480" s="18"/>
      <c r="O480" s="18"/>
      <c r="P480" s="20">
        <v>18.0</v>
      </c>
      <c r="Q480" s="22">
        <v>46033.794224537036</v>
      </c>
      <c r="R480" s="15" t="s">
        <v>107</v>
      </c>
      <c r="S480" s="15" t="s">
        <v>109</v>
      </c>
      <c r="T480" s="15" t="s">
        <v>160</v>
      </c>
      <c r="U480" s="15" t="s">
        <v>279</v>
      </c>
      <c r="V480" s="15" t="s">
        <v>280</v>
      </c>
      <c r="W480" s="15" t="s">
        <v>282</v>
      </c>
      <c r="X480" s="15" t="s">
        <v>120</v>
      </c>
      <c r="Y480" s="18"/>
      <c r="Z480" s="15" t="s">
        <v>120</v>
      </c>
      <c r="AA480" s="18"/>
      <c r="AB480" s="15" t="s">
        <v>120</v>
      </c>
      <c r="AC480" s="15" t="s">
        <v>120</v>
      </c>
      <c r="AD480" s="18"/>
      <c r="AE480" s="15" t="s">
        <v>120</v>
      </c>
      <c r="AF480" s="18"/>
      <c r="AG480" s="15" t="s">
        <v>120</v>
      </c>
      <c r="AH480" s="18"/>
      <c r="AI480" s="15" t="s">
        <v>120</v>
      </c>
      <c r="AJ480" s="18"/>
      <c r="AK480" s="18"/>
      <c r="AL480" s="15" t="s">
        <v>240</v>
      </c>
      <c r="AM480" s="15" t="s">
        <v>156</v>
      </c>
      <c r="AN480" s="15" t="s">
        <v>129</v>
      </c>
      <c r="AO480" s="15" t="s">
        <v>141</v>
      </c>
      <c r="AP480" s="15"/>
    </row>
    <row r="481" ht="22.5" customHeight="1">
      <c r="A481" s="15" t="s">
        <v>2245</v>
      </c>
      <c r="B481" s="15" t="s">
        <v>2246</v>
      </c>
      <c r="C481" s="18"/>
      <c r="D481" s="41">
        <v>41171.0</v>
      </c>
      <c r="E481" s="15" t="s">
        <v>98</v>
      </c>
      <c r="F481" s="15">
        <v>5.610050539E9</v>
      </c>
      <c r="G481" s="15" t="s">
        <v>2250</v>
      </c>
      <c r="H481" s="15" t="s">
        <v>140</v>
      </c>
      <c r="I481" s="18"/>
      <c r="J481" s="15" t="s">
        <v>2255</v>
      </c>
      <c r="K481" s="15" t="s">
        <v>2250</v>
      </c>
      <c r="L481" s="15">
        <v>5.610050539E9</v>
      </c>
      <c r="M481" s="18"/>
      <c r="N481" s="18"/>
      <c r="O481" s="18"/>
      <c r="P481" s="20">
        <v>13.0</v>
      </c>
      <c r="Q481" s="22">
        <v>46039.911527777775</v>
      </c>
      <c r="R481" s="15" t="s">
        <v>107</v>
      </c>
      <c r="S481" s="15" t="s">
        <v>109</v>
      </c>
      <c r="T481" s="15" t="s">
        <v>208</v>
      </c>
      <c r="U481" s="15" t="s">
        <v>1599</v>
      </c>
      <c r="V481" s="15" t="s">
        <v>1600</v>
      </c>
      <c r="W481" s="15" t="s">
        <v>1602</v>
      </c>
      <c r="X481" s="15" t="s">
        <v>120</v>
      </c>
      <c r="Y481" s="18"/>
      <c r="Z481" s="15" t="s">
        <v>120</v>
      </c>
      <c r="AA481" s="18"/>
      <c r="AB481" s="15" t="s">
        <v>120</v>
      </c>
      <c r="AC481" s="18"/>
      <c r="AD481" s="18"/>
      <c r="AE481" s="15" t="s">
        <v>120</v>
      </c>
      <c r="AF481" s="18"/>
      <c r="AG481" s="15" t="s">
        <v>120</v>
      </c>
      <c r="AH481" s="18"/>
      <c r="AI481" s="15" t="s">
        <v>117</v>
      </c>
      <c r="AJ481" s="15" t="s">
        <v>2269</v>
      </c>
      <c r="AK481" s="18"/>
      <c r="AL481" s="15" t="s">
        <v>129</v>
      </c>
      <c r="AM481" s="15" t="s">
        <v>126</v>
      </c>
      <c r="AN481" s="15" t="s">
        <v>242</v>
      </c>
      <c r="AO481" s="15" t="s">
        <v>156</v>
      </c>
      <c r="AP481" s="15"/>
    </row>
    <row r="482" ht="22.5" customHeight="1">
      <c r="A482" s="15" t="s">
        <v>4780</v>
      </c>
      <c r="B482" s="15" t="s">
        <v>4781</v>
      </c>
      <c r="C482" s="15" t="s">
        <v>4782</v>
      </c>
      <c r="D482" s="41">
        <v>40279.0</v>
      </c>
      <c r="E482" s="15" t="s">
        <v>98</v>
      </c>
      <c r="F482" s="15">
        <v>5.516251047E9</v>
      </c>
      <c r="G482" s="15" t="s">
        <v>4783</v>
      </c>
      <c r="H482" s="15" t="s">
        <v>101</v>
      </c>
      <c r="I482" s="18"/>
      <c r="J482" s="15" t="s">
        <v>4784</v>
      </c>
      <c r="K482" s="15" t="s">
        <v>167</v>
      </c>
      <c r="L482" s="15">
        <v>5.574333629E9</v>
      </c>
      <c r="M482" s="18"/>
      <c r="N482" s="18"/>
      <c r="O482" s="18"/>
      <c r="P482" s="20">
        <v>15.0</v>
      </c>
      <c r="Q482" s="22">
        <v>46033.70255787037</v>
      </c>
      <c r="R482" s="15" t="s">
        <v>107</v>
      </c>
      <c r="S482" s="15" t="s">
        <v>109</v>
      </c>
      <c r="T482" s="15" t="s">
        <v>171</v>
      </c>
      <c r="U482" s="15" t="s">
        <v>173</v>
      </c>
      <c r="V482" s="15" t="s">
        <v>167</v>
      </c>
      <c r="W482" s="15" t="s">
        <v>175</v>
      </c>
      <c r="X482" s="15" t="s">
        <v>120</v>
      </c>
      <c r="Y482" s="18"/>
      <c r="Z482" s="15" t="s">
        <v>120</v>
      </c>
      <c r="AA482" s="18"/>
      <c r="AB482" s="15" t="s">
        <v>120</v>
      </c>
      <c r="AC482" s="15" t="s">
        <v>120</v>
      </c>
      <c r="AD482" s="18"/>
      <c r="AE482" s="15" t="s">
        <v>120</v>
      </c>
      <c r="AF482" s="18"/>
      <c r="AG482" s="15" t="s">
        <v>120</v>
      </c>
      <c r="AH482" s="18"/>
      <c r="AI482" s="15" t="s">
        <v>120</v>
      </c>
      <c r="AJ482" s="18"/>
      <c r="AK482" s="18"/>
      <c r="AL482" s="15" t="s">
        <v>129</v>
      </c>
      <c r="AM482" s="15" t="s">
        <v>156</v>
      </c>
      <c r="AN482" s="15" t="s">
        <v>124</v>
      </c>
      <c r="AO482" s="15" t="s">
        <v>138</v>
      </c>
      <c r="AP482" s="15"/>
    </row>
    <row r="483" ht="22.5" customHeight="1">
      <c r="A483" s="15" t="s">
        <v>4785</v>
      </c>
      <c r="B483" s="15" t="s">
        <v>852</v>
      </c>
      <c r="C483" s="15" t="s">
        <v>4786</v>
      </c>
      <c r="D483" s="41">
        <v>40118.0</v>
      </c>
      <c r="E483" s="15" t="s">
        <v>98</v>
      </c>
      <c r="F483" s="15">
        <v>5.631684258E9</v>
      </c>
      <c r="G483" s="15" t="s">
        <v>4787</v>
      </c>
      <c r="H483" s="15" t="s">
        <v>140</v>
      </c>
      <c r="I483" s="18"/>
      <c r="J483" s="15" t="s">
        <v>857</v>
      </c>
      <c r="K483" s="15" t="s">
        <v>858</v>
      </c>
      <c r="L483" s="15">
        <v>5.514041685E9</v>
      </c>
      <c r="M483" s="15" t="s">
        <v>859</v>
      </c>
      <c r="N483" s="15" t="s">
        <v>860</v>
      </c>
      <c r="O483" s="15">
        <v>5.564816934E9</v>
      </c>
      <c r="P483" s="20">
        <v>16.0</v>
      </c>
      <c r="Q483" s="22">
        <v>46032.9284375</v>
      </c>
      <c r="R483" s="15" t="s">
        <v>107</v>
      </c>
      <c r="S483" s="15" t="s">
        <v>109</v>
      </c>
      <c r="T483" s="15" t="s">
        <v>127</v>
      </c>
      <c r="U483" s="15" t="s">
        <v>234</v>
      </c>
      <c r="V483" s="15" t="s">
        <v>227</v>
      </c>
      <c r="W483" s="15" t="s">
        <v>236</v>
      </c>
      <c r="X483" s="15" t="s">
        <v>120</v>
      </c>
      <c r="Y483" s="18"/>
      <c r="Z483" s="15" t="s">
        <v>120</v>
      </c>
      <c r="AA483" s="18"/>
      <c r="AB483" s="15" t="s">
        <v>120</v>
      </c>
      <c r="AC483" s="18"/>
      <c r="AD483" s="18"/>
      <c r="AE483" s="15" t="s">
        <v>120</v>
      </c>
      <c r="AF483" s="18"/>
      <c r="AG483" s="15" t="s">
        <v>120</v>
      </c>
      <c r="AH483" s="18"/>
      <c r="AI483" s="15" t="s">
        <v>120</v>
      </c>
      <c r="AJ483" s="18"/>
      <c r="AK483" s="18"/>
      <c r="AL483" s="15" t="s">
        <v>242</v>
      </c>
      <c r="AM483" s="15" t="s">
        <v>216</v>
      </c>
      <c r="AN483" s="15" t="s">
        <v>185</v>
      </c>
      <c r="AO483" s="15" t="s">
        <v>126</v>
      </c>
      <c r="AP483" s="15"/>
    </row>
    <row r="484" ht="22.5" customHeight="1">
      <c r="A484" s="15" t="s">
        <v>4788</v>
      </c>
      <c r="B484" s="15" t="s">
        <v>3560</v>
      </c>
      <c r="C484" s="15" t="s">
        <v>4789</v>
      </c>
      <c r="D484" s="41">
        <v>40594.0</v>
      </c>
      <c r="E484" s="15" t="s">
        <v>177</v>
      </c>
      <c r="F484" s="15" t="s">
        <v>4790</v>
      </c>
      <c r="G484" s="15" t="s">
        <v>4791</v>
      </c>
      <c r="H484" s="15" t="s">
        <v>140</v>
      </c>
      <c r="I484" s="18"/>
      <c r="J484" s="15" t="s">
        <v>3563</v>
      </c>
      <c r="K484" s="15" t="s">
        <v>3564</v>
      </c>
      <c r="L484" s="15" t="s">
        <v>4792</v>
      </c>
      <c r="M484" s="15" t="s">
        <v>3565</v>
      </c>
      <c r="N484" s="15" t="s">
        <v>4793</v>
      </c>
      <c r="O484" s="15" t="s">
        <v>4794</v>
      </c>
      <c r="P484" s="20">
        <v>15.0</v>
      </c>
      <c r="Q484" s="22">
        <v>46033.70748842593</v>
      </c>
      <c r="R484" s="15" t="s">
        <v>107</v>
      </c>
      <c r="S484" s="15" t="s">
        <v>109</v>
      </c>
      <c r="T484" s="15" t="s">
        <v>171</v>
      </c>
      <c r="U484" s="15" t="s">
        <v>526</v>
      </c>
      <c r="V484" s="15" t="s">
        <v>527</v>
      </c>
      <c r="W484" s="15" t="s">
        <v>528</v>
      </c>
      <c r="X484" s="15" t="s">
        <v>120</v>
      </c>
      <c r="Y484" s="18"/>
      <c r="Z484" s="15" t="s">
        <v>120</v>
      </c>
      <c r="AA484" s="18"/>
      <c r="AB484" s="15" t="s">
        <v>120</v>
      </c>
      <c r="AC484" s="18"/>
      <c r="AD484" s="18"/>
      <c r="AE484" s="15" t="s">
        <v>120</v>
      </c>
      <c r="AF484" s="18"/>
      <c r="AG484" s="15" t="s">
        <v>120</v>
      </c>
      <c r="AH484" s="18"/>
      <c r="AI484" s="15" t="s">
        <v>120</v>
      </c>
      <c r="AJ484" s="18"/>
      <c r="AK484" s="18"/>
      <c r="AL484" s="15" t="s">
        <v>138</v>
      </c>
      <c r="AM484" s="15" t="s">
        <v>156</v>
      </c>
      <c r="AN484" s="15" t="s">
        <v>128</v>
      </c>
      <c r="AO484" s="15" t="s">
        <v>126</v>
      </c>
      <c r="AP484" s="15"/>
    </row>
    <row r="485" ht="22.5" customHeight="1">
      <c r="A485" s="15" t="s">
        <v>4795</v>
      </c>
      <c r="B485" s="15" t="s">
        <v>4796</v>
      </c>
      <c r="C485" s="15" t="s">
        <v>4797</v>
      </c>
      <c r="D485" s="41">
        <v>40212.0</v>
      </c>
      <c r="E485" s="15" t="s">
        <v>177</v>
      </c>
      <c r="F485" s="15">
        <v>5.615671904E9</v>
      </c>
      <c r="G485" s="15" t="s">
        <v>4798</v>
      </c>
      <c r="H485" s="15" t="s">
        <v>101</v>
      </c>
      <c r="I485" s="18"/>
      <c r="J485" s="15" t="s">
        <v>4799</v>
      </c>
      <c r="K485" s="15" t="s">
        <v>4800</v>
      </c>
      <c r="L485" s="15">
        <v>5.537058866E9</v>
      </c>
      <c r="M485" s="18"/>
      <c r="N485" s="18"/>
      <c r="O485" s="18"/>
      <c r="P485" s="20">
        <v>16.0</v>
      </c>
      <c r="Q485" s="22">
        <v>46040.913518518515</v>
      </c>
      <c r="R485" s="15" t="s">
        <v>107</v>
      </c>
      <c r="S485" s="15" t="s">
        <v>109</v>
      </c>
      <c r="T485" s="15" t="s">
        <v>192</v>
      </c>
      <c r="U485" s="15" t="s">
        <v>485</v>
      </c>
      <c r="V485" s="15" t="s">
        <v>486</v>
      </c>
      <c r="W485" s="15" t="s">
        <v>487</v>
      </c>
      <c r="X485" s="15" t="s">
        <v>120</v>
      </c>
      <c r="Y485" s="18"/>
      <c r="Z485" s="15" t="s">
        <v>120</v>
      </c>
      <c r="AA485" s="18"/>
      <c r="AB485" s="15" t="s">
        <v>120</v>
      </c>
      <c r="AC485" s="15" t="s">
        <v>120</v>
      </c>
      <c r="AD485" s="18"/>
      <c r="AE485" s="15" t="s">
        <v>120</v>
      </c>
      <c r="AF485" s="18"/>
      <c r="AG485" s="15" t="s">
        <v>120</v>
      </c>
      <c r="AH485" s="18"/>
      <c r="AI485" s="15" t="s">
        <v>120</v>
      </c>
      <c r="AJ485" s="18"/>
      <c r="AK485" s="18"/>
      <c r="AL485" s="15" t="s">
        <v>138</v>
      </c>
      <c r="AM485" s="15" t="s">
        <v>185</v>
      </c>
      <c r="AN485" s="15" t="s">
        <v>156</v>
      </c>
      <c r="AO485" s="15" t="s">
        <v>129</v>
      </c>
      <c r="AP485" s="15"/>
    </row>
    <row r="486" ht="22.5" customHeight="1">
      <c r="A486" s="15" t="s">
        <v>4801</v>
      </c>
      <c r="B486" s="15" t="s">
        <v>4802</v>
      </c>
      <c r="C486" s="15" t="s">
        <v>4803</v>
      </c>
      <c r="D486" s="41">
        <v>41083.0</v>
      </c>
      <c r="E486" s="15" t="s">
        <v>98</v>
      </c>
      <c r="F486" s="15">
        <v>5.54696237E9</v>
      </c>
      <c r="G486" s="15" t="s">
        <v>4804</v>
      </c>
      <c r="H486" s="15" t="s">
        <v>140</v>
      </c>
      <c r="I486" s="23" t="s">
        <v>1325</v>
      </c>
      <c r="J486" s="15" t="s">
        <v>4805</v>
      </c>
      <c r="K486" s="15" t="s">
        <v>4804</v>
      </c>
      <c r="L486" s="15">
        <v>5.518403736E9</v>
      </c>
      <c r="M486" s="18"/>
      <c r="N486" s="18"/>
      <c r="O486" s="18"/>
      <c r="P486" s="20">
        <v>13.0</v>
      </c>
      <c r="Q486" s="22">
        <v>46039.83515046296</v>
      </c>
      <c r="R486" s="15" t="s">
        <v>107</v>
      </c>
      <c r="S486" s="15" t="s">
        <v>109</v>
      </c>
      <c r="T486" s="15" t="s">
        <v>204</v>
      </c>
      <c r="U486" s="15" t="s">
        <v>295</v>
      </c>
      <c r="V486" s="15" t="s">
        <v>298</v>
      </c>
      <c r="W486" s="15" t="s">
        <v>299</v>
      </c>
      <c r="X486" s="15" t="s">
        <v>120</v>
      </c>
      <c r="Y486" s="18"/>
      <c r="Z486" s="15" t="s">
        <v>120</v>
      </c>
      <c r="AA486" s="18"/>
      <c r="AB486" s="15" t="s">
        <v>120</v>
      </c>
      <c r="AC486" s="18"/>
      <c r="AD486" s="18"/>
      <c r="AE486" s="15" t="s">
        <v>120</v>
      </c>
      <c r="AF486" s="18"/>
      <c r="AG486" s="15" t="s">
        <v>120</v>
      </c>
      <c r="AH486" s="18"/>
      <c r="AI486" s="15" t="s">
        <v>120</v>
      </c>
      <c r="AJ486" s="18"/>
      <c r="AK486" s="18"/>
      <c r="AL486" s="15" t="s">
        <v>138</v>
      </c>
      <c r="AM486" s="15" t="s">
        <v>156</v>
      </c>
      <c r="AN486" s="15" t="s">
        <v>216</v>
      </c>
      <c r="AO486" s="15" t="s">
        <v>124</v>
      </c>
      <c r="AP486" s="15"/>
    </row>
    <row r="487" ht="22.5" customHeight="1">
      <c r="A487" s="15" t="s">
        <v>2274</v>
      </c>
      <c r="B487" s="15" t="s">
        <v>2275</v>
      </c>
      <c r="C487" s="18"/>
      <c r="D487" s="41">
        <v>41188.0</v>
      </c>
      <c r="E487" s="15" t="s">
        <v>98</v>
      </c>
      <c r="F487" s="15">
        <v>5.63375795E9</v>
      </c>
      <c r="G487" s="15" t="s">
        <v>2277</v>
      </c>
      <c r="H487" s="15" t="s">
        <v>140</v>
      </c>
      <c r="I487" s="18"/>
      <c r="J487" s="15" t="s">
        <v>2280</v>
      </c>
      <c r="K487" s="15" t="s">
        <v>2281</v>
      </c>
      <c r="L487" s="15">
        <v>5.535939943E9</v>
      </c>
      <c r="M487" s="18"/>
      <c r="N487" s="18"/>
      <c r="O487" s="18"/>
      <c r="P487" s="20">
        <v>13.0</v>
      </c>
      <c r="Q487" s="22">
        <v>46040.46931712963</v>
      </c>
      <c r="R487" s="15" t="s">
        <v>107</v>
      </c>
      <c r="S487" s="15" t="s">
        <v>109</v>
      </c>
      <c r="T487" s="15" t="s">
        <v>160</v>
      </c>
      <c r="U487" s="15" t="s">
        <v>308</v>
      </c>
      <c r="V487" s="15" t="s">
        <v>309</v>
      </c>
      <c r="W487" s="15" t="s">
        <v>310</v>
      </c>
      <c r="X487" s="15" t="s">
        <v>120</v>
      </c>
      <c r="Y487" s="18"/>
      <c r="Z487" s="15" t="s">
        <v>120</v>
      </c>
      <c r="AA487" s="18"/>
      <c r="AB487" s="15" t="s">
        <v>117</v>
      </c>
      <c r="AC487" s="15" t="s">
        <v>117</v>
      </c>
      <c r="AD487" s="15" t="s">
        <v>2290</v>
      </c>
      <c r="AE487" s="15" t="s">
        <v>120</v>
      </c>
      <c r="AF487" s="18"/>
      <c r="AG487" s="15" t="s">
        <v>120</v>
      </c>
      <c r="AH487" s="18"/>
      <c r="AI487" s="15" t="s">
        <v>117</v>
      </c>
      <c r="AJ487" s="15" t="s">
        <v>2291</v>
      </c>
      <c r="AK487" s="18"/>
      <c r="AL487" s="15" t="s">
        <v>156</v>
      </c>
      <c r="AM487" s="15" t="s">
        <v>240</v>
      </c>
      <c r="AN487" s="15" t="s">
        <v>128</v>
      </c>
      <c r="AO487" s="15" t="s">
        <v>126</v>
      </c>
      <c r="AP487" s="15"/>
    </row>
    <row r="488" ht="22.5" customHeight="1">
      <c r="A488" s="15" t="s">
        <v>4806</v>
      </c>
      <c r="B488" s="15" t="s">
        <v>4807</v>
      </c>
      <c r="C488" s="15" t="s">
        <v>4808</v>
      </c>
      <c r="D488" s="41">
        <v>39913.0</v>
      </c>
      <c r="E488" s="15" t="s">
        <v>98</v>
      </c>
      <c r="F488" s="15">
        <v>5.549197736E9</v>
      </c>
      <c r="G488" s="15" t="s">
        <v>3239</v>
      </c>
      <c r="H488" s="15" t="s">
        <v>140</v>
      </c>
      <c r="I488" s="18"/>
      <c r="J488" s="15" t="s">
        <v>3240</v>
      </c>
      <c r="K488" s="15" t="s">
        <v>3239</v>
      </c>
      <c r="L488" s="15">
        <v>5.549197736E9</v>
      </c>
      <c r="M488" s="18"/>
      <c r="N488" s="18"/>
      <c r="O488" s="18"/>
      <c r="P488" s="20">
        <v>16.0</v>
      </c>
      <c r="Q488" s="22">
        <v>46040.58520833333</v>
      </c>
      <c r="R488" s="15" t="s">
        <v>107</v>
      </c>
      <c r="S488" s="15" t="s">
        <v>109</v>
      </c>
      <c r="T488" s="15" t="s">
        <v>204</v>
      </c>
      <c r="U488" s="15" t="s">
        <v>367</v>
      </c>
      <c r="V488" s="15" t="s">
        <v>368</v>
      </c>
      <c r="W488" s="15" t="s">
        <v>369</v>
      </c>
      <c r="X488" s="15" t="s">
        <v>120</v>
      </c>
      <c r="Y488" s="18"/>
      <c r="Z488" s="15" t="s">
        <v>120</v>
      </c>
      <c r="AA488" s="18"/>
      <c r="AB488" s="15" t="s">
        <v>120</v>
      </c>
      <c r="AC488" s="18"/>
      <c r="AD488" s="18"/>
      <c r="AE488" s="15" t="s">
        <v>120</v>
      </c>
      <c r="AF488" s="18"/>
      <c r="AG488" s="15" t="s">
        <v>120</v>
      </c>
      <c r="AH488" s="18"/>
      <c r="AI488" s="15" t="s">
        <v>120</v>
      </c>
      <c r="AJ488" s="18"/>
      <c r="AK488" s="18"/>
      <c r="AL488" s="15" t="s">
        <v>129</v>
      </c>
      <c r="AM488" s="15" t="s">
        <v>138</v>
      </c>
      <c r="AN488" s="15" t="s">
        <v>242</v>
      </c>
      <c r="AO488" s="15" t="s">
        <v>124</v>
      </c>
      <c r="AP488" s="15"/>
    </row>
    <row r="489" ht="22.5" customHeight="1">
      <c r="A489" s="15" t="s">
        <v>4809</v>
      </c>
      <c r="B489" s="15" t="s">
        <v>4163</v>
      </c>
      <c r="C489" s="15" t="s">
        <v>4810</v>
      </c>
      <c r="D489" s="41">
        <v>39486.0</v>
      </c>
      <c r="E489" s="15" t="s">
        <v>98</v>
      </c>
      <c r="F489" s="15">
        <v>5.560682288E9</v>
      </c>
      <c r="G489" s="15" t="s">
        <v>4811</v>
      </c>
      <c r="H489" s="15" t="s">
        <v>150</v>
      </c>
      <c r="I489" s="18"/>
      <c r="J489" s="15">
        <v>5.635391645E9</v>
      </c>
      <c r="K489" s="15" t="s">
        <v>4811</v>
      </c>
      <c r="L489" s="15">
        <v>5.626406921E9</v>
      </c>
      <c r="M489" s="18"/>
      <c r="N489" s="18"/>
      <c r="O489" s="18"/>
      <c r="P489" s="20">
        <v>18.0</v>
      </c>
      <c r="Q489" s="22">
        <v>46037.82710648148</v>
      </c>
      <c r="R489" s="15" t="s">
        <v>107</v>
      </c>
      <c r="S489" s="15" t="s">
        <v>109</v>
      </c>
      <c r="T489" s="15" t="s">
        <v>160</v>
      </c>
      <c r="U489" s="15" t="s">
        <v>161</v>
      </c>
      <c r="V489" s="15" t="s">
        <v>163</v>
      </c>
      <c r="W489" s="15" t="s">
        <v>165</v>
      </c>
      <c r="X489" s="15" t="s">
        <v>120</v>
      </c>
      <c r="Y489" s="18"/>
      <c r="Z489" s="15" t="s">
        <v>120</v>
      </c>
      <c r="AA489" s="18"/>
      <c r="AB489" s="15" t="s">
        <v>120</v>
      </c>
      <c r="AC489" s="18"/>
      <c r="AD489" s="18"/>
      <c r="AE489" s="15" t="s">
        <v>120</v>
      </c>
      <c r="AF489" s="18"/>
      <c r="AG489" s="15" t="s">
        <v>120</v>
      </c>
      <c r="AH489" s="18"/>
      <c r="AI489" s="15" t="s">
        <v>120</v>
      </c>
      <c r="AJ489" s="18"/>
      <c r="AK489" s="18"/>
      <c r="AL489" s="15" t="s">
        <v>141</v>
      </c>
      <c r="AM489" s="15" t="s">
        <v>185</v>
      </c>
      <c r="AN489" s="15" t="s">
        <v>242</v>
      </c>
      <c r="AO489" s="15" t="s">
        <v>156</v>
      </c>
      <c r="AP489" s="15"/>
    </row>
    <row r="490" ht="22.5" customHeight="1">
      <c r="A490" s="15" t="s">
        <v>4812</v>
      </c>
      <c r="B490" s="15" t="s">
        <v>4813</v>
      </c>
      <c r="C490" s="15" t="s">
        <v>4814</v>
      </c>
      <c r="D490" s="41">
        <v>40108.0</v>
      </c>
      <c r="E490" s="15" t="s">
        <v>177</v>
      </c>
      <c r="F490" s="15">
        <v>5.540833485E9</v>
      </c>
      <c r="G490" s="15" t="s">
        <v>4815</v>
      </c>
      <c r="H490" s="15" t="s">
        <v>101</v>
      </c>
      <c r="I490" s="18"/>
      <c r="J490" s="15" t="s">
        <v>4816</v>
      </c>
      <c r="K490" s="15" t="s">
        <v>4817</v>
      </c>
      <c r="L490" s="18" t="str">
        <f>+52 55 8581 8420</f>
        <v>#ERROR!</v>
      </c>
      <c r="M490" s="15" t="s">
        <v>4818</v>
      </c>
      <c r="N490" s="15" t="s">
        <v>4819</v>
      </c>
      <c r="O490" s="18" t="str">
        <f>+52 55 1297 9783</f>
        <v>#ERROR!</v>
      </c>
      <c r="P490" s="20">
        <v>16.0</v>
      </c>
      <c r="Q490" s="22">
        <v>46021.816782407404</v>
      </c>
      <c r="R490" s="15" t="s">
        <v>107</v>
      </c>
      <c r="S490" s="15" t="s">
        <v>109</v>
      </c>
      <c r="T490" s="15" t="s">
        <v>192</v>
      </c>
      <c r="U490" s="15" t="s">
        <v>505</v>
      </c>
      <c r="V490" s="15" t="s">
        <v>506</v>
      </c>
      <c r="W490" s="15" t="s">
        <v>507</v>
      </c>
      <c r="X490" s="15" t="s">
        <v>120</v>
      </c>
      <c r="Y490" s="18"/>
      <c r="Z490" s="15" t="s">
        <v>120</v>
      </c>
      <c r="AA490" s="18"/>
      <c r="AB490" s="15" t="s">
        <v>120</v>
      </c>
      <c r="AC490" s="18"/>
      <c r="AD490" s="18"/>
      <c r="AE490" s="15" t="s">
        <v>120</v>
      </c>
      <c r="AF490" s="18"/>
      <c r="AG490" s="15" t="s">
        <v>120</v>
      </c>
      <c r="AH490" s="18"/>
      <c r="AI490" s="15" t="s">
        <v>120</v>
      </c>
      <c r="AJ490" s="18"/>
      <c r="AK490" s="18"/>
      <c r="AL490" s="15" t="s">
        <v>185</v>
      </c>
      <c r="AM490" s="15" t="s">
        <v>156</v>
      </c>
      <c r="AN490" s="15" t="s">
        <v>138</v>
      </c>
      <c r="AO490" s="15" t="s">
        <v>216</v>
      </c>
      <c r="AP490" s="15"/>
    </row>
    <row r="491" ht="22.5" customHeight="1">
      <c r="A491" s="15" t="s">
        <v>4820</v>
      </c>
      <c r="B491" s="15" t="s">
        <v>4821</v>
      </c>
      <c r="C491" s="15" t="s">
        <v>4822</v>
      </c>
      <c r="D491" s="41">
        <v>41225.0</v>
      </c>
      <c r="E491" s="15" t="s">
        <v>177</v>
      </c>
      <c r="F491" s="15">
        <v>5.63463835E9</v>
      </c>
      <c r="G491" s="15" t="s">
        <v>4823</v>
      </c>
      <c r="H491" s="15" t="s">
        <v>101</v>
      </c>
      <c r="I491" s="23" t="s">
        <v>4824</v>
      </c>
      <c r="J491" s="15" t="s">
        <v>4825</v>
      </c>
      <c r="K491" s="15" t="s">
        <v>4826</v>
      </c>
      <c r="L491" s="15">
        <v>5.573514899E9</v>
      </c>
      <c r="M491" s="18"/>
      <c r="N491" s="18"/>
      <c r="O491" s="18"/>
      <c r="P491" s="20">
        <v>13.0</v>
      </c>
      <c r="Q491" s="22">
        <v>46033.50462962963</v>
      </c>
      <c r="R491" s="15" t="s">
        <v>107</v>
      </c>
      <c r="S491" s="15" t="s">
        <v>109</v>
      </c>
      <c r="T491" s="15" t="s">
        <v>127</v>
      </c>
      <c r="U491" s="15" t="s">
        <v>766</v>
      </c>
      <c r="V491" s="15" t="s">
        <v>767</v>
      </c>
      <c r="W491" s="15" t="s">
        <v>768</v>
      </c>
      <c r="X491" s="15" t="s">
        <v>120</v>
      </c>
      <c r="Y491" s="18"/>
      <c r="Z491" s="15" t="s">
        <v>120</v>
      </c>
      <c r="AA491" s="18"/>
      <c r="AB491" s="15" t="s">
        <v>120</v>
      </c>
      <c r="AC491" s="18"/>
      <c r="AD491" s="18"/>
      <c r="AE491" s="15" t="s">
        <v>120</v>
      </c>
      <c r="AF491" s="18"/>
      <c r="AG491" s="15" t="s">
        <v>120</v>
      </c>
      <c r="AH491" s="18"/>
      <c r="AI491" s="15" t="s">
        <v>120</v>
      </c>
      <c r="AJ491" s="18"/>
      <c r="AK491" s="18"/>
      <c r="AL491" s="15" t="s">
        <v>185</v>
      </c>
      <c r="AM491" s="15" t="s">
        <v>126</v>
      </c>
      <c r="AN491" s="15" t="s">
        <v>156</v>
      </c>
      <c r="AO491" s="15" t="s">
        <v>124</v>
      </c>
      <c r="AP491" s="15"/>
    </row>
    <row r="492" ht="22.5" customHeight="1">
      <c r="A492" s="15" t="s">
        <v>4695</v>
      </c>
      <c r="B492" s="15" t="s">
        <v>3686</v>
      </c>
      <c r="C492" s="15" t="s">
        <v>4833</v>
      </c>
      <c r="D492" s="41">
        <v>40063.0</v>
      </c>
      <c r="E492" s="15" t="s">
        <v>177</v>
      </c>
      <c r="F492" s="15">
        <v>5.561575047E9</v>
      </c>
      <c r="G492" s="15" t="s">
        <v>4834</v>
      </c>
      <c r="H492" s="15" t="s">
        <v>101</v>
      </c>
      <c r="I492" s="23" t="s">
        <v>2343</v>
      </c>
      <c r="J492" s="15" t="s">
        <v>3689</v>
      </c>
      <c r="K492" s="15" t="s">
        <v>3690</v>
      </c>
      <c r="L492" s="15">
        <v>5.518134754E9</v>
      </c>
      <c r="M492" s="15" t="s">
        <v>3691</v>
      </c>
      <c r="N492" s="15" t="s">
        <v>3692</v>
      </c>
      <c r="O492" s="15">
        <v>5.518290991E9</v>
      </c>
      <c r="P492" s="20">
        <v>16.0</v>
      </c>
      <c r="Q492" s="22">
        <v>46033.58550925926</v>
      </c>
      <c r="R492" s="15" t="s">
        <v>107</v>
      </c>
      <c r="S492" s="15" t="s">
        <v>109</v>
      </c>
      <c r="T492" s="15" t="s">
        <v>171</v>
      </c>
      <c r="U492" s="15" t="s">
        <v>444</v>
      </c>
      <c r="V492" s="15" t="s">
        <v>445</v>
      </c>
      <c r="W492" s="15" t="s">
        <v>446</v>
      </c>
      <c r="X492" s="15" t="s">
        <v>120</v>
      </c>
      <c r="Y492" s="18"/>
      <c r="Z492" s="15" t="s">
        <v>120</v>
      </c>
      <c r="AA492" s="18"/>
      <c r="AB492" s="15" t="s">
        <v>120</v>
      </c>
      <c r="AC492" s="15" t="s">
        <v>120</v>
      </c>
      <c r="AD492" s="18"/>
      <c r="AE492" s="15" t="s">
        <v>120</v>
      </c>
      <c r="AF492" s="18"/>
      <c r="AG492" s="15" t="s">
        <v>120</v>
      </c>
      <c r="AH492" s="18"/>
      <c r="AI492" s="15" t="s">
        <v>120</v>
      </c>
      <c r="AJ492" s="18"/>
      <c r="AK492" s="18"/>
      <c r="AL492" s="15" t="s">
        <v>242</v>
      </c>
      <c r="AM492" s="15" t="s">
        <v>240</v>
      </c>
      <c r="AN492" s="15" t="s">
        <v>216</v>
      </c>
      <c r="AO492" s="15" t="s">
        <v>124</v>
      </c>
      <c r="AP492" s="15"/>
    </row>
    <row r="493" ht="22.5" customHeight="1">
      <c r="A493" s="15" t="s">
        <v>4835</v>
      </c>
      <c r="B493" s="15" t="s">
        <v>4836</v>
      </c>
      <c r="C493" s="15" t="s">
        <v>4837</v>
      </c>
      <c r="D493" s="41">
        <v>40286.0</v>
      </c>
      <c r="E493" s="15" t="s">
        <v>177</v>
      </c>
      <c r="F493" s="15">
        <v>5.664038018E9</v>
      </c>
      <c r="G493" s="15" t="s">
        <v>4838</v>
      </c>
      <c r="H493" s="15" t="s">
        <v>140</v>
      </c>
      <c r="I493" s="18"/>
      <c r="J493" s="15" t="s">
        <v>4839</v>
      </c>
      <c r="K493" s="15" t="s">
        <v>4840</v>
      </c>
      <c r="L493" s="15">
        <v>5.631212286E9</v>
      </c>
      <c r="M493" s="18"/>
      <c r="N493" s="18"/>
      <c r="O493" s="18"/>
      <c r="P493" s="20">
        <v>15.0</v>
      </c>
      <c r="Q493" s="22">
        <v>46041.346134259256</v>
      </c>
      <c r="R493" s="15" t="s">
        <v>107</v>
      </c>
      <c r="S493" s="15" t="s">
        <v>109</v>
      </c>
      <c r="T493" s="15" t="s">
        <v>111</v>
      </c>
      <c r="U493" s="15" t="s">
        <v>2283</v>
      </c>
      <c r="V493" s="15" t="s">
        <v>2285</v>
      </c>
      <c r="W493" s="15" t="s">
        <v>2286</v>
      </c>
      <c r="X493" s="15" t="s">
        <v>120</v>
      </c>
      <c r="Y493" s="18"/>
      <c r="Z493" s="15" t="s">
        <v>120</v>
      </c>
      <c r="AA493" s="18"/>
      <c r="AB493" s="15" t="s">
        <v>120</v>
      </c>
      <c r="AC493" s="18"/>
      <c r="AD493" s="18"/>
      <c r="AE493" s="15" t="s">
        <v>120</v>
      </c>
      <c r="AF493" s="18"/>
      <c r="AG493" s="15" t="s">
        <v>120</v>
      </c>
      <c r="AH493" s="18"/>
      <c r="AI493" s="15" t="s">
        <v>120</v>
      </c>
      <c r="AJ493" s="18"/>
      <c r="AK493" s="18"/>
      <c r="AL493" s="15" t="s">
        <v>240</v>
      </c>
      <c r="AM493" s="15" t="s">
        <v>185</v>
      </c>
      <c r="AN493" s="15" t="s">
        <v>141</v>
      </c>
      <c r="AO493" s="15" t="s">
        <v>156</v>
      </c>
      <c r="AP493" s="15"/>
    </row>
    <row r="494" ht="22.5" customHeight="1">
      <c r="A494" s="15" t="s">
        <v>4841</v>
      </c>
      <c r="B494" s="15" t="s">
        <v>3127</v>
      </c>
      <c r="C494" s="15" t="s">
        <v>4842</v>
      </c>
      <c r="D494" s="41">
        <v>40464.0</v>
      </c>
      <c r="E494" s="15" t="s">
        <v>98</v>
      </c>
      <c r="F494" s="15" t="s">
        <v>4843</v>
      </c>
      <c r="G494" s="15" t="s">
        <v>4844</v>
      </c>
      <c r="H494" s="15" t="s">
        <v>101</v>
      </c>
      <c r="I494" s="23" t="s">
        <v>4845</v>
      </c>
      <c r="J494" s="15" t="s">
        <v>4846</v>
      </c>
      <c r="K494" s="15" t="s">
        <v>4847</v>
      </c>
      <c r="L494" s="15">
        <v>5.611709577E9</v>
      </c>
      <c r="M494" s="18"/>
      <c r="N494" s="18"/>
      <c r="O494" s="18"/>
      <c r="P494" s="20">
        <v>15.0</v>
      </c>
      <c r="Q494" s="22">
        <v>46035.84725694444</v>
      </c>
      <c r="R494" s="15" t="s">
        <v>107</v>
      </c>
      <c r="S494" s="15" t="s">
        <v>109</v>
      </c>
      <c r="T494" s="15" t="s">
        <v>204</v>
      </c>
      <c r="U494" s="15" t="s">
        <v>357</v>
      </c>
      <c r="V494" s="15" t="s">
        <v>359</v>
      </c>
      <c r="W494" s="15" t="s">
        <v>362</v>
      </c>
      <c r="X494" s="15" t="s">
        <v>120</v>
      </c>
      <c r="Y494" s="18"/>
      <c r="Z494" s="15" t="s">
        <v>120</v>
      </c>
      <c r="AA494" s="18"/>
      <c r="AB494" s="15" t="s">
        <v>120</v>
      </c>
      <c r="AC494" s="18"/>
      <c r="AD494" s="18"/>
      <c r="AE494" s="15" t="s">
        <v>120</v>
      </c>
      <c r="AF494" s="18"/>
      <c r="AG494" s="15" t="s">
        <v>120</v>
      </c>
      <c r="AH494" s="18"/>
      <c r="AI494" s="15" t="s">
        <v>120</v>
      </c>
      <c r="AJ494" s="18"/>
      <c r="AK494" s="15" t="s">
        <v>1969</v>
      </c>
      <c r="AL494" s="15" t="s">
        <v>138</v>
      </c>
      <c r="AM494" s="15" t="s">
        <v>240</v>
      </c>
      <c r="AN494" s="15" t="s">
        <v>185</v>
      </c>
      <c r="AO494" s="15" t="s">
        <v>156</v>
      </c>
      <c r="AP494" s="15"/>
    </row>
    <row r="495" ht="22.5" customHeight="1">
      <c r="A495" s="15" t="s">
        <v>4848</v>
      </c>
      <c r="B495" s="15" t="s">
        <v>4341</v>
      </c>
      <c r="C495" s="15" t="s">
        <v>4849</v>
      </c>
      <c r="D495" s="41">
        <v>40156.0</v>
      </c>
      <c r="E495" s="15" t="s">
        <v>98</v>
      </c>
      <c r="F495" s="15">
        <v>5.574700465E9</v>
      </c>
      <c r="G495" s="15" t="s">
        <v>4850</v>
      </c>
      <c r="H495" s="15" t="s">
        <v>101</v>
      </c>
      <c r="I495" s="18"/>
      <c r="J495" s="15" t="s">
        <v>4344</v>
      </c>
      <c r="K495" s="15" t="s">
        <v>4345</v>
      </c>
      <c r="L495" s="15">
        <v>5.516551661E9</v>
      </c>
      <c r="M495" s="15" t="s">
        <v>4346</v>
      </c>
      <c r="N495" s="15" t="s">
        <v>4347</v>
      </c>
      <c r="O495" s="15">
        <v>5.521722275E9</v>
      </c>
      <c r="P495" s="20">
        <v>16.0</v>
      </c>
      <c r="Q495" s="22">
        <v>46024.98706018519</v>
      </c>
      <c r="R495" s="15" t="s">
        <v>107</v>
      </c>
      <c r="S495" s="15" t="s">
        <v>109</v>
      </c>
      <c r="T495" s="15" t="s">
        <v>111</v>
      </c>
      <c r="U495" s="15" t="s">
        <v>112</v>
      </c>
      <c r="V495" s="15" t="s">
        <v>114</v>
      </c>
      <c r="W495" s="15" t="s">
        <v>115</v>
      </c>
      <c r="X495" s="15" t="s">
        <v>120</v>
      </c>
      <c r="Y495" s="18"/>
      <c r="Z495" s="15" t="s">
        <v>120</v>
      </c>
      <c r="AA495" s="18"/>
      <c r="AB495" s="15" t="s">
        <v>120</v>
      </c>
      <c r="AC495" s="18"/>
      <c r="AD495" s="18"/>
      <c r="AE495" s="15" t="s">
        <v>120</v>
      </c>
      <c r="AF495" s="18"/>
      <c r="AG495" s="15" t="s">
        <v>120</v>
      </c>
      <c r="AH495" s="18"/>
      <c r="AI495" s="15" t="s">
        <v>120</v>
      </c>
      <c r="AJ495" s="18"/>
      <c r="AK495" s="18"/>
      <c r="AL495" s="15" t="s">
        <v>185</v>
      </c>
      <c r="AM495" s="15" t="s">
        <v>156</v>
      </c>
      <c r="AN495" s="15" t="s">
        <v>216</v>
      </c>
      <c r="AO495" s="15" t="s">
        <v>141</v>
      </c>
      <c r="AP495" s="15"/>
    </row>
    <row r="496" ht="22.5" customHeight="1">
      <c r="A496" s="15" t="s">
        <v>4851</v>
      </c>
      <c r="B496" s="15" t="s">
        <v>4852</v>
      </c>
      <c r="C496" s="15" t="s">
        <v>4853</v>
      </c>
      <c r="D496" s="41">
        <v>40024.0</v>
      </c>
      <c r="E496" s="15" t="s">
        <v>177</v>
      </c>
      <c r="F496" s="15">
        <v>5.53513727E9</v>
      </c>
      <c r="G496" s="15" t="s">
        <v>4854</v>
      </c>
      <c r="H496" s="15" t="s">
        <v>101</v>
      </c>
      <c r="I496" s="18"/>
      <c r="J496" s="15" t="s">
        <v>4855</v>
      </c>
      <c r="K496" s="15" t="s">
        <v>4856</v>
      </c>
      <c r="L496" s="15">
        <v>5.58812619E9</v>
      </c>
      <c r="M496" s="18"/>
      <c r="N496" s="18"/>
      <c r="O496" s="18"/>
      <c r="P496" s="20">
        <v>16.0</v>
      </c>
      <c r="Q496" s="22">
        <v>46047.56563657407</v>
      </c>
      <c r="R496" s="15" t="s">
        <v>107</v>
      </c>
      <c r="S496" s="15" t="s">
        <v>109</v>
      </c>
      <c r="T496" s="15" t="s">
        <v>160</v>
      </c>
      <c r="U496" s="15" t="s">
        <v>1739</v>
      </c>
      <c r="V496" s="15" t="s">
        <v>1740</v>
      </c>
      <c r="W496" s="15" t="s">
        <v>1741</v>
      </c>
      <c r="X496" s="15" t="s">
        <v>120</v>
      </c>
      <c r="Y496" s="18"/>
      <c r="Z496" s="15" t="s">
        <v>120</v>
      </c>
      <c r="AA496" s="18"/>
      <c r="AB496" s="15" t="s">
        <v>120</v>
      </c>
      <c r="AC496" s="18"/>
      <c r="AD496" s="18"/>
      <c r="AE496" s="15" t="s">
        <v>120</v>
      </c>
      <c r="AF496" s="18"/>
      <c r="AG496" s="15" t="s">
        <v>120</v>
      </c>
      <c r="AH496" s="18"/>
      <c r="AI496" s="15" t="s">
        <v>120</v>
      </c>
      <c r="AJ496" s="18"/>
      <c r="AK496" s="18"/>
      <c r="AL496" s="15" t="s">
        <v>126</v>
      </c>
      <c r="AM496" s="15" t="s">
        <v>156</v>
      </c>
      <c r="AN496" s="15" t="s">
        <v>240</v>
      </c>
      <c r="AO496" s="15" t="s">
        <v>138</v>
      </c>
      <c r="AP496" s="15"/>
    </row>
    <row r="497" ht="22.5" customHeight="1">
      <c r="A497" s="15" t="s">
        <v>4857</v>
      </c>
      <c r="B497" s="15" t="s">
        <v>4858</v>
      </c>
      <c r="C497" s="15" t="s">
        <v>4859</v>
      </c>
      <c r="D497" s="41">
        <v>39835.0</v>
      </c>
      <c r="E497" s="15" t="s">
        <v>98</v>
      </c>
      <c r="F497" s="15">
        <v>5.531012883E9</v>
      </c>
      <c r="G497" s="15" t="s">
        <v>4860</v>
      </c>
      <c r="H497" s="15" t="s">
        <v>101</v>
      </c>
      <c r="I497" s="18"/>
      <c r="J497" s="15" t="s">
        <v>3140</v>
      </c>
      <c r="K497" s="15" t="s">
        <v>3141</v>
      </c>
      <c r="L497" s="15">
        <v>5.544817532E9</v>
      </c>
      <c r="M497" s="18"/>
      <c r="N497" s="18"/>
      <c r="O497" s="18"/>
      <c r="P497" s="20">
        <v>17.0</v>
      </c>
      <c r="Q497" s="22">
        <v>46024.96076388889</v>
      </c>
      <c r="R497" s="15" t="s">
        <v>107</v>
      </c>
      <c r="S497" s="15" t="s">
        <v>109</v>
      </c>
      <c r="T497" s="15" t="s">
        <v>204</v>
      </c>
      <c r="U497" s="15" t="s">
        <v>295</v>
      </c>
      <c r="V497" s="15" t="s">
        <v>298</v>
      </c>
      <c r="W497" s="15" t="s">
        <v>299</v>
      </c>
      <c r="X497" s="15" t="s">
        <v>120</v>
      </c>
      <c r="Y497" s="18"/>
      <c r="Z497" s="15" t="s">
        <v>120</v>
      </c>
      <c r="AA497" s="18"/>
      <c r="AB497" s="15" t="s">
        <v>120</v>
      </c>
      <c r="AC497" s="18"/>
      <c r="AD497" s="18"/>
      <c r="AE497" s="15" t="s">
        <v>120</v>
      </c>
      <c r="AF497" s="18"/>
      <c r="AG497" s="15" t="s">
        <v>120</v>
      </c>
      <c r="AH497" s="18"/>
      <c r="AI497" s="15" t="s">
        <v>120</v>
      </c>
      <c r="AJ497" s="18"/>
      <c r="AK497" s="18"/>
      <c r="AL497" s="15" t="s">
        <v>141</v>
      </c>
      <c r="AM497" s="15" t="s">
        <v>156</v>
      </c>
      <c r="AN497" s="15" t="s">
        <v>216</v>
      </c>
      <c r="AO497" s="15" t="s">
        <v>124</v>
      </c>
      <c r="AP497" s="15"/>
    </row>
    <row r="498" ht="22.5" customHeight="1">
      <c r="A498" s="15" t="s">
        <v>4861</v>
      </c>
      <c r="B498" s="15" t="s">
        <v>4862</v>
      </c>
      <c r="C498" s="15" t="s">
        <v>4863</v>
      </c>
      <c r="D498" s="41">
        <v>40999.0</v>
      </c>
      <c r="E498" s="15" t="s">
        <v>177</v>
      </c>
      <c r="F498" s="15">
        <v>5.539944632E9</v>
      </c>
      <c r="G498" s="15" t="s">
        <v>4864</v>
      </c>
      <c r="H498" s="15" t="s">
        <v>101</v>
      </c>
      <c r="I498" s="18"/>
      <c r="J498" s="15" t="s">
        <v>4865</v>
      </c>
      <c r="K498" s="15" t="s">
        <v>4866</v>
      </c>
      <c r="L498" s="15">
        <v>5.5399446332E10</v>
      </c>
      <c r="M498" s="18"/>
      <c r="N498" s="18"/>
      <c r="O498" s="18"/>
      <c r="P498" s="20">
        <v>13.0</v>
      </c>
      <c r="Q498" s="22">
        <v>46035.72516203704</v>
      </c>
      <c r="R498" s="15" t="s">
        <v>107</v>
      </c>
      <c r="S498" s="15" t="s">
        <v>109</v>
      </c>
      <c r="T498" s="15" t="s">
        <v>204</v>
      </c>
      <c r="U498" s="15" t="s">
        <v>357</v>
      </c>
      <c r="V498" s="15" t="s">
        <v>359</v>
      </c>
      <c r="W498" s="15" t="s">
        <v>362</v>
      </c>
      <c r="X498" s="15" t="s">
        <v>120</v>
      </c>
      <c r="Y498" s="18"/>
      <c r="Z498" s="15" t="s">
        <v>120</v>
      </c>
      <c r="AA498" s="18"/>
      <c r="AB498" s="15" t="s">
        <v>120</v>
      </c>
      <c r="AC498" s="15" t="s">
        <v>120</v>
      </c>
      <c r="AD498" s="18"/>
      <c r="AE498" s="15" t="s">
        <v>120</v>
      </c>
      <c r="AF498" s="18"/>
      <c r="AG498" s="15" t="s">
        <v>120</v>
      </c>
      <c r="AH498" s="18"/>
      <c r="AI498" s="15" t="s">
        <v>120</v>
      </c>
      <c r="AJ498" s="18"/>
      <c r="AK498" s="18"/>
      <c r="AL498" s="15" t="s">
        <v>141</v>
      </c>
      <c r="AM498" s="15" t="s">
        <v>129</v>
      </c>
      <c r="AN498" s="15" t="s">
        <v>240</v>
      </c>
      <c r="AO498" s="15" t="s">
        <v>156</v>
      </c>
      <c r="AP498" s="15"/>
    </row>
    <row r="499" ht="22.5" customHeight="1">
      <c r="A499" s="15" t="s">
        <v>4867</v>
      </c>
      <c r="B499" s="15" t="s">
        <v>4868</v>
      </c>
      <c r="C499" s="15" t="s">
        <v>4869</v>
      </c>
      <c r="D499" s="41">
        <v>41199.0</v>
      </c>
      <c r="E499" s="15" t="s">
        <v>177</v>
      </c>
      <c r="F499" s="15" t="s">
        <v>4870</v>
      </c>
      <c r="G499" s="15" t="s">
        <v>4871</v>
      </c>
      <c r="H499" s="15" t="s">
        <v>101</v>
      </c>
      <c r="I499" s="18"/>
      <c r="J499" s="15" t="s">
        <v>4872</v>
      </c>
      <c r="K499" s="15" t="s">
        <v>4873</v>
      </c>
      <c r="L499" s="15">
        <v>5.517761294E9</v>
      </c>
      <c r="M499" s="18"/>
      <c r="N499" s="18"/>
      <c r="O499" s="18"/>
      <c r="P499" s="20">
        <v>13.0</v>
      </c>
      <c r="Q499" s="22">
        <v>46033.57958333333</v>
      </c>
      <c r="R499" s="15" t="s">
        <v>107</v>
      </c>
      <c r="S499" s="15" t="s">
        <v>109</v>
      </c>
      <c r="T499" s="15" t="s">
        <v>208</v>
      </c>
      <c r="U499" s="15" t="s">
        <v>1599</v>
      </c>
      <c r="V499" s="15" t="s">
        <v>1600</v>
      </c>
      <c r="W499" s="15" t="s">
        <v>1602</v>
      </c>
      <c r="X499" s="15" t="s">
        <v>120</v>
      </c>
      <c r="Y499" s="18"/>
      <c r="Z499" s="15" t="s">
        <v>120</v>
      </c>
      <c r="AA499" s="18"/>
      <c r="AB499" s="15" t="s">
        <v>120</v>
      </c>
      <c r="AC499" s="15" t="s">
        <v>120</v>
      </c>
      <c r="AD499" s="18"/>
      <c r="AE499" s="15" t="s">
        <v>120</v>
      </c>
      <c r="AF499" s="18"/>
      <c r="AG499" s="15" t="s">
        <v>120</v>
      </c>
      <c r="AH499" s="18"/>
      <c r="AI499" s="15" t="s">
        <v>120</v>
      </c>
      <c r="AJ499" s="18"/>
      <c r="AK499" s="18"/>
      <c r="AL499" s="15" t="s">
        <v>185</v>
      </c>
      <c r="AM499" s="15" t="s">
        <v>242</v>
      </c>
      <c r="AN499" s="15" t="s">
        <v>216</v>
      </c>
      <c r="AO499" s="15" t="s">
        <v>138</v>
      </c>
      <c r="AP499" s="15"/>
    </row>
    <row r="500" ht="22.5" customHeight="1">
      <c r="A500" s="15" t="s">
        <v>4874</v>
      </c>
      <c r="B500" s="15" t="s">
        <v>4875</v>
      </c>
      <c r="C500" s="15" t="s">
        <v>4876</v>
      </c>
      <c r="D500" s="41">
        <v>39805.0</v>
      </c>
      <c r="E500" s="15" t="s">
        <v>177</v>
      </c>
      <c r="F500" s="15">
        <v>5.577555101E9</v>
      </c>
      <c r="G500" s="15" t="s">
        <v>4877</v>
      </c>
      <c r="H500" s="15" t="s">
        <v>101</v>
      </c>
      <c r="I500" s="23" t="s">
        <v>1325</v>
      </c>
      <c r="J500" s="15" t="s">
        <v>4878</v>
      </c>
      <c r="K500" s="15" t="s">
        <v>4879</v>
      </c>
      <c r="L500" s="15">
        <v>9.983381798E9</v>
      </c>
      <c r="M500" s="18"/>
      <c r="N500" s="18"/>
      <c r="O500" s="18"/>
      <c r="P500" s="20">
        <v>17.0</v>
      </c>
      <c r="Q500" s="22">
        <v>46040.782685185186</v>
      </c>
      <c r="R500" s="15" t="s">
        <v>107</v>
      </c>
      <c r="S500" s="15" t="s">
        <v>109</v>
      </c>
      <c r="T500" s="15" t="s">
        <v>111</v>
      </c>
      <c r="U500" s="15" t="s">
        <v>398</v>
      </c>
      <c r="V500" s="15" t="s">
        <v>399</v>
      </c>
      <c r="W500" s="15" t="s">
        <v>400</v>
      </c>
      <c r="X500" s="15" t="s">
        <v>120</v>
      </c>
      <c r="Y500" s="18"/>
      <c r="Z500" s="15" t="s">
        <v>120</v>
      </c>
      <c r="AA500" s="18"/>
      <c r="AB500" s="15" t="s">
        <v>120</v>
      </c>
      <c r="AC500" s="18"/>
      <c r="AD500" s="18"/>
      <c r="AE500" s="15" t="s">
        <v>120</v>
      </c>
      <c r="AF500" s="18"/>
      <c r="AG500" s="15" t="s">
        <v>120</v>
      </c>
      <c r="AH500" s="18"/>
      <c r="AI500" s="15" t="s">
        <v>120</v>
      </c>
      <c r="AJ500" s="18"/>
      <c r="AK500" s="18"/>
      <c r="AL500" s="15" t="s">
        <v>240</v>
      </c>
      <c r="AM500" s="15" t="s">
        <v>242</v>
      </c>
      <c r="AN500" s="15" t="s">
        <v>242</v>
      </c>
      <c r="AO500" s="15" t="s">
        <v>185</v>
      </c>
      <c r="AP500" s="15"/>
    </row>
    <row r="501" ht="22.5" customHeight="1">
      <c r="A501" s="15" t="s">
        <v>4880</v>
      </c>
      <c r="B501" s="15" t="s">
        <v>3453</v>
      </c>
      <c r="C501" s="15" t="s">
        <v>4881</v>
      </c>
      <c r="D501" s="41">
        <v>39496.0</v>
      </c>
      <c r="E501" s="15" t="s">
        <v>98</v>
      </c>
      <c r="F501" s="15">
        <v>5.547007192E9</v>
      </c>
      <c r="G501" s="15" t="s">
        <v>4882</v>
      </c>
      <c r="H501" s="15" t="s">
        <v>101</v>
      </c>
      <c r="I501" s="18"/>
      <c r="J501" s="15" t="s">
        <v>3455</v>
      </c>
      <c r="K501" s="15" t="s">
        <v>3456</v>
      </c>
      <c r="L501" s="15">
        <v>5.528588083E9</v>
      </c>
      <c r="M501" s="15" t="s">
        <v>3457</v>
      </c>
      <c r="N501" s="15" t="s">
        <v>3458</v>
      </c>
      <c r="O501" s="15">
        <v>5.539736627E9</v>
      </c>
      <c r="P501" s="20">
        <v>18.0</v>
      </c>
      <c r="Q501" s="22">
        <v>46018.803611111114</v>
      </c>
      <c r="R501" s="15" t="s">
        <v>107</v>
      </c>
      <c r="S501" s="15" t="s">
        <v>109</v>
      </c>
      <c r="T501" s="15" t="s">
        <v>127</v>
      </c>
      <c r="U501" s="15" t="s">
        <v>234</v>
      </c>
      <c r="V501" s="15" t="s">
        <v>227</v>
      </c>
      <c r="W501" s="15" t="s">
        <v>236</v>
      </c>
      <c r="X501" s="15" t="s">
        <v>120</v>
      </c>
      <c r="Y501" s="18"/>
      <c r="Z501" s="15" t="s">
        <v>120</v>
      </c>
      <c r="AA501" s="18"/>
      <c r="AB501" s="15" t="s">
        <v>120</v>
      </c>
      <c r="AC501" s="18"/>
      <c r="AD501" s="18"/>
      <c r="AE501" s="15" t="s">
        <v>120</v>
      </c>
      <c r="AF501" s="18"/>
      <c r="AG501" s="15" t="s">
        <v>120</v>
      </c>
      <c r="AH501" s="18"/>
      <c r="AI501" s="15" t="s">
        <v>120</v>
      </c>
      <c r="AJ501" s="18"/>
      <c r="AK501" s="18"/>
      <c r="AL501" s="15" t="s">
        <v>185</v>
      </c>
      <c r="AM501" s="15" t="s">
        <v>129</v>
      </c>
      <c r="AN501" s="15" t="s">
        <v>124</v>
      </c>
      <c r="AO501" s="15" t="s">
        <v>138</v>
      </c>
      <c r="AP501" s="15"/>
    </row>
    <row r="502" ht="22.5" customHeight="1">
      <c r="A502" s="15" t="s">
        <v>3693</v>
      </c>
      <c r="B502" s="15" t="s">
        <v>4888</v>
      </c>
      <c r="C502" s="15" t="s">
        <v>4889</v>
      </c>
      <c r="D502" s="41">
        <v>40516.0</v>
      </c>
      <c r="E502" s="15" t="s">
        <v>177</v>
      </c>
      <c r="F502" s="15">
        <v>5.534383771E9</v>
      </c>
      <c r="G502" s="15" t="s">
        <v>4890</v>
      </c>
      <c r="H502" s="15" t="s">
        <v>150</v>
      </c>
      <c r="I502" s="23" t="s">
        <v>1325</v>
      </c>
      <c r="J502" s="15" t="s">
        <v>3868</v>
      </c>
      <c r="K502" s="15" t="s">
        <v>4891</v>
      </c>
      <c r="L502" s="15">
        <v>5.579973753E9</v>
      </c>
      <c r="M502" s="18"/>
      <c r="N502" s="18"/>
      <c r="O502" s="18"/>
      <c r="P502" s="20">
        <v>15.0</v>
      </c>
      <c r="Q502" s="22">
        <v>46038.78900462963</v>
      </c>
      <c r="R502" s="15" t="s">
        <v>107</v>
      </c>
      <c r="S502" s="15" t="s">
        <v>109</v>
      </c>
      <c r="T502" s="15" t="s">
        <v>111</v>
      </c>
      <c r="U502" s="15" t="s">
        <v>112</v>
      </c>
      <c r="V502" s="15" t="s">
        <v>114</v>
      </c>
      <c r="W502" s="15" t="s">
        <v>115</v>
      </c>
      <c r="X502" s="15" t="s">
        <v>120</v>
      </c>
      <c r="Y502" s="18"/>
      <c r="Z502" s="15" t="s">
        <v>120</v>
      </c>
      <c r="AA502" s="18"/>
      <c r="AB502" s="15" t="s">
        <v>120</v>
      </c>
      <c r="AC502" s="18"/>
      <c r="AD502" s="18"/>
      <c r="AE502" s="15" t="s">
        <v>120</v>
      </c>
      <c r="AF502" s="18"/>
      <c r="AG502" s="15" t="s">
        <v>120</v>
      </c>
      <c r="AH502" s="18"/>
      <c r="AI502" s="15" t="s">
        <v>120</v>
      </c>
      <c r="AJ502" s="18"/>
      <c r="AK502" s="18"/>
      <c r="AL502" s="15" t="s">
        <v>242</v>
      </c>
      <c r="AM502" s="15" t="s">
        <v>185</v>
      </c>
      <c r="AN502" s="15" t="s">
        <v>156</v>
      </c>
      <c r="AO502" s="15" t="s">
        <v>216</v>
      </c>
      <c r="AP502" s="15"/>
    </row>
    <row r="503" ht="22.5" customHeight="1">
      <c r="A503" s="15" t="s">
        <v>4892</v>
      </c>
      <c r="B503" s="15" t="s">
        <v>4893</v>
      </c>
      <c r="C503" s="15" t="s">
        <v>4894</v>
      </c>
      <c r="D503" s="41">
        <v>40016.0</v>
      </c>
      <c r="E503" s="15" t="s">
        <v>98</v>
      </c>
      <c r="F503" s="15">
        <v>5.534922022E9</v>
      </c>
      <c r="G503" s="15" t="s">
        <v>4895</v>
      </c>
      <c r="H503" s="15" t="s">
        <v>101</v>
      </c>
      <c r="I503" s="18"/>
      <c r="J503" s="15" t="s">
        <v>4896</v>
      </c>
      <c r="K503" s="15" t="s">
        <v>4895</v>
      </c>
      <c r="L503" s="15">
        <v>5.534922022E9</v>
      </c>
      <c r="M503" s="18"/>
      <c r="N503" s="18"/>
      <c r="O503" s="18"/>
      <c r="P503" s="20">
        <v>16.0</v>
      </c>
      <c r="Q503" s="22">
        <v>46033.94994212963</v>
      </c>
      <c r="R503" s="15" t="s">
        <v>107</v>
      </c>
      <c r="S503" s="15" t="s">
        <v>109</v>
      </c>
      <c r="T503" s="15" t="s">
        <v>160</v>
      </c>
      <c r="U503" s="15" t="s">
        <v>1739</v>
      </c>
      <c r="V503" s="15" t="s">
        <v>1740</v>
      </c>
      <c r="W503" s="15" t="s">
        <v>1741</v>
      </c>
      <c r="X503" s="15" t="s">
        <v>120</v>
      </c>
      <c r="Y503" s="18"/>
      <c r="Z503" s="15" t="s">
        <v>120</v>
      </c>
      <c r="AA503" s="18"/>
      <c r="AB503" s="15" t="s">
        <v>120</v>
      </c>
      <c r="AC503" s="18"/>
      <c r="AD503" s="18"/>
      <c r="AE503" s="15" t="s">
        <v>120</v>
      </c>
      <c r="AF503" s="18"/>
      <c r="AG503" s="15" t="s">
        <v>120</v>
      </c>
      <c r="AH503" s="18"/>
      <c r="AI503" s="15" t="s">
        <v>120</v>
      </c>
      <c r="AJ503" s="18"/>
      <c r="AK503" s="18"/>
      <c r="AL503" s="15" t="s">
        <v>138</v>
      </c>
      <c r="AM503" s="15" t="s">
        <v>156</v>
      </c>
      <c r="AN503" s="15" t="s">
        <v>242</v>
      </c>
      <c r="AO503" s="15" t="s">
        <v>185</v>
      </c>
      <c r="AP503" s="15"/>
    </row>
    <row r="504" ht="22.5" customHeight="1">
      <c r="A504" s="15" t="s">
        <v>4897</v>
      </c>
      <c r="B504" s="15" t="s">
        <v>4898</v>
      </c>
      <c r="C504" s="15" t="s">
        <v>4899</v>
      </c>
      <c r="D504" s="41">
        <v>40616.0</v>
      </c>
      <c r="E504" s="15" t="s">
        <v>98</v>
      </c>
      <c r="F504" s="15">
        <v>5.51820121E9</v>
      </c>
      <c r="G504" s="15" t="s">
        <v>4900</v>
      </c>
      <c r="H504" s="15" t="s">
        <v>382</v>
      </c>
      <c r="I504" s="18"/>
      <c r="J504" s="15" t="s">
        <v>4901</v>
      </c>
      <c r="K504" s="15" t="s">
        <v>4902</v>
      </c>
      <c r="L504" s="15">
        <v>5.566304741E9</v>
      </c>
      <c r="M504" s="18"/>
      <c r="N504" s="18"/>
      <c r="O504" s="18"/>
      <c r="P504" s="20">
        <v>14.0</v>
      </c>
      <c r="Q504" s="22">
        <v>46021.62365740741</v>
      </c>
      <c r="R504" s="15" t="s">
        <v>107</v>
      </c>
      <c r="S504" s="15" t="s">
        <v>109</v>
      </c>
      <c r="T504" s="15" t="s">
        <v>204</v>
      </c>
      <c r="U504" s="15" t="s">
        <v>367</v>
      </c>
      <c r="V504" s="15" t="s">
        <v>368</v>
      </c>
      <c r="W504" s="15" t="s">
        <v>369</v>
      </c>
      <c r="X504" s="15" t="s">
        <v>120</v>
      </c>
      <c r="Y504" s="18"/>
      <c r="Z504" s="15" t="s">
        <v>120</v>
      </c>
      <c r="AA504" s="18"/>
      <c r="AB504" s="15" t="s">
        <v>120</v>
      </c>
      <c r="AC504" s="18"/>
      <c r="AD504" s="18"/>
      <c r="AE504" s="15" t="s">
        <v>120</v>
      </c>
      <c r="AF504" s="18"/>
      <c r="AG504" s="15" t="s">
        <v>120</v>
      </c>
      <c r="AH504" s="18"/>
      <c r="AI504" s="15" t="s">
        <v>120</v>
      </c>
      <c r="AJ504" s="18"/>
      <c r="AK504" s="18"/>
      <c r="AL504" s="15" t="s">
        <v>185</v>
      </c>
      <c r="AM504" s="15" t="s">
        <v>216</v>
      </c>
      <c r="AN504" s="15" t="s">
        <v>126</v>
      </c>
      <c r="AO504" s="15" t="s">
        <v>124</v>
      </c>
      <c r="AP504" s="15"/>
    </row>
    <row r="505" ht="22.5" customHeight="1">
      <c r="A505" s="15" t="s">
        <v>4903</v>
      </c>
      <c r="B505" s="15" t="s">
        <v>4904</v>
      </c>
      <c r="C505" s="15" t="s">
        <v>4905</v>
      </c>
      <c r="D505" s="41">
        <v>39734.0</v>
      </c>
      <c r="E505" s="15" t="s">
        <v>98</v>
      </c>
      <c r="F505" s="15">
        <v>5.545270137E9</v>
      </c>
      <c r="G505" s="15" t="s">
        <v>4906</v>
      </c>
      <c r="H505" s="15" t="s">
        <v>101</v>
      </c>
      <c r="I505" s="23" t="s">
        <v>4907</v>
      </c>
      <c r="J505" s="15" t="s">
        <v>4908</v>
      </c>
      <c r="K505" s="15" t="s">
        <v>4909</v>
      </c>
      <c r="L505" s="15">
        <v>5.610658194E9</v>
      </c>
      <c r="M505" s="18"/>
      <c r="N505" s="18"/>
      <c r="O505" s="18"/>
      <c r="P505" s="20">
        <v>17.0</v>
      </c>
      <c r="Q505" s="22">
        <v>46038.98033564815</v>
      </c>
      <c r="R505" s="15" t="s">
        <v>107</v>
      </c>
      <c r="S505" s="15" t="s">
        <v>109</v>
      </c>
      <c r="T505" s="15" t="s">
        <v>160</v>
      </c>
      <c r="U505" s="15" t="s">
        <v>1739</v>
      </c>
      <c r="V505" s="15" t="s">
        <v>1740</v>
      </c>
      <c r="W505" s="15" t="s">
        <v>1741</v>
      </c>
      <c r="X505" s="15" t="s">
        <v>120</v>
      </c>
      <c r="Y505" s="18"/>
      <c r="Z505" s="15" t="s">
        <v>120</v>
      </c>
      <c r="AA505" s="18"/>
      <c r="AB505" s="15" t="s">
        <v>120</v>
      </c>
      <c r="AC505" s="15" t="s">
        <v>120</v>
      </c>
      <c r="AD505" s="18"/>
      <c r="AE505" s="15" t="s">
        <v>120</v>
      </c>
      <c r="AF505" s="18"/>
      <c r="AG505" s="15" t="s">
        <v>120</v>
      </c>
      <c r="AH505" s="18"/>
      <c r="AI505" s="15" t="s">
        <v>120</v>
      </c>
      <c r="AJ505" s="18"/>
      <c r="AK505" s="18"/>
      <c r="AL505" s="15" t="s">
        <v>156</v>
      </c>
      <c r="AM505" s="15" t="s">
        <v>138</v>
      </c>
      <c r="AN505" s="15" t="s">
        <v>126</v>
      </c>
      <c r="AO505" s="15" t="s">
        <v>242</v>
      </c>
      <c r="AP505" s="15"/>
    </row>
    <row r="506" ht="22.5" customHeight="1">
      <c r="A506" s="15" t="s">
        <v>2534</v>
      </c>
      <c r="B506" s="15" t="s">
        <v>2536</v>
      </c>
      <c r="C506" s="15" t="s">
        <v>2537</v>
      </c>
      <c r="D506" s="41">
        <v>41120.0</v>
      </c>
      <c r="E506" s="15" t="s">
        <v>98</v>
      </c>
      <c r="F506" s="15">
        <v>5.643570733E9</v>
      </c>
      <c r="G506" s="15" t="s">
        <v>1386</v>
      </c>
      <c r="H506" s="15" t="s">
        <v>101</v>
      </c>
      <c r="I506" s="18"/>
      <c r="J506" s="15" t="s">
        <v>1383</v>
      </c>
      <c r="K506" s="15" t="s">
        <v>1386</v>
      </c>
      <c r="L506" s="15">
        <v>5.518388891E9</v>
      </c>
      <c r="M506" s="18"/>
      <c r="N506" s="18"/>
      <c r="O506" s="18"/>
      <c r="P506" s="20">
        <v>13.0</v>
      </c>
      <c r="Q506" s="22">
        <v>46033.51528935185</v>
      </c>
      <c r="R506" s="15" t="s">
        <v>107</v>
      </c>
      <c r="S506" s="15" t="s">
        <v>109</v>
      </c>
      <c r="T506" s="15" t="s">
        <v>160</v>
      </c>
      <c r="U506" s="15" t="s">
        <v>1265</v>
      </c>
      <c r="V506" s="15" t="s">
        <v>1267</v>
      </c>
      <c r="W506" s="15" t="s">
        <v>1268</v>
      </c>
      <c r="X506" s="15" t="s">
        <v>120</v>
      </c>
      <c r="Y506" s="18"/>
      <c r="Z506" s="15" t="s">
        <v>120</v>
      </c>
      <c r="AA506" s="18"/>
      <c r="AB506" s="15" t="s">
        <v>120</v>
      </c>
      <c r="AC506" s="18"/>
      <c r="AD506" s="18"/>
      <c r="AE506" s="15" t="s">
        <v>117</v>
      </c>
      <c r="AF506" s="15" t="s">
        <v>2556</v>
      </c>
      <c r="AG506" s="15" t="s">
        <v>120</v>
      </c>
      <c r="AH506" s="18"/>
      <c r="AI506" s="15" t="s">
        <v>120</v>
      </c>
      <c r="AJ506" s="18"/>
      <c r="AK506" s="18"/>
      <c r="AL506" s="15" t="s">
        <v>124</v>
      </c>
      <c r="AM506" s="15" t="s">
        <v>240</v>
      </c>
      <c r="AN506" s="15" t="s">
        <v>156</v>
      </c>
      <c r="AO506" s="15" t="s">
        <v>126</v>
      </c>
      <c r="AP506" s="15"/>
    </row>
    <row r="507" ht="22.5" customHeight="1">
      <c r="A507" s="15" t="s">
        <v>4910</v>
      </c>
      <c r="B507" s="15" t="s">
        <v>4911</v>
      </c>
      <c r="C507" s="15" t="s">
        <v>4912</v>
      </c>
      <c r="D507" s="41">
        <v>39702.0</v>
      </c>
      <c r="E507" s="15" t="s">
        <v>177</v>
      </c>
      <c r="F507" s="15">
        <v>5.5820051E9</v>
      </c>
      <c r="G507" s="15" t="s">
        <v>4913</v>
      </c>
      <c r="H507" s="15" t="s">
        <v>140</v>
      </c>
      <c r="I507" s="23" t="s">
        <v>135</v>
      </c>
      <c r="J507" s="15" t="s">
        <v>4914</v>
      </c>
      <c r="K507" s="15" t="s">
        <v>4915</v>
      </c>
      <c r="L507" s="15">
        <v>5.5820051E9</v>
      </c>
      <c r="M507" s="15" t="s">
        <v>4916</v>
      </c>
      <c r="N507" s="15" t="s">
        <v>4915</v>
      </c>
      <c r="O507" s="15">
        <v>5.636297242E9</v>
      </c>
      <c r="P507" s="20">
        <v>17.0</v>
      </c>
      <c r="Q507" s="22">
        <v>46032.73840277778</v>
      </c>
      <c r="R507" s="15" t="s">
        <v>107</v>
      </c>
      <c r="S507" s="15" t="s">
        <v>109</v>
      </c>
      <c r="T507" s="15" t="s">
        <v>171</v>
      </c>
      <c r="U507" s="15" t="s">
        <v>638</v>
      </c>
      <c r="V507" s="15" t="s">
        <v>639</v>
      </c>
      <c r="W507" s="15" t="s">
        <v>641</v>
      </c>
      <c r="X507" s="15" t="s">
        <v>120</v>
      </c>
      <c r="Y507" s="15" t="s">
        <v>1537</v>
      </c>
      <c r="Z507" s="15" t="s">
        <v>120</v>
      </c>
      <c r="AA507" s="18"/>
      <c r="AB507" s="15" t="s">
        <v>120</v>
      </c>
      <c r="AC507" s="18"/>
      <c r="AD507" s="18"/>
      <c r="AE507" s="15" t="s">
        <v>120</v>
      </c>
      <c r="AF507" s="18"/>
      <c r="AG507" s="15" t="s">
        <v>120</v>
      </c>
      <c r="AH507" s="18"/>
      <c r="AI507" s="15" t="s">
        <v>120</v>
      </c>
      <c r="AJ507" s="18"/>
      <c r="AK507" s="18"/>
      <c r="AL507" s="15" t="s">
        <v>240</v>
      </c>
      <c r="AM507" s="15" t="s">
        <v>126</v>
      </c>
      <c r="AN507" s="15" t="s">
        <v>185</v>
      </c>
      <c r="AO507" s="15" t="s">
        <v>242</v>
      </c>
      <c r="AP507" s="15"/>
    </row>
    <row r="508" ht="22.5" customHeight="1">
      <c r="A508" s="15" t="s">
        <v>1155</v>
      </c>
      <c r="B508" s="15" t="s">
        <v>4917</v>
      </c>
      <c r="C508" s="15" t="s">
        <v>4918</v>
      </c>
      <c r="D508" s="41">
        <v>39471.0</v>
      </c>
      <c r="E508" s="15" t="s">
        <v>98</v>
      </c>
      <c r="F508" s="15">
        <v>5.627383416E9</v>
      </c>
      <c r="G508" s="15" t="s">
        <v>4919</v>
      </c>
      <c r="H508" s="15" t="s">
        <v>140</v>
      </c>
      <c r="I508" s="23" t="s">
        <v>4920</v>
      </c>
      <c r="J508" s="15" t="s">
        <v>4921</v>
      </c>
      <c r="K508" s="15" t="s">
        <v>4922</v>
      </c>
      <c r="L508" s="15">
        <v>5.540460204E9</v>
      </c>
      <c r="M508" s="18"/>
      <c r="N508" s="18"/>
      <c r="O508" s="18"/>
      <c r="P508" s="20">
        <v>18.0</v>
      </c>
      <c r="Q508" s="22">
        <v>46024.72758101852</v>
      </c>
      <c r="R508" s="15" t="s">
        <v>107</v>
      </c>
      <c r="S508" s="15" t="s">
        <v>109</v>
      </c>
      <c r="T508" s="15" t="s">
        <v>127</v>
      </c>
      <c r="U508" s="15" t="s">
        <v>531</v>
      </c>
      <c r="V508" s="15" t="s">
        <v>532</v>
      </c>
      <c r="W508" s="15" t="s">
        <v>534</v>
      </c>
      <c r="X508" s="15" t="s">
        <v>120</v>
      </c>
      <c r="Y508" s="18"/>
      <c r="Z508" s="15" t="s">
        <v>120</v>
      </c>
      <c r="AA508" s="18"/>
      <c r="AB508" s="15" t="s">
        <v>120</v>
      </c>
      <c r="AC508" s="18"/>
      <c r="AD508" s="18"/>
      <c r="AE508" s="15" t="s">
        <v>120</v>
      </c>
      <c r="AF508" s="18"/>
      <c r="AG508" s="15" t="s">
        <v>120</v>
      </c>
      <c r="AH508" s="18"/>
      <c r="AI508" s="15" t="s">
        <v>120</v>
      </c>
      <c r="AJ508" s="18"/>
      <c r="AK508" s="18"/>
      <c r="AL508" s="15" t="s">
        <v>126</v>
      </c>
      <c r="AM508" s="15" t="s">
        <v>138</v>
      </c>
      <c r="AN508" s="15" t="s">
        <v>129</v>
      </c>
      <c r="AO508" s="15" t="s">
        <v>124</v>
      </c>
      <c r="AP508" s="15"/>
    </row>
    <row r="509" ht="22.5" customHeight="1">
      <c r="A509" s="15" t="s">
        <v>4923</v>
      </c>
      <c r="B509" s="15" t="s">
        <v>4924</v>
      </c>
      <c r="C509" s="15" t="s">
        <v>4925</v>
      </c>
      <c r="D509" s="41">
        <v>40116.0</v>
      </c>
      <c r="E509" s="15" t="s">
        <v>98</v>
      </c>
      <c r="F509" s="15">
        <v>5.539071015E9</v>
      </c>
      <c r="G509" s="15" t="s">
        <v>4926</v>
      </c>
      <c r="H509" s="15" t="s">
        <v>150</v>
      </c>
      <c r="I509" s="18"/>
      <c r="J509" s="15" t="s">
        <v>4927</v>
      </c>
      <c r="K509" s="15" t="s">
        <v>4928</v>
      </c>
      <c r="L509" s="15">
        <v>5.513446602E9</v>
      </c>
      <c r="M509" s="15" t="s">
        <v>4929</v>
      </c>
      <c r="N509" s="15" t="s">
        <v>2770</v>
      </c>
      <c r="O509" s="15">
        <v>5.56494955E9</v>
      </c>
      <c r="P509" s="20">
        <v>16.0</v>
      </c>
      <c r="Q509" s="22">
        <v>46024.878541666665</v>
      </c>
      <c r="R509" s="15" t="s">
        <v>107</v>
      </c>
      <c r="S509" s="15" t="s">
        <v>109</v>
      </c>
      <c r="T509" s="15" t="s">
        <v>171</v>
      </c>
      <c r="U509" s="15" t="s">
        <v>173</v>
      </c>
      <c r="V509" s="15" t="s">
        <v>167</v>
      </c>
      <c r="W509" s="15" t="s">
        <v>175</v>
      </c>
      <c r="X509" s="15" t="s">
        <v>120</v>
      </c>
      <c r="Y509" s="18"/>
      <c r="Z509" s="15" t="s">
        <v>120</v>
      </c>
      <c r="AA509" s="18"/>
      <c r="AB509" s="15" t="s">
        <v>120</v>
      </c>
      <c r="AC509" s="18"/>
      <c r="AD509" s="18"/>
      <c r="AE509" s="15" t="s">
        <v>120</v>
      </c>
      <c r="AF509" s="18"/>
      <c r="AG509" s="15" t="s">
        <v>120</v>
      </c>
      <c r="AH509" s="18"/>
      <c r="AI509" s="15" t="s">
        <v>120</v>
      </c>
      <c r="AJ509" s="18"/>
      <c r="AK509" s="18"/>
      <c r="AL509" s="15" t="s">
        <v>185</v>
      </c>
      <c r="AM509" s="15" t="s">
        <v>242</v>
      </c>
      <c r="AN509" s="15" t="s">
        <v>126</v>
      </c>
      <c r="AO509" s="15" t="s">
        <v>240</v>
      </c>
      <c r="AP509" s="15"/>
    </row>
    <row r="510" ht="22.5" customHeight="1">
      <c r="A510" s="15" t="s">
        <v>4930</v>
      </c>
      <c r="B510" s="15" t="s">
        <v>4931</v>
      </c>
      <c r="C510" s="15" t="s">
        <v>4932</v>
      </c>
      <c r="D510" s="41">
        <v>40936.0</v>
      </c>
      <c r="E510" s="15" t="s">
        <v>177</v>
      </c>
      <c r="F510" s="15">
        <v>5.62593313E9</v>
      </c>
      <c r="G510" s="15" t="s">
        <v>4933</v>
      </c>
      <c r="H510" s="15" t="s">
        <v>101</v>
      </c>
      <c r="I510" s="18"/>
      <c r="J510" s="15" t="s">
        <v>4934</v>
      </c>
      <c r="K510" s="15" t="s">
        <v>4935</v>
      </c>
      <c r="L510" s="15">
        <v>5.511330167E9</v>
      </c>
      <c r="M510" s="18"/>
      <c r="N510" s="18"/>
      <c r="O510" s="18"/>
      <c r="P510" s="20">
        <v>14.0</v>
      </c>
      <c r="Q510" s="22">
        <v>46040.59753472222</v>
      </c>
      <c r="R510" s="15" t="s">
        <v>107</v>
      </c>
      <c r="S510" s="15" t="s">
        <v>109</v>
      </c>
      <c r="T510" s="15" t="s">
        <v>192</v>
      </c>
      <c r="U510" s="15" t="s">
        <v>485</v>
      </c>
      <c r="V510" s="15" t="s">
        <v>486</v>
      </c>
      <c r="W510" s="15" t="s">
        <v>487</v>
      </c>
      <c r="X510" s="15" t="s">
        <v>120</v>
      </c>
      <c r="Y510" s="18"/>
      <c r="Z510" s="15" t="s">
        <v>120</v>
      </c>
      <c r="AA510" s="18"/>
      <c r="AB510" s="15" t="s">
        <v>120</v>
      </c>
      <c r="AC510" s="18"/>
      <c r="AD510" s="18"/>
      <c r="AE510" s="15" t="s">
        <v>120</v>
      </c>
      <c r="AF510" s="18"/>
      <c r="AG510" s="15" t="s">
        <v>120</v>
      </c>
      <c r="AH510" s="18"/>
      <c r="AI510" s="15" t="s">
        <v>120</v>
      </c>
      <c r="AJ510" s="18"/>
      <c r="AK510" s="18"/>
      <c r="AL510" s="15" t="s">
        <v>156</v>
      </c>
      <c r="AM510" s="15" t="s">
        <v>240</v>
      </c>
      <c r="AN510" s="15" t="s">
        <v>128</v>
      </c>
      <c r="AO510" s="15" t="s">
        <v>216</v>
      </c>
      <c r="AP510" s="15"/>
    </row>
    <row r="511" ht="22.5" customHeight="1">
      <c r="A511" s="15" t="s">
        <v>2560</v>
      </c>
      <c r="B511" s="15" t="s">
        <v>2561</v>
      </c>
      <c r="C511" s="15" t="s">
        <v>2562</v>
      </c>
      <c r="D511" s="41">
        <v>40418.0</v>
      </c>
      <c r="E511" s="15" t="s">
        <v>98</v>
      </c>
      <c r="F511" s="15">
        <v>5.536641243E9</v>
      </c>
      <c r="G511" s="15" t="s">
        <v>2563</v>
      </c>
      <c r="H511" s="15" t="s">
        <v>150</v>
      </c>
      <c r="I511" s="23" t="s">
        <v>1325</v>
      </c>
      <c r="J511" s="15" t="s">
        <v>2565</v>
      </c>
      <c r="K511" s="15" t="s">
        <v>2567</v>
      </c>
      <c r="L511" s="15">
        <v>5.532344415E9</v>
      </c>
      <c r="M511" s="15" t="s">
        <v>2569</v>
      </c>
      <c r="N511" s="15" t="s">
        <v>2571</v>
      </c>
      <c r="O511" s="15">
        <v>5.527534772E9</v>
      </c>
      <c r="P511" s="20">
        <v>15.0</v>
      </c>
      <c r="Q511" s="22">
        <v>46040.48479166667</v>
      </c>
      <c r="R511" s="15" t="s">
        <v>107</v>
      </c>
      <c r="S511" s="15" t="s">
        <v>109</v>
      </c>
      <c r="T511" s="15" t="s">
        <v>111</v>
      </c>
      <c r="U511" s="15" t="s">
        <v>398</v>
      </c>
      <c r="V511" s="15" t="s">
        <v>399</v>
      </c>
      <c r="W511" s="15" t="s">
        <v>400</v>
      </c>
      <c r="X511" s="15" t="s">
        <v>120</v>
      </c>
      <c r="Y511" s="18"/>
      <c r="Z511" s="15" t="s">
        <v>120</v>
      </c>
      <c r="AA511" s="18"/>
      <c r="AB511" s="15" t="s">
        <v>120</v>
      </c>
      <c r="AC511" s="18"/>
      <c r="AD511" s="18"/>
      <c r="AE511" s="15" t="s">
        <v>117</v>
      </c>
      <c r="AF511" s="15" t="s">
        <v>2584</v>
      </c>
      <c r="AG511" s="15" t="s">
        <v>120</v>
      </c>
      <c r="AH511" s="18"/>
      <c r="AI511" s="15" t="s">
        <v>120</v>
      </c>
      <c r="AJ511" s="18"/>
      <c r="AK511" s="18"/>
      <c r="AL511" s="15" t="s">
        <v>185</v>
      </c>
      <c r="AM511" s="15" t="s">
        <v>138</v>
      </c>
      <c r="AN511" s="15" t="s">
        <v>156</v>
      </c>
      <c r="AO511" s="15" t="s">
        <v>216</v>
      </c>
      <c r="AP511" s="15"/>
    </row>
    <row r="512" ht="22.5" customHeight="1">
      <c r="A512" s="15" t="s">
        <v>4936</v>
      </c>
      <c r="B512" s="15" t="s">
        <v>4937</v>
      </c>
      <c r="C512" s="15" t="s">
        <v>4938</v>
      </c>
      <c r="D512" s="41">
        <v>41268.0</v>
      </c>
      <c r="E512" s="15" t="s">
        <v>177</v>
      </c>
      <c r="F512" s="15">
        <v>5.616056793E9</v>
      </c>
      <c r="G512" s="15" t="s">
        <v>4939</v>
      </c>
      <c r="H512" s="15" t="s">
        <v>101</v>
      </c>
      <c r="I512" s="23" t="s">
        <v>4940</v>
      </c>
      <c r="J512" s="15" t="s">
        <v>4941</v>
      </c>
      <c r="K512" s="15" t="s">
        <v>4942</v>
      </c>
      <c r="L512" s="15">
        <v>5.642348508E9</v>
      </c>
      <c r="M512" s="15" t="s">
        <v>4943</v>
      </c>
      <c r="N512" s="15" t="s">
        <v>4939</v>
      </c>
      <c r="O512" s="15">
        <v>5.616056793E9</v>
      </c>
      <c r="P512" s="20">
        <v>13.0</v>
      </c>
      <c r="Q512" s="22">
        <v>46043.39387731482</v>
      </c>
      <c r="R512" s="15" t="s">
        <v>107</v>
      </c>
      <c r="S512" s="15" t="s">
        <v>109</v>
      </c>
      <c r="T512" s="15" t="s">
        <v>204</v>
      </c>
      <c r="U512" s="15" t="s">
        <v>357</v>
      </c>
      <c r="V512" s="15" t="s">
        <v>359</v>
      </c>
      <c r="W512" s="15" t="s">
        <v>362</v>
      </c>
      <c r="X512" s="15" t="s">
        <v>120</v>
      </c>
      <c r="Y512" s="18"/>
      <c r="Z512" s="15" t="s">
        <v>120</v>
      </c>
      <c r="AA512" s="18"/>
      <c r="AB512" s="15" t="s">
        <v>120</v>
      </c>
      <c r="AC512" s="18"/>
      <c r="AD512" s="18"/>
      <c r="AE512" s="15" t="s">
        <v>120</v>
      </c>
      <c r="AF512" s="18"/>
      <c r="AG512" s="15" t="s">
        <v>120</v>
      </c>
      <c r="AH512" s="18"/>
      <c r="AI512" s="15" t="s">
        <v>120</v>
      </c>
      <c r="AJ512" s="18"/>
      <c r="AK512" s="18"/>
      <c r="AL512" s="15" t="s">
        <v>185</v>
      </c>
      <c r="AM512" s="15" t="s">
        <v>129</v>
      </c>
      <c r="AN512" s="15" t="s">
        <v>216</v>
      </c>
      <c r="AO512" s="15" t="s">
        <v>128</v>
      </c>
      <c r="AP512" s="15"/>
    </row>
    <row r="513" ht="22.5" customHeight="1">
      <c r="A513" s="15" t="s">
        <v>4944</v>
      </c>
      <c r="B513" s="15" t="s">
        <v>4626</v>
      </c>
      <c r="C513" s="15" t="s">
        <v>4945</v>
      </c>
      <c r="D513" s="41">
        <v>40988.0</v>
      </c>
      <c r="E513" s="15" t="s">
        <v>177</v>
      </c>
      <c r="F513" s="15">
        <v>5.648621872E9</v>
      </c>
      <c r="G513" s="15" t="s">
        <v>4946</v>
      </c>
      <c r="H513" s="15" t="s">
        <v>382</v>
      </c>
      <c r="I513" s="18"/>
      <c r="J513" s="15" t="s">
        <v>4629</v>
      </c>
      <c r="K513" s="15" t="s">
        <v>4630</v>
      </c>
      <c r="L513" s="15">
        <v>5.566343985E9</v>
      </c>
      <c r="M513" s="15" t="s">
        <v>4631</v>
      </c>
      <c r="N513" s="15" t="s">
        <v>4632</v>
      </c>
      <c r="O513" s="15">
        <v>5.614541283E9</v>
      </c>
      <c r="P513" s="20">
        <v>13.0</v>
      </c>
      <c r="Q513" s="22">
        <v>46033.465636574074</v>
      </c>
      <c r="R513" s="15" t="s">
        <v>107</v>
      </c>
      <c r="S513" s="15" t="s">
        <v>109</v>
      </c>
      <c r="T513" s="15" t="s">
        <v>111</v>
      </c>
      <c r="U513" s="15" t="s">
        <v>1979</v>
      </c>
      <c r="V513" s="15" t="s">
        <v>1980</v>
      </c>
      <c r="W513" s="15" t="s">
        <v>1981</v>
      </c>
      <c r="X513" s="15" t="s">
        <v>120</v>
      </c>
      <c r="Y513" s="18"/>
      <c r="Z513" s="15" t="s">
        <v>120</v>
      </c>
      <c r="AA513" s="18"/>
      <c r="AB513" s="15" t="s">
        <v>120</v>
      </c>
      <c r="AC513" s="18"/>
      <c r="AD513" s="18"/>
      <c r="AE513" s="15" t="s">
        <v>120</v>
      </c>
      <c r="AF513" s="18"/>
      <c r="AG513" s="15" t="s">
        <v>120</v>
      </c>
      <c r="AH513" s="18"/>
      <c r="AI513" s="15" t="s">
        <v>120</v>
      </c>
      <c r="AJ513" s="18"/>
      <c r="AK513" s="18"/>
      <c r="AL513" s="15" t="s">
        <v>141</v>
      </c>
      <c r="AM513" s="15" t="s">
        <v>129</v>
      </c>
      <c r="AN513" s="15" t="s">
        <v>156</v>
      </c>
      <c r="AO513" s="15" t="s">
        <v>124</v>
      </c>
      <c r="AP513" s="15"/>
    </row>
    <row r="514" ht="22.5" customHeight="1">
      <c r="A514" s="15" t="s">
        <v>4955</v>
      </c>
      <c r="B514" s="15" t="s">
        <v>4286</v>
      </c>
      <c r="C514" s="15" t="s">
        <v>4956</v>
      </c>
      <c r="D514" s="41">
        <v>40256.0</v>
      </c>
      <c r="E514" s="15" t="s">
        <v>98</v>
      </c>
      <c r="F514" s="15" t="s">
        <v>4288</v>
      </c>
      <c r="G514" s="15" t="s">
        <v>4289</v>
      </c>
      <c r="H514" s="15" t="s">
        <v>140</v>
      </c>
      <c r="I514" s="18"/>
      <c r="J514" s="15" t="s">
        <v>4291</v>
      </c>
      <c r="K514" s="15" t="s">
        <v>4289</v>
      </c>
      <c r="L514" s="15">
        <v>5.524335264E9</v>
      </c>
      <c r="M514" s="15" t="s">
        <v>4292</v>
      </c>
      <c r="N514" s="15" t="s">
        <v>4293</v>
      </c>
      <c r="O514" s="15">
        <v>5.514018369E9</v>
      </c>
      <c r="P514" s="20">
        <v>15.0</v>
      </c>
      <c r="Q514" s="22">
        <v>46034.54723379629</v>
      </c>
      <c r="R514" s="15" t="s">
        <v>107</v>
      </c>
      <c r="S514" s="15" t="s">
        <v>109</v>
      </c>
      <c r="T514" s="15" t="s">
        <v>204</v>
      </c>
      <c r="U514" s="15" t="s">
        <v>295</v>
      </c>
      <c r="V514" s="15" t="s">
        <v>298</v>
      </c>
      <c r="W514" s="15" t="s">
        <v>299</v>
      </c>
      <c r="X514" s="15" t="s">
        <v>120</v>
      </c>
      <c r="Y514" s="18"/>
      <c r="Z514" s="15" t="s">
        <v>120</v>
      </c>
      <c r="AA514" s="18"/>
      <c r="AB514" s="15" t="s">
        <v>120</v>
      </c>
      <c r="AC514" s="18"/>
      <c r="AD514" s="18"/>
      <c r="AE514" s="15" t="s">
        <v>120</v>
      </c>
      <c r="AF514" s="18"/>
      <c r="AG514" s="15" t="s">
        <v>120</v>
      </c>
      <c r="AH514" s="18"/>
      <c r="AI514" s="15" t="s">
        <v>120</v>
      </c>
      <c r="AJ514" s="18"/>
      <c r="AK514" s="18"/>
      <c r="AL514" s="15" t="s">
        <v>242</v>
      </c>
      <c r="AM514" s="15" t="s">
        <v>156</v>
      </c>
      <c r="AN514" s="15" t="s">
        <v>242</v>
      </c>
      <c r="AO514" s="15" t="s">
        <v>138</v>
      </c>
      <c r="AP514" s="15"/>
    </row>
    <row r="515" ht="22.5" customHeight="1">
      <c r="A515" s="15" t="s">
        <v>2696</v>
      </c>
      <c r="B515" s="15" t="s">
        <v>4088</v>
      </c>
      <c r="C515" s="15" t="s">
        <v>4958</v>
      </c>
      <c r="D515" s="41">
        <v>39450.0</v>
      </c>
      <c r="E515" s="15" t="s">
        <v>98</v>
      </c>
      <c r="F515" s="15">
        <v>5.619608339E9</v>
      </c>
      <c r="G515" s="15" t="s">
        <v>4959</v>
      </c>
      <c r="H515" s="15" t="s">
        <v>101</v>
      </c>
      <c r="I515" s="23" t="s">
        <v>135</v>
      </c>
      <c r="J515" s="15" t="s">
        <v>4091</v>
      </c>
      <c r="K515" s="15" t="s">
        <v>4092</v>
      </c>
      <c r="L515" s="15">
        <v>5.585591381E9</v>
      </c>
      <c r="M515" s="18"/>
      <c r="N515" s="18"/>
      <c r="O515" s="18"/>
      <c r="P515" s="20">
        <v>18.0</v>
      </c>
      <c r="Q515" s="22">
        <v>46033.79822916666</v>
      </c>
      <c r="R515" s="15" t="s">
        <v>107</v>
      </c>
      <c r="S515" s="15" t="s">
        <v>109</v>
      </c>
      <c r="T515" s="15" t="s">
        <v>160</v>
      </c>
      <c r="U515" s="15" t="s">
        <v>279</v>
      </c>
      <c r="V515" s="15" t="s">
        <v>280</v>
      </c>
      <c r="W515" s="15" t="s">
        <v>282</v>
      </c>
      <c r="X515" s="15" t="s">
        <v>120</v>
      </c>
      <c r="Y515" s="18"/>
      <c r="Z515" s="15" t="s">
        <v>120</v>
      </c>
      <c r="AA515" s="18"/>
      <c r="AB515" s="15" t="s">
        <v>120</v>
      </c>
      <c r="AC515" s="15" t="s">
        <v>120</v>
      </c>
      <c r="AD515" s="18"/>
      <c r="AE515" s="15" t="s">
        <v>120</v>
      </c>
      <c r="AF515" s="18"/>
      <c r="AG515" s="15" t="s">
        <v>120</v>
      </c>
      <c r="AH515" s="18"/>
      <c r="AI515" s="15" t="s">
        <v>120</v>
      </c>
      <c r="AJ515" s="18"/>
      <c r="AK515" s="15" t="s">
        <v>4960</v>
      </c>
      <c r="AL515" s="15" t="s">
        <v>128</v>
      </c>
      <c r="AM515" s="15" t="s">
        <v>141</v>
      </c>
      <c r="AN515" s="15" t="s">
        <v>138</v>
      </c>
      <c r="AO515" s="15" t="s">
        <v>156</v>
      </c>
      <c r="AP515" s="15"/>
    </row>
    <row r="516" ht="22.5" customHeight="1">
      <c r="A516" s="15" t="s">
        <v>4961</v>
      </c>
      <c r="B516" s="15" t="s">
        <v>1060</v>
      </c>
      <c r="C516" s="15" t="s">
        <v>4962</v>
      </c>
      <c r="D516" s="41">
        <v>40918.0</v>
      </c>
      <c r="E516" s="15" t="s">
        <v>98</v>
      </c>
      <c r="F516" s="15">
        <v>5.522447508E9</v>
      </c>
      <c r="G516" s="15" t="s">
        <v>4963</v>
      </c>
      <c r="H516" s="15" t="s">
        <v>150</v>
      </c>
      <c r="I516" s="18"/>
      <c r="J516" s="15" t="s">
        <v>4964</v>
      </c>
      <c r="K516" s="15" t="s">
        <v>4963</v>
      </c>
      <c r="L516" s="15">
        <v>5.522447508E9</v>
      </c>
      <c r="M516" s="18"/>
      <c r="N516" s="18"/>
      <c r="O516" s="18"/>
      <c r="P516" s="20">
        <v>14.0</v>
      </c>
      <c r="Q516" s="22">
        <v>46036.80537037037</v>
      </c>
      <c r="R516" s="15" t="s">
        <v>107</v>
      </c>
      <c r="S516" s="15" t="s">
        <v>109</v>
      </c>
      <c r="T516" s="15" t="s">
        <v>171</v>
      </c>
      <c r="U516" s="15" t="s">
        <v>2149</v>
      </c>
      <c r="V516" s="15" t="s">
        <v>2141</v>
      </c>
      <c r="W516" s="15" t="s">
        <v>2151</v>
      </c>
      <c r="X516" s="15" t="s">
        <v>120</v>
      </c>
      <c r="Y516" s="18"/>
      <c r="Z516" s="15" t="s">
        <v>120</v>
      </c>
      <c r="AA516" s="18"/>
      <c r="AB516" s="15" t="s">
        <v>120</v>
      </c>
      <c r="AC516" s="15" t="s">
        <v>120</v>
      </c>
      <c r="AD516" s="18"/>
      <c r="AE516" s="15" t="s">
        <v>120</v>
      </c>
      <c r="AF516" s="18"/>
      <c r="AG516" s="15" t="s">
        <v>120</v>
      </c>
      <c r="AH516" s="18"/>
      <c r="AI516" s="15" t="s">
        <v>120</v>
      </c>
      <c r="AJ516" s="18"/>
      <c r="AK516" s="18"/>
      <c r="AL516" s="15" t="s">
        <v>138</v>
      </c>
      <c r="AM516" s="15" t="s">
        <v>156</v>
      </c>
      <c r="AN516" s="15" t="s">
        <v>185</v>
      </c>
      <c r="AO516" s="15" t="s">
        <v>124</v>
      </c>
      <c r="AP516" s="15"/>
    </row>
    <row r="517" ht="22.5" customHeight="1">
      <c r="A517" s="15" t="s">
        <v>4965</v>
      </c>
      <c r="B517" s="15" t="s">
        <v>3719</v>
      </c>
      <c r="C517" s="15" t="s">
        <v>4966</v>
      </c>
      <c r="D517" s="41">
        <v>39956.0</v>
      </c>
      <c r="E517" s="15" t="s">
        <v>177</v>
      </c>
      <c r="F517" s="15">
        <v>5.630855096E9</v>
      </c>
      <c r="G517" s="15" t="s">
        <v>4967</v>
      </c>
      <c r="H517" s="15" t="s">
        <v>101</v>
      </c>
      <c r="I517" s="18"/>
      <c r="J517" s="15" t="s">
        <v>3722</v>
      </c>
      <c r="K517" s="15" t="s">
        <v>3723</v>
      </c>
      <c r="L517" s="15">
        <v>5.621157172E9</v>
      </c>
      <c r="M517" s="15" t="s">
        <v>3724</v>
      </c>
      <c r="N517" s="15" t="s">
        <v>3725</v>
      </c>
      <c r="O517" s="15">
        <v>5.585792169E9</v>
      </c>
      <c r="P517" s="20">
        <v>16.0</v>
      </c>
      <c r="Q517" s="22">
        <v>46033.385462962964</v>
      </c>
      <c r="R517" s="15" t="s">
        <v>107</v>
      </c>
      <c r="S517" s="15" t="s">
        <v>109</v>
      </c>
      <c r="T517" s="15" t="s">
        <v>192</v>
      </c>
      <c r="U517" s="15" t="s">
        <v>485</v>
      </c>
      <c r="V517" s="15" t="s">
        <v>486</v>
      </c>
      <c r="W517" s="15" t="s">
        <v>487</v>
      </c>
      <c r="X517" s="15" t="s">
        <v>120</v>
      </c>
      <c r="Y517" s="18"/>
      <c r="Z517" s="15" t="s">
        <v>120</v>
      </c>
      <c r="AA517" s="18"/>
      <c r="AB517" s="15" t="s">
        <v>120</v>
      </c>
      <c r="AC517" s="18"/>
      <c r="AD517" s="18"/>
      <c r="AE517" s="15" t="s">
        <v>120</v>
      </c>
      <c r="AF517" s="18"/>
      <c r="AG517" s="15" t="s">
        <v>120</v>
      </c>
      <c r="AH517" s="18"/>
      <c r="AI517" s="15" t="s">
        <v>120</v>
      </c>
      <c r="AJ517" s="18"/>
      <c r="AK517" s="18"/>
      <c r="AL517" s="15" t="s">
        <v>141</v>
      </c>
      <c r="AM517" s="15" t="s">
        <v>138</v>
      </c>
      <c r="AN517" s="15" t="s">
        <v>216</v>
      </c>
      <c r="AO517" s="15" t="s">
        <v>156</v>
      </c>
      <c r="AP517" s="15"/>
    </row>
    <row r="518" ht="22.5" customHeight="1">
      <c r="A518" s="15" t="s">
        <v>4968</v>
      </c>
      <c r="B518" s="15" t="s">
        <v>4021</v>
      </c>
      <c r="C518" s="15" t="s">
        <v>4969</v>
      </c>
      <c r="D518" s="41">
        <v>39874.0</v>
      </c>
      <c r="E518" s="15" t="s">
        <v>177</v>
      </c>
      <c r="F518" s="15">
        <v>5.518505018E9</v>
      </c>
      <c r="G518" s="15" t="s">
        <v>4970</v>
      </c>
      <c r="H518" s="15" t="s">
        <v>101</v>
      </c>
      <c r="I518" s="18"/>
      <c r="J518" s="15" t="s">
        <v>4025</v>
      </c>
      <c r="K518" s="15" t="s">
        <v>4026</v>
      </c>
      <c r="L518" s="15">
        <v>5.518505018E9</v>
      </c>
      <c r="M518" s="18"/>
      <c r="N518" s="18"/>
      <c r="O518" s="18"/>
      <c r="P518" s="20">
        <v>17.0</v>
      </c>
      <c r="Q518" s="22">
        <v>46040.95197916667</v>
      </c>
      <c r="R518" s="15" t="s">
        <v>107</v>
      </c>
      <c r="S518" s="15" t="s">
        <v>109</v>
      </c>
      <c r="T518" s="15" t="s">
        <v>192</v>
      </c>
      <c r="U518" s="15" t="s">
        <v>749</v>
      </c>
      <c r="V518" s="15" t="s">
        <v>750</v>
      </c>
      <c r="W518" s="15" t="s">
        <v>751</v>
      </c>
      <c r="X518" s="15" t="s">
        <v>120</v>
      </c>
      <c r="Y518" s="18"/>
      <c r="Z518" s="15" t="s">
        <v>120</v>
      </c>
      <c r="AA518" s="18"/>
      <c r="AB518" s="15" t="s">
        <v>120</v>
      </c>
      <c r="AC518" s="15" t="s">
        <v>120</v>
      </c>
      <c r="AD518" s="18"/>
      <c r="AE518" s="15" t="s">
        <v>120</v>
      </c>
      <c r="AF518" s="18"/>
      <c r="AG518" s="15" t="s">
        <v>120</v>
      </c>
      <c r="AH518" s="18"/>
      <c r="AI518" s="15" t="s">
        <v>120</v>
      </c>
      <c r="AJ518" s="18"/>
      <c r="AK518" s="18"/>
      <c r="AL518" s="15" t="s">
        <v>128</v>
      </c>
      <c r="AM518" s="15" t="s">
        <v>129</v>
      </c>
      <c r="AN518" s="15" t="s">
        <v>124</v>
      </c>
      <c r="AO518" s="15" t="s">
        <v>141</v>
      </c>
      <c r="AP518" s="15"/>
    </row>
    <row r="519" ht="22.5" customHeight="1">
      <c r="A519" s="15" t="s">
        <v>4971</v>
      </c>
      <c r="B519" s="15" t="s">
        <v>4972</v>
      </c>
      <c r="C519" s="15" t="s">
        <v>4973</v>
      </c>
      <c r="D519" s="41">
        <v>40233.0</v>
      </c>
      <c r="E519" s="15" t="s">
        <v>98</v>
      </c>
      <c r="F519" s="15">
        <v>5.535331335E9</v>
      </c>
      <c r="G519" s="15" t="s">
        <v>4974</v>
      </c>
      <c r="H519" s="15" t="s">
        <v>101</v>
      </c>
      <c r="I519" s="18"/>
      <c r="J519" s="15" t="s">
        <v>3670</v>
      </c>
      <c r="K519" s="15" t="s">
        <v>1600</v>
      </c>
      <c r="L519" s="15">
        <v>5.535331335E9</v>
      </c>
      <c r="M519" s="18"/>
      <c r="N519" s="18"/>
      <c r="O519" s="18"/>
      <c r="P519" s="20">
        <v>16.0</v>
      </c>
      <c r="Q519" s="22">
        <v>46039.90416666667</v>
      </c>
      <c r="R519" s="15" t="s">
        <v>107</v>
      </c>
      <c r="S519" s="15" t="s">
        <v>109</v>
      </c>
      <c r="T519" s="15" t="s">
        <v>208</v>
      </c>
      <c r="U519" s="15" t="s">
        <v>1599</v>
      </c>
      <c r="V519" s="15" t="s">
        <v>1600</v>
      </c>
      <c r="W519" s="15" t="s">
        <v>1602</v>
      </c>
      <c r="X519" s="15" t="s">
        <v>120</v>
      </c>
      <c r="Y519" s="18"/>
      <c r="Z519" s="15" t="s">
        <v>120</v>
      </c>
      <c r="AA519" s="18"/>
      <c r="AB519" s="15" t="s">
        <v>120</v>
      </c>
      <c r="AC519" s="15" t="s">
        <v>120</v>
      </c>
      <c r="AD519" s="18"/>
      <c r="AE519" s="15" t="s">
        <v>120</v>
      </c>
      <c r="AF519" s="18"/>
      <c r="AG519" s="15" t="s">
        <v>120</v>
      </c>
      <c r="AH519" s="18"/>
      <c r="AI519" s="15" t="s">
        <v>120</v>
      </c>
      <c r="AJ519" s="18"/>
      <c r="AK519" s="18"/>
      <c r="AL519" s="15" t="s">
        <v>240</v>
      </c>
      <c r="AM519" s="15" t="s">
        <v>138</v>
      </c>
      <c r="AN519" s="15" t="s">
        <v>242</v>
      </c>
      <c r="AO519" s="15" t="s">
        <v>129</v>
      </c>
      <c r="AP519" s="15"/>
    </row>
    <row r="520" ht="22.5" customHeight="1">
      <c r="A520" s="15" t="s">
        <v>4975</v>
      </c>
      <c r="B520" s="15" t="s">
        <v>4976</v>
      </c>
      <c r="C520" s="15" t="s">
        <v>4977</v>
      </c>
      <c r="D520" s="41">
        <v>40407.0</v>
      </c>
      <c r="E520" s="15" t="s">
        <v>98</v>
      </c>
      <c r="F520" s="15" t="s">
        <v>4978</v>
      </c>
      <c r="G520" s="15" t="s">
        <v>4979</v>
      </c>
      <c r="H520" s="15" t="s">
        <v>140</v>
      </c>
      <c r="I520" s="18"/>
      <c r="J520" s="15" t="s">
        <v>4980</v>
      </c>
      <c r="K520" s="15" t="s">
        <v>4981</v>
      </c>
      <c r="L520" s="15" t="s">
        <v>4982</v>
      </c>
      <c r="M520" s="15" t="s">
        <v>4983</v>
      </c>
      <c r="N520" s="15" t="s">
        <v>4984</v>
      </c>
      <c r="O520" s="15" t="s">
        <v>4985</v>
      </c>
      <c r="P520" s="20">
        <v>15.0</v>
      </c>
      <c r="Q520" s="22">
        <v>46040.62206018518</v>
      </c>
      <c r="R520" s="15" t="s">
        <v>107</v>
      </c>
      <c r="S520" s="15" t="s">
        <v>109</v>
      </c>
      <c r="T520" s="15" t="s">
        <v>171</v>
      </c>
      <c r="U520" s="15" t="s">
        <v>444</v>
      </c>
      <c r="V520" s="15" t="s">
        <v>445</v>
      </c>
      <c r="W520" s="15" t="s">
        <v>446</v>
      </c>
      <c r="X520" s="15" t="s">
        <v>120</v>
      </c>
      <c r="Y520" s="18"/>
      <c r="Z520" s="15" t="s">
        <v>120</v>
      </c>
      <c r="AA520" s="18"/>
      <c r="AB520" s="15" t="s">
        <v>120</v>
      </c>
      <c r="AC520" s="18"/>
      <c r="AD520" s="18"/>
      <c r="AE520" s="15" t="s">
        <v>120</v>
      </c>
      <c r="AF520" s="18"/>
      <c r="AG520" s="15" t="s">
        <v>120</v>
      </c>
      <c r="AH520" s="18"/>
      <c r="AI520" s="15" t="s">
        <v>120</v>
      </c>
      <c r="AJ520" s="18"/>
      <c r="AK520" s="18"/>
      <c r="AL520" s="15" t="s">
        <v>156</v>
      </c>
      <c r="AM520" s="15" t="s">
        <v>216</v>
      </c>
      <c r="AN520" s="15" t="s">
        <v>124</v>
      </c>
      <c r="AO520" s="15" t="s">
        <v>242</v>
      </c>
      <c r="AP520" s="15"/>
    </row>
    <row r="521" ht="22.5" customHeight="1">
      <c r="A521" s="15" t="s">
        <v>4986</v>
      </c>
      <c r="B521" s="15" t="s">
        <v>2124</v>
      </c>
      <c r="C521" s="15" t="s">
        <v>4987</v>
      </c>
      <c r="D521" s="41">
        <v>39684.0</v>
      </c>
      <c r="E521" s="15" t="s">
        <v>98</v>
      </c>
      <c r="F521" s="15">
        <v>5.57460804E9</v>
      </c>
      <c r="G521" s="15" t="s">
        <v>4988</v>
      </c>
      <c r="H521" s="15" t="s">
        <v>140</v>
      </c>
      <c r="I521" s="18"/>
      <c r="J521" s="15" t="s">
        <v>2128</v>
      </c>
      <c r="K521" s="15" t="s">
        <v>2129</v>
      </c>
      <c r="L521" s="15">
        <v>5.520727404E9</v>
      </c>
      <c r="M521" s="18"/>
      <c r="N521" s="18"/>
      <c r="O521" s="18"/>
      <c r="P521" s="20">
        <v>17.0</v>
      </c>
      <c r="Q521" s="22">
        <v>46026.560740740744</v>
      </c>
      <c r="R521" s="15" t="s">
        <v>107</v>
      </c>
      <c r="S521" s="15" t="s">
        <v>109</v>
      </c>
      <c r="T521" s="15" t="s">
        <v>192</v>
      </c>
      <c r="U521" s="15" t="s">
        <v>749</v>
      </c>
      <c r="V521" s="15" t="s">
        <v>750</v>
      </c>
      <c r="W521" s="15" t="s">
        <v>751</v>
      </c>
      <c r="X521" s="15" t="s">
        <v>120</v>
      </c>
      <c r="Y521" s="18"/>
      <c r="Z521" s="15" t="s">
        <v>117</v>
      </c>
      <c r="AA521" s="52" t="s">
        <v>2136</v>
      </c>
      <c r="AB521" s="15" t="s">
        <v>120</v>
      </c>
      <c r="AC521" s="15" t="s">
        <v>120</v>
      </c>
      <c r="AD521" s="18"/>
      <c r="AE521" s="15" t="s">
        <v>120</v>
      </c>
      <c r="AF521" s="18"/>
      <c r="AG521" s="15" t="s">
        <v>120</v>
      </c>
      <c r="AH521" s="18"/>
      <c r="AI521" s="15" t="s">
        <v>120</v>
      </c>
      <c r="AJ521" s="18"/>
      <c r="AK521" s="18"/>
      <c r="AL521" s="15" t="s">
        <v>185</v>
      </c>
      <c r="AM521" s="15" t="s">
        <v>124</v>
      </c>
      <c r="AN521" s="15" t="s">
        <v>156</v>
      </c>
      <c r="AO521" s="15" t="s">
        <v>216</v>
      </c>
      <c r="AP521" s="15"/>
    </row>
    <row r="522" ht="22.5" customHeight="1">
      <c r="A522" s="15" t="s">
        <v>4989</v>
      </c>
      <c r="B522" s="15" t="s">
        <v>4990</v>
      </c>
      <c r="C522" s="15" t="s">
        <v>4991</v>
      </c>
      <c r="D522" s="41">
        <v>40695.0</v>
      </c>
      <c r="E522" s="15" t="s">
        <v>98</v>
      </c>
      <c r="F522" s="15">
        <v>5.539179787E9</v>
      </c>
      <c r="G522" s="15" t="s">
        <v>4992</v>
      </c>
      <c r="H522" s="15" t="s">
        <v>140</v>
      </c>
      <c r="I522" s="18"/>
      <c r="J522" s="15" t="s">
        <v>4993</v>
      </c>
      <c r="K522" s="15" t="s">
        <v>4992</v>
      </c>
      <c r="L522" s="15">
        <v>5.539179787E9</v>
      </c>
      <c r="M522" s="18"/>
      <c r="N522" s="18"/>
      <c r="O522" s="18"/>
      <c r="P522" s="20">
        <v>14.0</v>
      </c>
      <c r="Q522" s="22">
        <v>46019.74518518519</v>
      </c>
      <c r="R522" s="15" t="s">
        <v>107</v>
      </c>
      <c r="S522" s="15" t="s">
        <v>109</v>
      </c>
      <c r="T522" s="15" t="s">
        <v>127</v>
      </c>
      <c r="U522" s="15" t="s">
        <v>531</v>
      </c>
      <c r="V522" s="15" t="s">
        <v>532</v>
      </c>
      <c r="W522" s="15" t="s">
        <v>534</v>
      </c>
      <c r="X522" s="15" t="s">
        <v>120</v>
      </c>
      <c r="Y522" s="18"/>
      <c r="Z522" s="15" t="s">
        <v>120</v>
      </c>
      <c r="AA522" s="18"/>
      <c r="AB522" s="15" t="s">
        <v>120</v>
      </c>
      <c r="AC522" s="15" t="s">
        <v>120</v>
      </c>
      <c r="AD522" s="18"/>
      <c r="AE522" s="15" t="s">
        <v>120</v>
      </c>
      <c r="AF522" s="18"/>
      <c r="AG522" s="15" t="s">
        <v>120</v>
      </c>
      <c r="AH522" s="18"/>
      <c r="AI522" s="15" t="s">
        <v>120</v>
      </c>
      <c r="AJ522" s="18"/>
      <c r="AK522" s="18"/>
      <c r="AL522" s="15" t="s">
        <v>185</v>
      </c>
      <c r="AM522" s="15" t="s">
        <v>141</v>
      </c>
      <c r="AN522" s="15" t="s">
        <v>242</v>
      </c>
      <c r="AO522" s="15" t="s">
        <v>138</v>
      </c>
      <c r="AP522" s="15"/>
    </row>
    <row r="523" ht="22.5" customHeight="1">
      <c r="A523" s="15" t="s">
        <v>4997</v>
      </c>
      <c r="B523" s="15" t="s">
        <v>2220</v>
      </c>
      <c r="C523" s="15" t="s">
        <v>4998</v>
      </c>
      <c r="D523" s="41">
        <v>40005.0</v>
      </c>
      <c r="E523" s="15" t="s">
        <v>98</v>
      </c>
      <c r="F523" s="15">
        <v>5.521817779E9</v>
      </c>
      <c r="G523" s="15" t="s">
        <v>4999</v>
      </c>
      <c r="H523" s="15" t="s">
        <v>150</v>
      </c>
      <c r="I523" s="18"/>
      <c r="J523" s="15" t="s">
        <v>2229</v>
      </c>
      <c r="K523" s="15" t="s">
        <v>2232</v>
      </c>
      <c r="L523" s="15">
        <v>5.534621137E9</v>
      </c>
      <c r="M523" s="18"/>
      <c r="N523" s="18"/>
      <c r="O523" s="18"/>
      <c r="P523" s="20">
        <v>16.0</v>
      </c>
      <c r="Q523" s="22">
        <v>46021.95542824074</v>
      </c>
      <c r="R523" s="15" t="s">
        <v>107</v>
      </c>
      <c r="S523" s="15" t="s">
        <v>109</v>
      </c>
      <c r="T523" s="15" t="s">
        <v>204</v>
      </c>
      <c r="U523" s="15" t="s">
        <v>205</v>
      </c>
      <c r="V523" s="15" t="s">
        <v>206</v>
      </c>
      <c r="W523" s="15" t="s">
        <v>207</v>
      </c>
      <c r="X523" s="15" t="s">
        <v>120</v>
      </c>
      <c r="Y523" s="18"/>
      <c r="Z523" s="15" t="s">
        <v>120</v>
      </c>
      <c r="AA523" s="18"/>
      <c r="AB523" s="15" t="s">
        <v>120</v>
      </c>
      <c r="AC523" s="18"/>
      <c r="AD523" s="18"/>
      <c r="AE523" s="15" t="s">
        <v>120</v>
      </c>
      <c r="AF523" s="18"/>
      <c r="AG523" s="15" t="s">
        <v>120</v>
      </c>
      <c r="AH523" s="18"/>
      <c r="AI523" s="15" t="s">
        <v>120</v>
      </c>
      <c r="AJ523" s="18"/>
      <c r="AK523" s="18"/>
      <c r="AL523" s="15" t="s">
        <v>216</v>
      </c>
      <c r="AM523" s="15" t="s">
        <v>141</v>
      </c>
      <c r="AN523" s="15" t="s">
        <v>240</v>
      </c>
      <c r="AO523" s="15" t="s">
        <v>124</v>
      </c>
      <c r="AP523" s="15"/>
    </row>
    <row r="524" ht="22.5" customHeight="1">
      <c r="A524" s="15" t="s">
        <v>2324</v>
      </c>
      <c r="B524" s="15" t="s">
        <v>2326</v>
      </c>
      <c r="C524" s="15" t="s">
        <v>2327</v>
      </c>
      <c r="D524" s="41">
        <v>39938.0</v>
      </c>
      <c r="E524" s="15" t="s">
        <v>98</v>
      </c>
      <c r="F524" s="15">
        <v>5.527382073E9</v>
      </c>
      <c r="G524" s="15" t="s">
        <v>2328</v>
      </c>
      <c r="H524" s="15" t="s">
        <v>150</v>
      </c>
      <c r="I524" s="18"/>
      <c r="J524" s="15" t="s">
        <v>2329</v>
      </c>
      <c r="K524" s="15" t="s">
        <v>2328</v>
      </c>
      <c r="L524" s="15">
        <v>5.591686167E9</v>
      </c>
      <c r="M524" s="15" t="s">
        <v>2330</v>
      </c>
      <c r="N524" s="15" t="s">
        <v>2331</v>
      </c>
      <c r="O524" s="15">
        <v>5.536672299E9</v>
      </c>
      <c r="P524" s="20">
        <v>16.0</v>
      </c>
      <c r="Q524" s="22">
        <v>46026.00423611111</v>
      </c>
      <c r="R524" s="15" t="s">
        <v>107</v>
      </c>
      <c r="S524" s="15" t="s">
        <v>109</v>
      </c>
      <c r="T524" s="15" t="s">
        <v>208</v>
      </c>
      <c r="U524" s="15" t="s">
        <v>228</v>
      </c>
      <c r="V524" s="15" t="s">
        <v>229</v>
      </c>
      <c r="W524" s="15" t="s">
        <v>230</v>
      </c>
      <c r="X524" s="15" t="s">
        <v>120</v>
      </c>
      <c r="Y524" s="15" t="s">
        <v>2332</v>
      </c>
      <c r="Z524" s="15" t="s">
        <v>120</v>
      </c>
      <c r="AA524" s="15" t="s">
        <v>2332</v>
      </c>
      <c r="AB524" s="15" t="s">
        <v>120</v>
      </c>
      <c r="AC524" s="15" t="s">
        <v>117</v>
      </c>
      <c r="AD524" s="15" t="s">
        <v>2332</v>
      </c>
      <c r="AE524" s="15" t="s">
        <v>120</v>
      </c>
      <c r="AF524" s="15" t="s">
        <v>2332</v>
      </c>
      <c r="AG524" s="15" t="s">
        <v>117</v>
      </c>
      <c r="AH524" s="15" t="s">
        <v>2333</v>
      </c>
      <c r="AI524" s="15" t="s">
        <v>117</v>
      </c>
      <c r="AJ524" s="15" t="s">
        <v>2334</v>
      </c>
      <c r="AK524" s="15" t="s">
        <v>135</v>
      </c>
      <c r="AL524" s="15" t="s">
        <v>126</v>
      </c>
      <c r="AM524" s="15" t="s">
        <v>138</v>
      </c>
      <c r="AN524" s="15" t="s">
        <v>156</v>
      </c>
      <c r="AO524" s="15" t="s">
        <v>216</v>
      </c>
      <c r="AP524" s="15"/>
    </row>
    <row r="525" ht="22.5" customHeight="1"/>
    <row r="526" ht="22.5" customHeight="1">
      <c r="A526" s="160" t="s">
        <v>1272</v>
      </c>
      <c r="B526" s="160" t="s">
        <v>1273</v>
      </c>
      <c r="X526" s="160" t="s">
        <v>120</v>
      </c>
      <c r="Y526" s="160" t="s">
        <v>5005</v>
      </c>
      <c r="Z526" s="160" t="s">
        <v>120</v>
      </c>
      <c r="AA526" s="160" t="s">
        <v>698</v>
      </c>
      <c r="AB526" s="160" t="s">
        <v>117</v>
      </c>
      <c r="AC526" s="160" t="s">
        <v>117</v>
      </c>
      <c r="AD526" s="160" t="s">
        <v>1165</v>
      </c>
      <c r="AE526" s="160" t="s">
        <v>120</v>
      </c>
      <c r="AF526" s="160" t="s">
        <v>667</v>
      </c>
      <c r="AG526" s="160" t="s">
        <v>120</v>
      </c>
      <c r="AH526" s="160" t="s">
        <v>667</v>
      </c>
      <c r="AI526" s="160" t="s">
        <v>120</v>
      </c>
      <c r="AJ526" s="160" t="s">
        <v>667</v>
      </c>
    </row>
    <row r="527" ht="22.5" customHeight="1">
      <c r="A527" s="160" t="s">
        <v>286</v>
      </c>
      <c r="B527" s="160" t="s">
        <v>288</v>
      </c>
      <c r="X527" s="160" t="s">
        <v>117</v>
      </c>
      <c r="Y527" s="160" t="s">
        <v>314</v>
      </c>
      <c r="Z527" s="160" t="s">
        <v>120</v>
      </c>
      <c r="AA527" s="160" t="s">
        <v>5006</v>
      </c>
      <c r="AB527" s="160" t="s">
        <v>120</v>
      </c>
      <c r="AC527" s="160" t="s">
        <v>120</v>
      </c>
      <c r="AD527" s="160" t="s">
        <v>5006</v>
      </c>
      <c r="AE527" s="160" t="s">
        <v>120</v>
      </c>
      <c r="AF527" s="160" t="s">
        <v>5006</v>
      </c>
      <c r="AG527" s="160" t="s">
        <v>120</v>
      </c>
      <c r="AH527" s="160" t="s">
        <v>5006</v>
      </c>
      <c r="AI527" s="160" t="s">
        <v>120</v>
      </c>
    </row>
    <row r="528" ht="22.5" customHeight="1">
      <c r="A528" s="160" t="s">
        <v>1126</v>
      </c>
      <c r="B528" s="160" t="s">
        <v>1264</v>
      </c>
      <c r="X528" s="160" t="s">
        <v>120</v>
      </c>
      <c r="Y528" s="160" t="s">
        <v>5007</v>
      </c>
      <c r="Z528" s="160" t="s">
        <v>117</v>
      </c>
      <c r="AA528" s="160" t="s">
        <v>120</v>
      </c>
      <c r="AB528" s="160" t="s">
        <v>117</v>
      </c>
      <c r="AC528" s="160" t="s">
        <v>117</v>
      </c>
      <c r="AD528" s="160" t="s">
        <v>120</v>
      </c>
      <c r="AE528" s="160" t="s">
        <v>117</v>
      </c>
      <c r="AF528" s="160" t="s">
        <v>120</v>
      </c>
      <c r="AG528" s="160" t="s">
        <v>117</v>
      </c>
      <c r="AH528" s="160" t="s">
        <v>120</v>
      </c>
      <c r="AI528" s="160" t="s">
        <v>117</v>
      </c>
      <c r="AJ528" s="160" t="s">
        <v>120</v>
      </c>
    </row>
    <row r="529" ht="22.5" customHeight="1">
      <c r="A529" s="160" t="s">
        <v>1312</v>
      </c>
      <c r="B529" s="160" t="s">
        <v>1313</v>
      </c>
      <c r="X529" s="160" t="s">
        <v>120</v>
      </c>
      <c r="Y529" s="160" t="s">
        <v>5006</v>
      </c>
      <c r="Z529" s="160" t="s">
        <v>117</v>
      </c>
      <c r="AA529" s="160" t="s">
        <v>1340</v>
      </c>
      <c r="AB529" s="160" t="s">
        <v>120</v>
      </c>
      <c r="AC529" s="160" t="s">
        <v>5006</v>
      </c>
      <c r="AD529" s="160" t="s">
        <v>5006</v>
      </c>
      <c r="AE529" s="160" t="s">
        <v>120</v>
      </c>
      <c r="AF529" s="160" t="s">
        <v>5006</v>
      </c>
      <c r="AG529" s="160" t="s">
        <v>120</v>
      </c>
      <c r="AH529" s="160" t="s">
        <v>5006</v>
      </c>
      <c r="AI529" s="160" t="s">
        <v>120</v>
      </c>
    </row>
    <row r="530" ht="22.5" customHeight="1">
      <c r="A530" s="160" t="s">
        <v>1354</v>
      </c>
      <c r="B530" s="160" t="s">
        <v>1355</v>
      </c>
      <c r="X530" s="160" t="s">
        <v>120</v>
      </c>
      <c r="Y530" s="160" t="s">
        <v>5006</v>
      </c>
      <c r="Z530" s="160" t="s">
        <v>120</v>
      </c>
      <c r="AA530" s="160" t="s">
        <v>5006</v>
      </c>
      <c r="AB530" s="160" t="s">
        <v>117</v>
      </c>
      <c r="AC530" s="160" t="s">
        <v>117</v>
      </c>
      <c r="AD530" s="160" t="s">
        <v>1384</v>
      </c>
      <c r="AE530" s="160" t="s">
        <v>117</v>
      </c>
      <c r="AF530" s="160" t="s">
        <v>5008</v>
      </c>
      <c r="AG530" s="160" t="s">
        <v>120</v>
      </c>
      <c r="AH530" s="160" t="s">
        <v>5006</v>
      </c>
      <c r="AI530" s="160" t="s">
        <v>117</v>
      </c>
      <c r="AJ530" s="160" t="s">
        <v>5009</v>
      </c>
    </row>
    <row r="531" ht="22.5" customHeight="1">
      <c r="A531" s="160" t="s">
        <v>1393</v>
      </c>
      <c r="B531" s="160" t="s">
        <v>1394</v>
      </c>
      <c r="X531" s="160" t="s">
        <v>120</v>
      </c>
      <c r="Y531" s="160" t="s">
        <v>5006</v>
      </c>
      <c r="Z531" s="160" t="s">
        <v>117</v>
      </c>
      <c r="AA531" s="160" t="s">
        <v>5010</v>
      </c>
      <c r="AB531" s="160" t="s">
        <v>117</v>
      </c>
      <c r="AC531" s="160" t="s">
        <v>117</v>
      </c>
      <c r="AD531" s="160" t="s">
        <v>1409</v>
      </c>
      <c r="AE531" s="160" t="s">
        <v>117</v>
      </c>
      <c r="AF531" s="160" t="s">
        <v>5011</v>
      </c>
      <c r="AG531" s="160" t="s">
        <v>120</v>
      </c>
      <c r="AH531" s="160" t="s">
        <v>5006</v>
      </c>
      <c r="AI531" s="160" t="s">
        <v>120</v>
      </c>
    </row>
    <row r="532" ht="22.5" customHeight="1">
      <c r="A532" s="160" t="s">
        <v>1033</v>
      </c>
      <c r="B532" s="160" t="s">
        <v>1035</v>
      </c>
      <c r="X532" s="160" t="s">
        <v>120</v>
      </c>
      <c r="Y532" s="160" t="s">
        <v>5006</v>
      </c>
      <c r="Z532" s="160" t="s">
        <v>117</v>
      </c>
      <c r="AA532" s="160" t="s">
        <v>5012</v>
      </c>
      <c r="AB532" s="160" t="s">
        <v>120</v>
      </c>
      <c r="AC532" s="160" t="s">
        <v>120</v>
      </c>
      <c r="AD532" s="160" t="s">
        <v>5006</v>
      </c>
      <c r="AE532" s="160" t="s">
        <v>120</v>
      </c>
      <c r="AF532" s="160" t="s">
        <v>5006</v>
      </c>
      <c r="AG532" s="160" t="s">
        <v>117</v>
      </c>
      <c r="AH532" s="160" t="s">
        <v>5013</v>
      </c>
      <c r="AI532" s="160" t="s">
        <v>120</v>
      </c>
    </row>
    <row r="533" ht="22.5" customHeight="1">
      <c r="A533" s="160" t="s">
        <v>2919</v>
      </c>
      <c r="B533" s="160" t="s">
        <v>2920</v>
      </c>
      <c r="X533" s="160" t="s">
        <v>120</v>
      </c>
      <c r="Y533" s="160" t="s">
        <v>5006</v>
      </c>
      <c r="Z533" s="160" t="s">
        <v>117</v>
      </c>
      <c r="AA533" s="160" t="s">
        <v>2925</v>
      </c>
      <c r="AB533" s="160" t="s">
        <v>117</v>
      </c>
      <c r="AC533" s="160" t="s">
        <v>117</v>
      </c>
      <c r="AD533" s="160" t="s">
        <v>2926</v>
      </c>
      <c r="AE533" s="160" t="s">
        <v>120</v>
      </c>
      <c r="AF533" s="160" t="s">
        <v>5006</v>
      </c>
      <c r="AG533" s="160" t="s">
        <v>120</v>
      </c>
      <c r="AH533" s="160" t="s">
        <v>5006</v>
      </c>
      <c r="AI533" s="160" t="s">
        <v>120</v>
      </c>
    </row>
    <row r="534" ht="22.5" customHeight="1">
      <c r="A534" s="160" t="s">
        <v>1505</v>
      </c>
      <c r="B534" s="160" t="s">
        <v>1507</v>
      </c>
      <c r="X534" s="160" t="s">
        <v>120</v>
      </c>
      <c r="Y534" s="160" t="s">
        <v>5014</v>
      </c>
      <c r="Z534" s="160" t="s">
        <v>117</v>
      </c>
      <c r="AA534" s="160" t="s">
        <v>1525</v>
      </c>
      <c r="AB534" s="160" t="s">
        <v>120</v>
      </c>
      <c r="AC534" s="160" t="s">
        <v>120</v>
      </c>
      <c r="AD534" s="160" t="s">
        <v>5006</v>
      </c>
      <c r="AE534" s="160" t="s">
        <v>120</v>
      </c>
      <c r="AF534" s="160" t="s">
        <v>5006</v>
      </c>
      <c r="AG534" s="160" t="s">
        <v>120</v>
      </c>
      <c r="AH534" s="160" t="s">
        <v>5006</v>
      </c>
      <c r="AI534" s="160" t="s">
        <v>120</v>
      </c>
    </row>
    <row r="535" ht="22.5" customHeight="1">
      <c r="A535" s="160" t="s">
        <v>1567</v>
      </c>
      <c r="B535" s="160" t="s">
        <v>1568</v>
      </c>
      <c r="X535" s="160" t="s">
        <v>120</v>
      </c>
      <c r="Y535" s="160" t="s">
        <v>5006</v>
      </c>
      <c r="Z535" s="160" t="s">
        <v>117</v>
      </c>
      <c r="AA535" s="160" t="s">
        <v>5015</v>
      </c>
      <c r="AB535" s="160" t="s">
        <v>120</v>
      </c>
      <c r="AC535" s="160" t="s">
        <v>5006</v>
      </c>
      <c r="AD535" s="160" t="s">
        <v>5006</v>
      </c>
      <c r="AE535" s="160" t="s">
        <v>117</v>
      </c>
      <c r="AF535" s="160" t="s">
        <v>5016</v>
      </c>
      <c r="AG535" s="160" t="s">
        <v>120</v>
      </c>
      <c r="AH535" s="160" t="s">
        <v>5006</v>
      </c>
      <c r="AI535" s="160" t="s">
        <v>120</v>
      </c>
    </row>
    <row r="536" ht="22.5" customHeight="1">
      <c r="A536" s="160" t="s">
        <v>1611</v>
      </c>
      <c r="B536" s="160" t="s">
        <v>1612</v>
      </c>
      <c r="X536" s="160" t="s">
        <v>120</v>
      </c>
      <c r="Y536" s="160" t="s">
        <v>5006</v>
      </c>
      <c r="Z536" s="160" t="s">
        <v>117</v>
      </c>
      <c r="AA536" s="160" t="s">
        <v>1624</v>
      </c>
      <c r="AB536" s="160" t="s">
        <v>120</v>
      </c>
      <c r="AC536" s="160" t="s">
        <v>120</v>
      </c>
      <c r="AD536" s="160" t="s">
        <v>5006</v>
      </c>
      <c r="AE536" s="160" t="s">
        <v>120</v>
      </c>
      <c r="AF536" s="160" t="s">
        <v>5006</v>
      </c>
      <c r="AG536" s="160" t="s">
        <v>120</v>
      </c>
      <c r="AH536" s="160" t="s">
        <v>5006</v>
      </c>
      <c r="AI536" s="160" t="s">
        <v>120</v>
      </c>
    </row>
    <row r="537" ht="22.5" customHeight="1">
      <c r="A537" s="160" t="s">
        <v>451</v>
      </c>
      <c r="B537" s="160" t="s">
        <v>452</v>
      </c>
      <c r="X537" s="160" t="s">
        <v>117</v>
      </c>
      <c r="Y537" s="160" t="s">
        <v>5006</v>
      </c>
      <c r="Z537" s="160" t="s">
        <v>117</v>
      </c>
      <c r="AA537" s="160" t="s">
        <v>5006</v>
      </c>
      <c r="AB537" s="160" t="s">
        <v>117</v>
      </c>
      <c r="AC537" s="160" t="s">
        <v>117</v>
      </c>
      <c r="AD537" s="160" t="s">
        <v>5006</v>
      </c>
      <c r="AE537" s="160" t="s">
        <v>117</v>
      </c>
      <c r="AF537" s="160" t="s">
        <v>5006</v>
      </c>
      <c r="AG537" s="160" t="s">
        <v>117</v>
      </c>
      <c r="AH537" s="160" t="s">
        <v>5006</v>
      </c>
      <c r="AI537" s="160" t="s">
        <v>117</v>
      </c>
    </row>
    <row r="538" ht="22.5" customHeight="1">
      <c r="A538" s="160" t="s">
        <v>1632</v>
      </c>
      <c r="B538" s="160" t="s">
        <v>1633</v>
      </c>
      <c r="X538" s="160" t="s">
        <v>120</v>
      </c>
      <c r="Y538" s="160" t="s">
        <v>5006</v>
      </c>
      <c r="Z538" s="160" t="s">
        <v>117</v>
      </c>
      <c r="AA538" s="160" t="s">
        <v>1641</v>
      </c>
      <c r="AB538" s="160" t="s">
        <v>117</v>
      </c>
      <c r="AC538" s="160" t="s">
        <v>117</v>
      </c>
      <c r="AD538" s="160" t="s">
        <v>1644</v>
      </c>
      <c r="AE538" s="160" t="s">
        <v>117</v>
      </c>
      <c r="AF538" s="160" t="s">
        <v>5016</v>
      </c>
      <c r="AG538" s="160" t="s">
        <v>120</v>
      </c>
      <c r="AH538" s="160" t="s">
        <v>5006</v>
      </c>
      <c r="AI538" s="160" t="s">
        <v>120</v>
      </c>
    </row>
    <row r="539" ht="22.5" customHeight="1">
      <c r="A539" s="160" t="s">
        <v>1650</v>
      </c>
      <c r="B539" s="160" t="s">
        <v>1651</v>
      </c>
      <c r="X539" s="160" t="s">
        <v>120</v>
      </c>
      <c r="Y539" s="160" t="s">
        <v>5006</v>
      </c>
      <c r="Z539" s="160" t="s">
        <v>117</v>
      </c>
      <c r="AA539" s="160" t="s">
        <v>1582</v>
      </c>
      <c r="AB539" s="160" t="s">
        <v>117</v>
      </c>
      <c r="AC539" s="160" t="s">
        <v>117</v>
      </c>
      <c r="AD539" s="160" t="s">
        <v>5017</v>
      </c>
      <c r="AE539" s="160" t="s">
        <v>117</v>
      </c>
      <c r="AF539" s="160" t="s">
        <v>5018</v>
      </c>
      <c r="AG539" s="160" t="s">
        <v>117</v>
      </c>
      <c r="AH539" s="160" t="s">
        <v>1667</v>
      </c>
      <c r="AI539" s="160" t="s">
        <v>120</v>
      </c>
    </row>
    <row r="540" ht="22.5" customHeight="1">
      <c r="A540" s="160" t="s">
        <v>3042</v>
      </c>
      <c r="B540" s="160" t="s">
        <v>3043</v>
      </c>
      <c r="X540" s="160" t="s">
        <v>120</v>
      </c>
      <c r="Y540" s="160" t="s">
        <v>5006</v>
      </c>
      <c r="Z540" s="160" t="s">
        <v>117</v>
      </c>
      <c r="AA540" s="160" t="s">
        <v>5019</v>
      </c>
      <c r="AB540" s="160" t="s">
        <v>120</v>
      </c>
      <c r="AC540" s="160" t="s">
        <v>120</v>
      </c>
      <c r="AD540" s="160" t="s">
        <v>5006</v>
      </c>
      <c r="AE540" s="160" t="s">
        <v>120</v>
      </c>
      <c r="AF540" s="160" t="s">
        <v>5006</v>
      </c>
      <c r="AG540" s="160" t="s">
        <v>120</v>
      </c>
      <c r="AH540" s="160" t="s">
        <v>5006</v>
      </c>
      <c r="AI540" s="160" t="s">
        <v>120</v>
      </c>
    </row>
    <row r="541" ht="22.5" customHeight="1">
      <c r="A541" s="160" t="s">
        <v>100</v>
      </c>
      <c r="B541" s="160" t="s">
        <v>103</v>
      </c>
      <c r="X541" s="160" t="s">
        <v>117</v>
      </c>
      <c r="Y541" s="160" t="s">
        <v>5020</v>
      </c>
      <c r="Z541" s="160" t="s">
        <v>120</v>
      </c>
      <c r="AA541" s="160" t="s">
        <v>134</v>
      </c>
      <c r="AB541" s="160" t="s">
        <v>120</v>
      </c>
      <c r="AC541" s="160" t="s">
        <v>120</v>
      </c>
      <c r="AD541" s="160" t="s">
        <v>5014</v>
      </c>
      <c r="AE541" s="160" t="s">
        <v>120</v>
      </c>
      <c r="AF541" s="160" t="s">
        <v>5021</v>
      </c>
      <c r="AG541" s="160" t="s">
        <v>120</v>
      </c>
      <c r="AH541" s="160" t="s">
        <v>5021</v>
      </c>
      <c r="AI541" s="160" t="s">
        <v>120</v>
      </c>
      <c r="AJ541" s="160" t="s">
        <v>135</v>
      </c>
    </row>
    <row r="542" ht="22.5" customHeight="1">
      <c r="A542" s="160" t="s">
        <v>1771</v>
      </c>
      <c r="B542" s="160" t="s">
        <v>1772</v>
      </c>
      <c r="X542" s="160" t="s">
        <v>120</v>
      </c>
      <c r="Y542" s="160" t="s">
        <v>5006</v>
      </c>
      <c r="Z542" s="160" t="s">
        <v>120</v>
      </c>
      <c r="AA542" s="160" t="s">
        <v>5006</v>
      </c>
      <c r="AB542" s="160" t="s">
        <v>120</v>
      </c>
      <c r="AC542" s="160" t="s">
        <v>5006</v>
      </c>
      <c r="AD542" s="160" t="s">
        <v>5006</v>
      </c>
      <c r="AE542" s="160" t="s">
        <v>120</v>
      </c>
      <c r="AF542" s="160" t="s">
        <v>5006</v>
      </c>
      <c r="AG542" s="160" t="s">
        <v>117</v>
      </c>
      <c r="AH542" s="160" t="s">
        <v>1781</v>
      </c>
      <c r="AI542" s="160" t="s">
        <v>120</v>
      </c>
    </row>
    <row r="543" ht="22.5" customHeight="1">
      <c r="A543" s="160" t="s">
        <v>1784</v>
      </c>
      <c r="B543" s="160" t="s">
        <v>1785</v>
      </c>
      <c r="X543" s="160" t="s">
        <v>120</v>
      </c>
      <c r="Y543" s="160" t="s">
        <v>5006</v>
      </c>
      <c r="Z543" s="160" t="s">
        <v>117</v>
      </c>
      <c r="AA543" s="160" t="s">
        <v>5006</v>
      </c>
      <c r="AB543" s="160" t="s">
        <v>120</v>
      </c>
      <c r="AC543" s="160" t="s">
        <v>5006</v>
      </c>
      <c r="AD543" s="160" t="s">
        <v>5006</v>
      </c>
      <c r="AE543" s="160" t="s">
        <v>120</v>
      </c>
      <c r="AF543" s="160" t="s">
        <v>5006</v>
      </c>
      <c r="AG543" s="160" t="s">
        <v>120</v>
      </c>
      <c r="AH543" s="160" t="s">
        <v>5006</v>
      </c>
      <c r="AI543" s="160" t="s">
        <v>120</v>
      </c>
    </row>
    <row r="544" ht="22.5" customHeight="1">
      <c r="A544" s="160" t="s">
        <v>1807</v>
      </c>
      <c r="B544" s="160" t="s">
        <v>1808</v>
      </c>
      <c r="X544" s="160" t="s">
        <v>120</v>
      </c>
      <c r="Y544" s="160" t="s">
        <v>5006</v>
      </c>
      <c r="Z544" s="160" t="s">
        <v>120</v>
      </c>
      <c r="AA544" s="160" t="s">
        <v>5006</v>
      </c>
      <c r="AB544" s="160" t="s">
        <v>120</v>
      </c>
      <c r="AC544" s="160" t="s">
        <v>120</v>
      </c>
      <c r="AD544" s="160" t="s">
        <v>5006</v>
      </c>
      <c r="AE544" s="160" t="s">
        <v>120</v>
      </c>
      <c r="AF544" s="160" t="s">
        <v>5006</v>
      </c>
      <c r="AG544" s="160" t="s">
        <v>117</v>
      </c>
      <c r="AH544" s="160" t="s">
        <v>1828</v>
      </c>
      <c r="AI544" s="160" t="s">
        <v>120</v>
      </c>
    </row>
    <row r="545" ht="22.5" customHeight="1">
      <c r="A545" s="160" t="s">
        <v>322</v>
      </c>
      <c r="B545" s="160" t="s">
        <v>324</v>
      </c>
      <c r="X545" s="160" t="s">
        <v>117</v>
      </c>
      <c r="Y545" s="160" t="s">
        <v>5006</v>
      </c>
      <c r="Z545" s="160" t="s">
        <v>117</v>
      </c>
      <c r="AA545" s="160" t="s">
        <v>5006</v>
      </c>
      <c r="AB545" s="160" t="s">
        <v>117</v>
      </c>
      <c r="AC545" s="160" t="s">
        <v>117</v>
      </c>
      <c r="AD545" s="160" t="s">
        <v>5006</v>
      </c>
      <c r="AE545" s="160" t="s">
        <v>117</v>
      </c>
      <c r="AF545" s="160" t="s">
        <v>5006</v>
      </c>
      <c r="AG545" s="160" t="s">
        <v>117</v>
      </c>
      <c r="AH545" s="160" t="s">
        <v>5006</v>
      </c>
      <c r="AI545" s="160" t="s">
        <v>117</v>
      </c>
    </row>
    <row r="546" ht="22.5" customHeight="1">
      <c r="A546" s="160" t="s">
        <v>1857</v>
      </c>
      <c r="B546" s="160" t="s">
        <v>1858</v>
      </c>
      <c r="X546" s="160" t="s">
        <v>120</v>
      </c>
      <c r="Y546" s="160" t="s">
        <v>5006</v>
      </c>
      <c r="Z546" s="160" t="s">
        <v>117</v>
      </c>
      <c r="AA546" s="160" t="s">
        <v>1877</v>
      </c>
      <c r="AB546" s="160" t="s">
        <v>120</v>
      </c>
      <c r="AC546" s="160" t="s">
        <v>120</v>
      </c>
      <c r="AD546" s="160" t="s">
        <v>5006</v>
      </c>
      <c r="AE546" s="160" t="s">
        <v>120</v>
      </c>
      <c r="AF546" s="160" t="s">
        <v>5006</v>
      </c>
      <c r="AG546" s="160" t="s">
        <v>120</v>
      </c>
      <c r="AH546" s="160" t="s">
        <v>5006</v>
      </c>
      <c r="AI546" s="160" t="s">
        <v>120</v>
      </c>
    </row>
    <row r="547" ht="22.5" customHeight="1">
      <c r="A547" s="160" t="s">
        <v>2426</v>
      </c>
      <c r="B547" s="160" t="s">
        <v>2429</v>
      </c>
      <c r="X547" s="160" t="s">
        <v>120</v>
      </c>
      <c r="Y547" s="160" t="s">
        <v>5006</v>
      </c>
      <c r="Z547" s="160" t="s">
        <v>117</v>
      </c>
      <c r="AA547" s="160" t="s">
        <v>5022</v>
      </c>
      <c r="AB547" s="160" t="s">
        <v>120</v>
      </c>
      <c r="AC547" s="160" t="s">
        <v>120</v>
      </c>
      <c r="AD547" s="160" t="s">
        <v>5006</v>
      </c>
      <c r="AE547" s="160" t="s">
        <v>117</v>
      </c>
      <c r="AF547" s="160" t="s">
        <v>5023</v>
      </c>
      <c r="AG547" s="160" t="s">
        <v>120</v>
      </c>
      <c r="AH547" s="160" t="s">
        <v>5006</v>
      </c>
      <c r="AI547" s="160" t="s">
        <v>117</v>
      </c>
      <c r="AJ547" s="160" t="s">
        <v>2448</v>
      </c>
    </row>
    <row r="548" ht="22.5" customHeight="1">
      <c r="A548" s="160" t="s">
        <v>473</v>
      </c>
      <c r="B548" s="160" t="s">
        <v>474</v>
      </c>
      <c r="X548" s="160" t="s">
        <v>117</v>
      </c>
      <c r="Y548" s="160" t="s">
        <v>5006</v>
      </c>
      <c r="Z548" s="160" t="s">
        <v>117</v>
      </c>
      <c r="AA548" s="160" t="s">
        <v>5006</v>
      </c>
      <c r="AB548" s="160" t="s">
        <v>117</v>
      </c>
      <c r="AC548" s="160" t="s">
        <v>117</v>
      </c>
      <c r="AD548" s="160" t="s">
        <v>5006</v>
      </c>
      <c r="AE548" s="160" t="s">
        <v>117</v>
      </c>
      <c r="AF548" s="160" t="s">
        <v>5006</v>
      </c>
      <c r="AG548" s="160" t="s">
        <v>117</v>
      </c>
      <c r="AH548" s="160" t="s">
        <v>5006</v>
      </c>
      <c r="AI548" s="160" t="s">
        <v>117</v>
      </c>
    </row>
    <row r="549" ht="22.5" customHeight="1">
      <c r="A549" s="160" t="s">
        <v>614</v>
      </c>
      <c r="B549" s="160" t="s">
        <v>615</v>
      </c>
      <c r="X549" s="160" t="s">
        <v>120</v>
      </c>
      <c r="Y549" s="160" t="s">
        <v>5006</v>
      </c>
      <c r="Z549" s="160" t="s">
        <v>120</v>
      </c>
      <c r="AA549" s="160" t="s">
        <v>5006</v>
      </c>
      <c r="AB549" s="160" t="s">
        <v>117</v>
      </c>
      <c r="AC549" s="160" t="s">
        <v>117</v>
      </c>
      <c r="AD549" s="160" t="s">
        <v>5024</v>
      </c>
      <c r="AE549" s="160" t="s">
        <v>120</v>
      </c>
      <c r="AF549" s="160" t="s">
        <v>5006</v>
      </c>
      <c r="AG549" s="160" t="s">
        <v>120</v>
      </c>
      <c r="AH549" s="160" t="s">
        <v>5006</v>
      </c>
      <c r="AI549" s="160" t="s">
        <v>117</v>
      </c>
      <c r="AJ549" s="160" t="s">
        <v>5025</v>
      </c>
    </row>
    <row r="550" ht="22.5" customHeight="1">
      <c r="A550" s="160" t="s">
        <v>1240</v>
      </c>
      <c r="B550" s="160" t="s">
        <v>1241</v>
      </c>
      <c r="X550" s="160" t="s">
        <v>120</v>
      </c>
      <c r="Y550" s="160" t="s">
        <v>5006</v>
      </c>
      <c r="Z550" s="160" t="s">
        <v>117</v>
      </c>
      <c r="AA550" s="160" t="s">
        <v>285</v>
      </c>
      <c r="AB550" s="160" t="s">
        <v>120</v>
      </c>
      <c r="AC550" s="160" t="s">
        <v>5006</v>
      </c>
      <c r="AD550" s="160" t="s">
        <v>135</v>
      </c>
      <c r="AE550" s="160" t="s">
        <v>120</v>
      </c>
      <c r="AF550" s="160" t="s">
        <v>5006</v>
      </c>
      <c r="AG550" s="160" t="s">
        <v>120</v>
      </c>
      <c r="AH550" s="160" t="s">
        <v>5006</v>
      </c>
      <c r="AI550" s="160" t="s">
        <v>120</v>
      </c>
    </row>
    <row r="551" ht="22.5" customHeight="1">
      <c r="A551" s="160" t="s">
        <v>651</v>
      </c>
      <c r="B551" s="160" t="s">
        <v>653</v>
      </c>
      <c r="X551" s="160" t="s">
        <v>120</v>
      </c>
      <c r="Y551" s="160" t="s">
        <v>5006</v>
      </c>
      <c r="Z551" s="160" t="s">
        <v>117</v>
      </c>
      <c r="AA551" s="160" t="s">
        <v>671</v>
      </c>
      <c r="AB551" s="160" t="s">
        <v>120</v>
      </c>
      <c r="AC551" s="160" t="s">
        <v>120</v>
      </c>
      <c r="AD551" s="160" t="s">
        <v>5006</v>
      </c>
      <c r="AE551" s="160" t="s">
        <v>120</v>
      </c>
      <c r="AF551" s="160" t="s">
        <v>5006</v>
      </c>
      <c r="AG551" s="160" t="s">
        <v>120</v>
      </c>
      <c r="AH551" s="160" t="s">
        <v>5006</v>
      </c>
      <c r="AI551" s="160" t="s">
        <v>120</v>
      </c>
    </row>
    <row r="552" ht="22.5" customHeight="1">
      <c r="A552" s="160" t="s">
        <v>2028</v>
      </c>
      <c r="B552" s="160" t="s">
        <v>2029</v>
      </c>
      <c r="X552" s="160" t="s">
        <v>120</v>
      </c>
      <c r="Y552" s="160" t="s">
        <v>5006</v>
      </c>
      <c r="Z552" s="160" t="s">
        <v>120</v>
      </c>
      <c r="AA552" s="160" t="s">
        <v>5006</v>
      </c>
      <c r="AB552" s="160" t="s">
        <v>117</v>
      </c>
      <c r="AC552" s="160" t="s">
        <v>117</v>
      </c>
      <c r="AD552" s="160" t="s">
        <v>5026</v>
      </c>
      <c r="AE552" s="160" t="s">
        <v>117</v>
      </c>
      <c r="AF552" s="160" t="s">
        <v>5016</v>
      </c>
      <c r="AG552" s="160" t="s">
        <v>120</v>
      </c>
      <c r="AH552" s="160" t="s">
        <v>5006</v>
      </c>
      <c r="AI552" s="160" t="s">
        <v>120</v>
      </c>
    </row>
    <row r="553" ht="22.5" customHeight="1">
      <c r="A553" s="160" t="s">
        <v>2115</v>
      </c>
      <c r="B553" s="160" t="s">
        <v>2116</v>
      </c>
      <c r="X553" s="160" t="s">
        <v>120</v>
      </c>
      <c r="Y553" s="160" t="s">
        <v>5006</v>
      </c>
      <c r="Z553" s="160" t="s">
        <v>117</v>
      </c>
      <c r="AA553" s="160" t="s">
        <v>2126</v>
      </c>
      <c r="AB553" s="160" t="s">
        <v>120</v>
      </c>
      <c r="AC553" s="160" t="s">
        <v>5006</v>
      </c>
      <c r="AD553" s="160" t="s">
        <v>5006</v>
      </c>
      <c r="AE553" s="160" t="s">
        <v>120</v>
      </c>
      <c r="AF553" s="160" t="s">
        <v>5006</v>
      </c>
      <c r="AG553" s="160" t="s">
        <v>120</v>
      </c>
      <c r="AH553" s="160" t="s">
        <v>5006</v>
      </c>
      <c r="AI553" s="160" t="s">
        <v>120</v>
      </c>
    </row>
    <row r="554" ht="22.5" customHeight="1">
      <c r="A554" s="160" t="s">
        <v>2154</v>
      </c>
      <c r="B554" s="160" t="s">
        <v>2155</v>
      </c>
      <c r="X554" s="160" t="s">
        <v>120</v>
      </c>
      <c r="Y554" s="160" t="s">
        <v>5006</v>
      </c>
      <c r="Z554" s="160" t="s">
        <v>120</v>
      </c>
      <c r="AA554" s="160" t="s">
        <v>5006</v>
      </c>
      <c r="AB554" s="160" t="s">
        <v>120</v>
      </c>
      <c r="AC554" s="160" t="s">
        <v>120</v>
      </c>
      <c r="AD554" s="160" t="s">
        <v>5006</v>
      </c>
      <c r="AE554" s="160" t="s">
        <v>120</v>
      </c>
      <c r="AF554" s="160" t="s">
        <v>5006</v>
      </c>
      <c r="AG554" s="160" t="s">
        <v>120</v>
      </c>
      <c r="AH554" s="160" t="s">
        <v>5006</v>
      </c>
      <c r="AI554" s="160" t="s">
        <v>117</v>
      </c>
      <c r="AJ554" s="160" t="s">
        <v>2181</v>
      </c>
    </row>
    <row r="555" ht="22.5" customHeight="1">
      <c r="A555" s="160" t="s">
        <v>1093</v>
      </c>
      <c r="B555" s="160" t="s">
        <v>1094</v>
      </c>
      <c r="X555" s="160" t="s">
        <v>120</v>
      </c>
      <c r="Y555" s="160" t="s">
        <v>5006</v>
      </c>
      <c r="Z555" s="160" t="s">
        <v>117</v>
      </c>
      <c r="AA555" s="160" t="s">
        <v>5027</v>
      </c>
      <c r="AB555" s="160" t="s">
        <v>120</v>
      </c>
      <c r="AC555" s="160" t="s">
        <v>120</v>
      </c>
      <c r="AD555" s="160" t="s">
        <v>5006</v>
      </c>
      <c r="AE555" s="160" t="s">
        <v>120</v>
      </c>
      <c r="AF555" s="160" t="s">
        <v>5006</v>
      </c>
      <c r="AG555" s="160" t="s">
        <v>120</v>
      </c>
      <c r="AH555" s="160" t="s">
        <v>5006</v>
      </c>
      <c r="AI555" s="160" t="s">
        <v>120</v>
      </c>
    </row>
    <row r="556" ht="22.5" customHeight="1">
      <c r="A556" s="160" t="s">
        <v>146</v>
      </c>
      <c r="B556" s="160" t="s">
        <v>147</v>
      </c>
      <c r="X556" s="160" t="s">
        <v>117</v>
      </c>
      <c r="Y556" s="160" t="s">
        <v>168</v>
      </c>
      <c r="Z556" s="160" t="s">
        <v>117</v>
      </c>
      <c r="AA556" s="160" t="s">
        <v>169</v>
      </c>
      <c r="AB556" s="160" t="s">
        <v>120</v>
      </c>
      <c r="AC556" s="160" t="s">
        <v>5006</v>
      </c>
      <c r="AD556" s="160" t="s">
        <v>5006</v>
      </c>
      <c r="AE556" s="160" t="s">
        <v>120</v>
      </c>
      <c r="AF556" s="160" t="s">
        <v>5006</v>
      </c>
      <c r="AG556" s="160" t="s">
        <v>120</v>
      </c>
      <c r="AH556" s="160" t="s">
        <v>5006</v>
      </c>
      <c r="AI556" s="160" t="s">
        <v>117</v>
      </c>
      <c r="AJ556" s="160" t="s">
        <v>178</v>
      </c>
    </row>
    <row r="557" ht="22.5" customHeight="1">
      <c r="A557" s="160" t="s">
        <v>2236</v>
      </c>
      <c r="B557" s="160" t="s">
        <v>2237</v>
      </c>
      <c r="X557" s="160" t="s">
        <v>120</v>
      </c>
      <c r="Y557" s="160" t="s">
        <v>5006</v>
      </c>
      <c r="Z557" s="160" t="s">
        <v>120</v>
      </c>
      <c r="AA557" s="160" t="s">
        <v>5006</v>
      </c>
      <c r="AB557" s="160" t="s">
        <v>120</v>
      </c>
      <c r="AC557" s="160" t="s">
        <v>120</v>
      </c>
      <c r="AD557" s="160" t="s">
        <v>5006</v>
      </c>
      <c r="AE557" s="160" t="s">
        <v>117</v>
      </c>
      <c r="AF557" s="160" t="s">
        <v>5028</v>
      </c>
      <c r="AG557" s="160" t="s">
        <v>120</v>
      </c>
      <c r="AH557" s="160" t="s">
        <v>5006</v>
      </c>
      <c r="AI557" s="160" t="s">
        <v>117</v>
      </c>
      <c r="AJ557" s="160" t="s">
        <v>5029</v>
      </c>
    </row>
    <row r="558" ht="22.5" customHeight="1">
      <c r="A558" s="160" t="s">
        <v>3500</v>
      </c>
      <c r="B558" s="160" t="s">
        <v>3798</v>
      </c>
      <c r="X558" s="160" t="s">
        <v>117</v>
      </c>
      <c r="Y558" s="160" t="s">
        <v>5030</v>
      </c>
      <c r="Z558" s="160" t="s">
        <v>117</v>
      </c>
      <c r="AA558" s="160" t="s">
        <v>5031</v>
      </c>
      <c r="AB558" s="160" t="s">
        <v>120</v>
      </c>
      <c r="AC558" s="160" t="s">
        <v>5006</v>
      </c>
      <c r="AD558" s="160" t="s">
        <v>5006</v>
      </c>
      <c r="AE558" s="160" t="s">
        <v>120</v>
      </c>
      <c r="AF558" s="160" t="s">
        <v>5006</v>
      </c>
      <c r="AG558" s="160" t="s">
        <v>120</v>
      </c>
      <c r="AH558" s="160" t="s">
        <v>5006</v>
      </c>
      <c r="AI558" s="160" t="s">
        <v>120</v>
      </c>
    </row>
    <row r="559" ht="22.5" customHeight="1">
      <c r="A559" s="160" t="s">
        <v>187</v>
      </c>
      <c r="B559" s="160" t="s">
        <v>188</v>
      </c>
      <c r="X559" s="160" t="s">
        <v>117</v>
      </c>
      <c r="Y559" s="160" t="s">
        <v>5032</v>
      </c>
      <c r="Z559" s="160" t="s">
        <v>120</v>
      </c>
      <c r="AA559" s="160" t="s">
        <v>5006</v>
      </c>
      <c r="AB559" s="160" t="s">
        <v>120</v>
      </c>
      <c r="AC559" s="160" t="s">
        <v>120</v>
      </c>
      <c r="AD559" s="160" t="s">
        <v>5006</v>
      </c>
      <c r="AE559" s="160" t="s">
        <v>120</v>
      </c>
      <c r="AF559" s="160" t="s">
        <v>5006</v>
      </c>
      <c r="AG559" s="160" t="s">
        <v>120</v>
      </c>
      <c r="AH559" s="160" t="s">
        <v>5006</v>
      </c>
      <c r="AI559" s="160" t="s">
        <v>120</v>
      </c>
    </row>
    <row r="560" ht="22.5" customHeight="1">
      <c r="A560" s="160" t="s">
        <v>1126</v>
      </c>
      <c r="B560" s="160" t="s">
        <v>1127</v>
      </c>
      <c r="X560" s="160" t="s">
        <v>120</v>
      </c>
      <c r="Y560" s="160" t="s">
        <v>5006</v>
      </c>
      <c r="Z560" s="160" t="s">
        <v>117</v>
      </c>
      <c r="AA560" s="160" t="s">
        <v>1132</v>
      </c>
      <c r="AB560" s="160" t="s">
        <v>120</v>
      </c>
      <c r="AC560" s="160" t="s">
        <v>5006</v>
      </c>
      <c r="AD560" s="160" t="s">
        <v>5006</v>
      </c>
      <c r="AE560" s="160" t="s">
        <v>120</v>
      </c>
      <c r="AF560" s="160" t="s">
        <v>5006</v>
      </c>
      <c r="AG560" s="160" t="s">
        <v>120</v>
      </c>
      <c r="AH560" s="160" t="s">
        <v>5006</v>
      </c>
      <c r="AI560" s="160" t="s">
        <v>120</v>
      </c>
    </row>
    <row r="561" ht="22.5" customHeight="1">
      <c r="A561" s="160" t="s">
        <v>967</v>
      </c>
      <c r="B561" s="160" t="s">
        <v>968</v>
      </c>
      <c r="X561" s="160" t="s">
        <v>120</v>
      </c>
      <c r="Y561" s="160" t="s">
        <v>5006</v>
      </c>
      <c r="Z561" s="160" t="s">
        <v>117</v>
      </c>
      <c r="AA561" s="160" t="s">
        <v>5033</v>
      </c>
      <c r="AB561" s="160" t="s">
        <v>120</v>
      </c>
      <c r="AC561" s="160" t="s">
        <v>120</v>
      </c>
      <c r="AD561" s="160" t="s">
        <v>5006</v>
      </c>
      <c r="AE561" s="160" t="s">
        <v>120</v>
      </c>
      <c r="AF561" s="160" t="s">
        <v>5006</v>
      </c>
      <c r="AG561" s="160" t="s">
        <v>120</v>
      </c>
      <c r="AH561" s="160" t="s">
        <v>5006</v>
      </c>
      <c r="AI561" s="160" t="s">
        <v>120</v>
      </c>
    </row>
    <row r="562" ht="22.5" customHeight="1">
      <c r="A562" s="160" t="s">
        <v>533</v>
      </c>
      <c r="B562" s="160" t="s">
        <v>535</v>
      </c>
      <c r="X562" s="160" t="s">
        <v>117</v>
      </c>
      <c r="Y562" s="160" t="s">
        <v>5006</v>
      </c>
      <c r="Z562" s="160" t="s">
        <v>117</v>
      </c>
      <c r="AA562" s="160" t="s">
        <v>5006</v>
      </c>
      <c r="AB562" s="160" t="s">
        <v>117</v>
      </c>
      <c r="AC562" s="160" t="s">
        <v>117</v>
      </c>
      <c r="AD562" s="160" t="s">
        <v>5006</v>
      </c>
      <c r="AE562" s="160" t="s">
        <v>117</v>
      </c>
      <c r="AF562" s="160" t="s">
        <v>5006</v>
      </c>
      <c r="AG562" s="160" t="s">
        <v>117</v>
      </c>
      <c r="AH562" s="160" t="s">
        <v>5006</v>
      </c>
      <c r="AI562" s="160" t="s">
        <v>117</v>
      </c>
    </row>
    <row r="563" ht="22.5" customHeight="1">
      <c r="A563" s="160" t="s">
        <v>2848</v>
      </c>
      <c r="B563" s="160" t="s">
        <v>2849</v>
      </c>
      <c r="X563" s="160" t="s">
        <v>117</v>
      </c>
      <c r="Y563" s="160" t="s">
        <v>5006</v>
      </c>
      <c r="Z563" s="160" t="s">
        <v>117</v>
      </c>
      <c r="AA563" s="160" t="s">
        <v>5006</v>
      </c>
      <c r="AB563" s="160" t="s">
        <v>117</v>
      </c>
      <c r="AC563" s="160" t="s">
        <v>120</v>
      </c>
      <c r="AD563" s="160" t="s">
        <v>5006</v>
      </c>
      <c r="AE563" s="160" t="s">
        <v>120</v>
      </c>
      <c r="AF563" s="160" t="s">
        <v>5006</v>
      </c>
      <c r="AG563" s="160" t="s">
        <v>117</v>
      </c>
      <c r="AH563" s="160" t="s">
        <v>5006</v>
      </c>
      <c r="AI563" s="160" t="s">
        <v>120</v>
      </c>
    </row>
    <row r="564" ht="22.5" customHeight="1">
      <c r="A564" s="160" t="s">
        <v>4016</v>
      </c>
      <c r="B564" s="160" t="s">
        <v>4017</v>
      </c>
      <c r="X564" s="160" t="s">
        <v>120</v>
      </c>
      <c r="Y564" s="160" t="s">
        <v>5006</v>
      </c>
      <c r="Z564" s="160" t="s">
        <v>120</v>
      </c>
      <c r="AA564" s="160" t="s">
        <v>5006</v>
      </c>
      <c r="AB564" s="160" t="s">
        <v>117</v>
      </c>
      <c r="AC564" s="160" t="s">
        <v>117</v>
      </c>
      <c r="AD564" s="160" t="s">
        <v>5034</v>
      </c>
      <c r="AE564" s="160" t="s">
        <v>120</v>
      </c>
      <c r="AF564" s="160" t="s">
        <v>5006</v>
      </c>
      <c r="AG564" s="160" t="s">
        <v>120</v>
      </c>
      <c r="AH564" s="160" t="s">
        <v>5006</v>
      </c>
      <c r="AI564" s="160" t="s">
        <v>120</v>
      </c>
    </row>
    <row r="565" ht="22.5" customHeight="1">
      <c r="A565" s="160" t="s">
        <v>497</v>
      </c>
      <c r="B565" s="160" t="s">
        <v>498</v>
      </c>
      <c r="X565" s="160" t="s">
        <v>117</v>
      </c>
      <c r="Y565" s="160" t="s">
        <v>458</v>
      </c>
      <c r="Z565" s="160" t="s">
        <v>120</v>
      </c>
      <c r="AA565" s="160" t="s">
        <v>5006</v>
      </c>
      <c r="AB565" s="160" t="s">
        <v>120</v>
      </c>
      <c r="AC565" s="160" t="s">
        <v>5006</v>
      </c>
      <c r="AD565" s="160" t="s">
        <v>5006</v>
      </c>
      <c r="AE565" s="160" t="s">
        <v>120</v>
      </c>
      <c r="AF565" s="160" t="s">
        <v>5006</v>
      </c>
      <c r="AG565" s="160" t="s">
        <v>120</v>
      </c>
      <c r="AH565" s="160" t="s">
        <v>5006</v>
      </c>
      <c r="AI565" s="160" t="s">
        <v>117</v>
      </c>
      <c r="AJ565" s="160" t="s">
        <v>178</v>
      </c>
    </row>
    <row r="566" ht="22.5" customHeight="1">
      <c r="A566" s="160" t="s">
        <v>2413</v>
      </c>
      <c r="B566" s="160" t="s">
        <v>2414</v>
      </c>
      <c r="X566" s="160" t="s">
        <v>120</v>
      </c>
      <c r="Y566" s="160" t="s">
        <v>5006</v>
      </c>
      <c r="Z566" s="160" t="s">
        <v>120</v>
      </c>
      <c r="AA566" s="160" t="s">
        <v>5006</v>
      </c>
      <c r="AB566" s="160" t="s">
        <v>117</v>
      </c>
      <c r="AC566" s="160" t="s">
        <v>117</v>
      </c>
      <c r="AD566" s="160" t="s">
        <v>5035</v>
      </c>
      <c r="AE566" s="160" t="s">
        <v>120</v>
      </c>
      <c r="AF566" s="160" t="s">
        <v>5006</v>
      </c>
      <c r="AG566" s="160" t="s">
        <v>120</v>
      </c>
      <c r="AH566" s="160" t="s">
        <v>5006</v>
      </c>
      <c r="AI566" s="160" t="s">
        <v>117</v>
      </c>
      <c r="AJ566" s="160" t="s">
        <v>5036</v>
      </c>
    </row>
    <row r="567" ht="22.5" customHeight="1">
      <c r="A567" s="160" t="s">
        <v>2450</v>
      </c>
      <c r="B567" s="160" t="s">
        <v>2452</v>
      </c>
      <c r="X567" s="160" t="s">
        <v>120</v>
      </c>
      <c r="Y567" s="160" t="s">
        <v>5006</v>
      </c>
      <c r="Z567" s="160" t="s">
        <v>120</v>
      </c>
      <c r="AA567" s="160" t="s">
        <v>5006</v>
      </c>
      <c r="AB567" s="160" t="s">
        <v>117</v>
      </c>
      <c r="AC567" s="160" t="s">
        <v>117</v>
      </c>
      <c r="AD567" s="160" t="s">
        <v>5006</v>
      </c>
      <c r="AE567" s="160" t="s">
        <v>120</v>
      </c>
      <c r="AF567" s="160" t="s">
        <v>5006</v>
      </c>
      <c r="AG567" s="160" t="s">
        <v>120</v>
      </c>
      <c r="AH567" s="160" t="s">
        <v>5006</v>
      </c>
      <c r="AI567" s="160" t="s">
        <v>120</v>
      </c>
    </row>
    <row r="568" ht="22.5" customHeight="1">
      <c r="A568" s="160" t="s">
        <v>217</v>
      </c>
      <c r="B568" s="160" t="s">
        <v>219</v>
      </c>
      <c r="X568" s="160" t="s">
        <v>117</v>
      </c>
      <c r="Y568" s="160" t="s">
        <v>237</v>
      </c>
      <c r="Z568" s="160" t="s">
        <v>117</v>
      </c>
      <c r="AA568" s="160" t="s">
        <v>238</v>
      </c>
      <c r="AB568" s="160" t="s">
        <v>120</v>
      </c>
      <c r="AC568" s="160" t="s">
        <v>5006</v>
      </c>
      <c r="AD568" s="160" t="s">
        <v>5006</v>
      </c>
      <c r="AE568" s="160" t="s">
        <v>117</v>
      </c>
      <c r="AF568" s="160" t="s">
        <v>241</v>
      </c>
      <c r="AG568" s="160" t="s">
        <v>120</v>
      </c>
      <c r="AH568" s="160" t="s">
        <v>5006</v>
      </c>
      <c r="AI568" s="160" t="s">
        <v>120</v>
      </c>
    </row>
    <row r="569" ht="22.5" customHeight="1">
      <c r="A569" s="160" t="s">
        <v>2075</v>
      </c>
      <c r="B569" s="160" t="s">
        <v>2077</v>
      </c>
      <c r="X569" s="160" t="s">
        <v>120</v>
      </c>
      <c r="Y569" s="160" t="s">
        <v>5006</v>
      </c>
      <c r="Z569" s="160" t="s">
        <v>117</v>
      </c>
      <c r="AA569" s="160" t="s">
        <v>5037</v>
      </c>
      <c r="AB569" s="160" t="s">
        <v>117</v>
      </c>
      <c r="AC569" s="160" t="s">
        <v>117</v>
      </c>
      <c r="AD569" s="160" t="s">
        <v>2092</v>
      </c>
      <c r="AE569" s="160" t="s">
        <v>120</v>
      </c>
      <c r="AF569" s="160" t="s">
        <v>5006</v>
      </c>
      <c r="AG569" s="160" t="s">
        <v>120</v>
      </c>
      <c r="AH569" s="160" t="s">
        <v>5006</v>
      </c>
      <c r="AI569" s="160" t="s">
        <v>120</v>
      </c>
    </row>
    <row r="570" ht="22.5" customHeight="1">
      <c r="A570" s="160" t="s">
        <v>1149</v>
      </c>
      <c r="B570" s="160" t="s">
        <v>1151</v>
      </c>
      <c r="X570" s="160" t="s">
        <v>120</v>
      </c>
      <c r="Y570" s="160" t="s">
        <v>5006</v>
      </c>
      <c r="Z570" s="160" t="s">
        <v>117</v>
      </c>
      <c r="AA570" s="160" t="s">
        <v>5038</v>
      </c>
      <c r="AB570" s="160" t="s">
        <v>120</v>
      </c>
      <c r="AC570" s="160" t="s">
        <v>5006</v>
      </c>
      <c r="AD570" s="160" t="s">
        <v>5006</v>
      </c>
      <c r="AE570" s="160" t="s">
        <v>120</v>
      </c>
      <c r="AF570" s="160" t="s">
        <v>5006</v>
      </c>
      <c r="AG570" s="160" t="s">
        <v>120</v>
      </c>
      <c r="AH570" s="160" t="s">
        <v>5006</v>
      </c>
      <c r="AI570" s="160" t="s">
        <v>120</v>
      </c>
    </row>
    <row r="571" ht="22.5" customHeight="1">
      <c r="A571" s="160" t="s">
        <v>344</v>
      </c>
      <c r="B571" s="160" t="s">
        <v>345</v>
      </c>
      <c r="X571" s="160" t="s">
        <v>117</v>
      </c>
      <c r="Y571" s="160" t="s">
        <v>5006</v>
      </c>
      <c r="Z571" s="160" t="s">
        <v>117</v>
      </c>
      <c r="AA571" s="160" t="s">
        <v>5006</v>
      </c>
      <c r="AB571" s="160" t="s">
        <v>117</v>
      </c>
      <c r="AC571" s="160" t="s">
        <v>5006</v>
      </c>
      <c r="AD571" s="160" t="s">
        <v>5006</v>
      </c>
      <c r="AE571" s="160" t="s">
        <v>117</v>
      </c>
      <c r="AF571" s="160" t="s">
        <v>5006</v>
      </c>
      <c r="AG571" s="160" t="s">
        <v>117</v>
      </c>
      <c r="AH571" s="160" t="s">
        <v>5006</v>
      </c>
      <c r="AI571" s="160" t="s">
        <v>117</v>
      </c>
    </row>
    <row r="572" ht="22.5" customHeight="1">
      <c r="A572" s="160" t="s">
        <v>2544</v>
      </c>
      <c r="B572" s="160" t="s">
        <v>103</v>
      </c>
      <c r="X572" s="160" t="s">
        <v>120</v>
      </c>
      <c r="Y572" s="160" t="s">
        <v>5006</v>
      </c>
      <c r="Z572" s="160" t="s">
        <v>117</v>
      </c>
      <c r="AA572" s="160" t="s">
        <v>2558</v>
      </c>
      <c r="AB572" s="160" t="s">
        <v>120</v>
      </c>
      <c r="AC572" s="160" t="s">
        <v>120</v>
      </c>
      <c r="AD572" s="160" t="s">
        <v>5006</v>
      </c>
      <c r="AE572" s="160" t="s">
        <v>117</v>
      </c>
      <c r="AF572" s="160" t="s">
        <v>2559</v>
      </c>
      <c r="AG572" s="160" t="s">
        <v>120</v>
      </c>
      <c r="AH572" s="160" t="s">
        <v>5006</v>
      </c>
      <c r="AI572" s="160" t="s">
        <v>120</v>
      </c>
    </row>
    <row r="573" ht="22.5" customHeight="1">
      <c r="A573" s="160" t="s">
        <v>2564</v>
      </c>
      <c r="B573" s="160" t="s">
        <v>2566</v>
      </c>
      <c r="X573" s="160" t="s">
        <v>120</v>
      </c>
      <c r="Y573" s="160" t="s">
        <v>5006</v>
      </c>
      <c r="Z573" s="160" t="s">
        <v>120</v>
      </c>
      <c r="AA573" s="160" t="s">
        <v>5006</v>
      </c>
      <c r="AB573" s="160" t="s">
        <v>117</v>
      </c>
      <c r="AC573" s="160" t="s">
        <v>117</v>
      </c>
      <c r="AD573" s="160" t="s">
        <v>5039</v>
      </c>
      <c r="AE573" s="160" t="s">
        <v>120</v>
      </c>
      <c r="AF573" s="160" t="s">
        <v>5006</v>
      </c>
      <c r="AG573" s="160" t="s">
        <v>120</v>
      </c>
      <c r="AH573" s="160" t="s">
        <v>5006</v>
      </c>
      <c r="AI573" s="160" t="s">
        <v>120</v>
      </c>
    </row>
    <row r="574" ht="22.5" customHeight="1">
      <c r="A574" s="160" t="s">
        <v>2587</v>
      </c>
      <c r="B574" s="160" t="s">
        <v>2588</v>
      </c>
      <c r="X574" s="160" t="s">
        <v>120</v>
      </c>
      <c r="Y574" s="160" t="s">
        <v>5006</v>
      </c>
      <c r="Z574" s="160" t="s">
        <v>120</v>
      </c>
      <c r="AA574" s="160" t="s">
        <v>5006</v>
      </c>
      <c r="AB574" s="160" t="s">
        <v>117</v>
      </c>
      <c r="AC574" s="160" t="s">
        <v>117</v>
      </c>
      <c r="AD574" s="160" t="s">
        <v>5040</v>
      </c>
      <c r="AE574" s="160" t="s">
        <v>120</v>
      </c>
      <c r="AF574" s="160" t="s">
        <v>5006</v>
      </c>
      <c r="AG574" s="160" t="s">
        <v>120</v>
      </c>
      <c r="AH574" s="160" t="s">
        <v>5006</v>
      </c>
      <c r="AI574" s="160" t="s">
        <v>120</v>
      </c>
    </row>
    <row r="575" ht="22.5" customHeight="1">
      <c r="A575" s="160" t="s">
        <v>2517</v>
      </c>
      <c r="B575" s="160" t="s">
        <v>2518</v>
      </c>
      <c r="X575" s="160" t="s">
        <v>120</v>
      </c>
      <c r="Y575" s="160" t="s">
        <v>5006</v>
      </c>
      <c r="Z575" s="160" t="s">
        <v>120</v>
      </c>
      <c r="AA575" s="160" t="s">
        <v>5006</v>
      </c>
      <c r="AB575" s="160" t="s">
        <v>120</v>
      </c>
      <c r="AC575" s="160" t="s">
        <v>5006</v>
      </c>
      <c r="AD575" s="160" t="s">
        <v>5006</v>
      </c>
      <c r="AE575" s="160" t="s">
        <v>117</v>
      </c>
      <c r="AF575" s="160" t="s">
        <v>2529</v>
      </c>
      <c r="AG575" s="160" t="s">
        <v>120</v>
      </c>
      <c r="AH575" s="160" t="s">
        <v>5006</v>
      </c>
      <c r="AI575" s="160" t="s">
        <v>117</v>
      </c>
      <c r="AJ575" s="160" t="s">
        <v>5041</v>
      </c>
    </row>
    <row r="576" ht="22.5" customHeight="1">
      <c r="A576" s="160" t="s">
        <v>1946</v>
      </c>
      <c r="B576" s="160" t="s">
        <v>1947</v>
      </c>
      <c r="X576" s="160" t="s">
        <v>120</v>
      </c>
      <c r="Y576" s="160" t="s">
        <v>1969</v>
      </c>
      <c r="Z576" s="160" t="s">
        <v>120</v>
      </c>
      <c r="AA576" s="160" t="s">
        <v>1969</v>
      </c>
      <c r="AB576" s="160" t="s">
        <v>120</v>
      </c>
      <c r="AC576" s="160" t="s">
        <v>120</v>
      </c>
      <c r="AD576" s="160" t="s">
        <v>135</v>
      </c>
      <c r="AE576" s="160" t="s">
        <v>120</v>
      </c>
      <c r="AF576" s="160" t="s">
        <v>5042</v>
      </c>
      <c r="AG576" s="160" t="s">
        <v>120</v>
      </c>
      <c r="AH576" s="160" t="s">
        <v>5042</v>
      </c>
      <c r="AI576" s="160" t="s">
        <v>117</v>
      </c>
      <c r="AJ576" s="160" t="s">
        <v>5043</v>
      </c>
    </row>
    <row r="577" ht="22.5" customHeight="1">
      <c r="A577" s="160" t="s">
        <v>2658</v>
      </c>
      <c r="B577" s="160" t="s">
        <v>2660</v>
      </c>
      <c r="X577" s="160" t="s">
        <v>120</v>
      </c>
      <c r="Y577" s="160" t="s">
        <v>5006</v>
      </c>
      <c r="Z577" s="160" t="s">
        <v>117</v>
      </c>
      <c r="AA577" s="160" t="s">
        <v>5044</v>
      </c>
      <c r="AB577" s="160" t="s">
        <v>120</v>
      </c>
      <c r="AC577" s="160" t="s">
        <v>117</v>
      </c>
      <c r="AD577" s="160" t="s">
        <v>5006</v>
      </c>
      <c r="AE577" s="160" t="s">
        <v>120</v>
      </c>
      <c r="AF577" s="160" t="s">
        <v>5006</v>
      </c>
      <c r="AG577" s="160" t="s">
        <v>120</v>
      </c>
      <c r="AH577" s="160" t="s">
        <v>5006</v>
      </c>
      <c r="AI577" s="160" t="s">
        <v>120</v>
      </c>
    </row>
    <row r="578" ht="22.5" customHeight="1">
      <c r="A578" s="160" t="s">
        <v>2676</v>
      </c>
      <c r="B578" s="160" t="s">
        <v>2677</v>
      </c>
      <c r="X578" s="160" t="s">
        <v>120</v>
      </c>
      <c r="Y578" s="160" t="s">
        <v>5006</v>
      </c>
      <c r="Z578" s="160" t="s">
        <v>117</v>
      </c>
      <c r="AA578" s="160" t="s">
        <v>2689</v>
      </c>
      <c r="AB578" s="160" t="s">
        <v>120</v>
      </c>
      <c r="AC578" s="160" t="s">
        <v>120</v>
      </c>
      <c r="AD578" s="160" t="s">
        <v>5006</v>
      </c>
      <c r="AE578" s="160" t="s">
        <v>120</v>
      </c>
      <c r="AF578" s="160" t="s">
        <v>5006</v>
      </c>
      <c r="AG578" s="160" t="s">
        <v>120</v>
      </c>
      <c r="AH578" s="160" t="s">
        <v>5006</v>
      </c>
      <c r="AI578" s="160" t="s">
        <v>120</v>
      </c>
    </row>
    <row r="579" ht="22.5" customHeight="1">
      <c r="A579" s="160" t="s">
        <v>938</v>
      </c>
      <c r="B579" s="160" t="s">
        <v>940</v>
      </c>
      <c r="X579" s="160" t="s">
        <v>120</v>
      </c>
      <c r="Y579" s="160" t="s">
        <v>5006</v>
      </c>
      <c r="Z579" s="160" t="s">
        <v>117</v>
      </c>
      <c r="AA579" s="160" t="s">
        <v>5045</v>
      </c>
      <c r="AB579" s="160" t="s">
        <v>120</v>
      </c>
      <c r="AC579" s="160" t="s">
        <v>5006</v>
      </c>
      <c r="AD579" s="160" t="s">
        <v>5006</v>
      </c>
      <c r="AE579" s="160" t="s">
        <v>117</v>
      </c>
      <c r="AF579" s="160" t="s">
        <v>5046</v>
      </c>
      <c r="AG579" s="160" t="s">
        <v>120</v>
      </c>
      <c r="AH579" s="160" t="s">
        <v>5006</v>
      </c>
      <c r="AI579" s="160" t="s">
        <v>120</v>
      </c>
    </row>
    <row r="580" ht="22.5" customHeight="1">
      <c r="A580" s="160" t="s">
        <v>2727</v>
      </c>
      <c r="B580" s="160" t="s">
        <v>2728</v>
      </c>
      <c r="X580" s="160" t="s">
        <v>120</v>
      </c>
      <c r="Y580" s="160" t="s">
        <v>5006</v>
      </c>
      <c r="Z580" s="160" t="s">
        <v>117</v>
      </c>
      <c r="AA580" s="160" t="s">
        <v>1641</v>
      </c>
      <c r="AB580" s="160" t="s">
        <v>120</v>
      </c>
      <c r="AC580" s="160" t="s">
        <v>120</v>
      </c>
      <c r="AD580" s="160" t="s">
        <v>5006</v>
      </c>
      <c r="AE580" s="160" t="s">
        <v>120</v>
      </c>
      <c r="AF580" s="160" t="s">
        <v>5006</v>
      </c>
      <c r="AG580" s="160" t="s">
        <v>120</v>
      </c>
      <c r="AH580" s="160" t="s">
        <v>5006</v>
      </c>
      <c r="AI580" s="160" t="s">
        <v>120</v>
      </c>
    </row>
    <row r="581" ht="22.5" customHeight="1">
      <c r="A581" s="160" t="s">
        <v>4332</v>
      </c>
      <c r="B581" s="160" t="s">
        <v>4333</v>
      </c>
      <c r="X581" s="160" t="s">
        <v>120</v>
      </c>
      <c r="Y581" s="160" t="s">
        <v>5006</v>
      </c>
      <c r="Z581" s="160" t="s">
        <v>120</v>
      </c>
      <c r="AA581" s="160" t="s">
        <v>5006</v>
      </c>
      <c r="AB581" s="160" t="s">
        <v>120</v>
      </c>
      <c r="AC581" s="160" t="s">
        <v>5006</v>
      </c>
      <c r="AD581" s="160" t="s">
        <v>5006</v>
      </c>
      <c r="AE581" s="160" t="s">
        <v>120</v>
      </c>
      <c r="AF581" s="160" t="s">
        <v>5006</v>
      </c>
      <c r="AG581" s="160" t="s">
        <v>117</v>
      </c>
      <c r="AH581" s="160" t="s">
        <v>5047</v>
      </c>
      <c r="AI581" s="160" t="s">
        <v>120</v>
      </c>
    </row>
    <row r="582" ht="22.5" customHeight="1">
      <c r="A582" s="160" t="s">
        <v>246</v>
      </c>
      <c r="B582" s="160" t="s">
        <v>248</v>
      </c>
      <c r="X582" s="160" t="s">
        <v>117</v>
      </c>
      <c r="Y582" s="160" t="s">
        <v>5048</v>
      </c>
      <c r="Z582" s="160" t="s">
        <v>117</v>
      </c>
      <c r="AA582" s="160" t="s">
        <v>268</v>
      </c>
      <c r="AB582" s="160" t="s">
        <v>120</v>
      </c>
      <c r="AC582" s="160" t="s">
        <v>120</v>
      </c>
      <c r="AD582" s="160" t="s">
        <v>5006</v>
      </c>
      <c r="AE582" s="160" t="s">
        <v>120</v>
      </c>
      <c r="AF582" s="160" t="s">
        <v>5006</v>
      </c>
      <c r="AG582" s="160" t="s">
        <v>120</v>
      </c>
      <c r="AH582" s="160" t="s">
        <v>5006</v>
      </c>
      <c r="AI582" s="160" t="s">
        <v>120</v>
      </c>
    </row>
    <row r="583" ht="22.5" customHeight="1">
      <c r="A583" s="160" t="s">
        <v>2782</v>
      </c>
      <c r="B583" s="160" t="s">
        <v>2783</v>
      </c>
      <c r="X583" s="160" t="s">
        <v>120</v>
      </c>
      <c r="Y583" s="160" t="s">
        <v>5006</v>
      </c>
      <c r="Z583" s="160" t="s">
        <v>117</v>
      </c>
      <c r="AA583" s="160" t="s">
        <v>2796</v>
      </c>
      <c r="AB583" s="160" t="s">
        <v>117</v>
      </c>
      <c r="AC583" s="160" t="s">
        <v>117</v>
      </c>
      <c r="AD583" s="160" t="s">
        <v>5006</v>
      </c>
      <c r="AE583" s="160" t="s">
        <v>120</v>
      </c>
      <c r="AF583" s="160" t="s">
        <v>5006</v>
      </c>
      <c r="AG583" s="160" t="s">
        <v>120</v>
      </c>
      <c r="AH583" s="160" t="s">
        <v>5006</v>
      </c>
      <c r="AI583" s="160" t="s">
        <v>120</v>
      </c>
    </row>
    <row r="584" ht="22.5" customHeight="1">
      <c r="A584" s="160" t="s">
        <v>2810</v>
      </c>
      <c r="B584" s="160" t="s">
        <v>2811</v>
      </c>
      <c r="X584" s="160" t="s">
        <v>120</v>
      </c>
      <c r="Y584" s="160" t="s">
        <v>5006</v>
      </c>
      <c r="Z584" s="160" t="s">
        <v>120</v>
      </c>
      <c r="AA584" s="160" t="s">
        <v>5006</v>
      </c>
      <c r="AB584" s="160" t="s">
        <v>117</v>
      </c>
      <c r="AC584" s="160" t="s">
        <v>117</v>
      </c>
      <c r="AD584" s="160" t="s">
        <v>2818</v>
      </c>
      <c r="AE584" s="160" t="s">
        <v>120</v>
      </c>
      <c r="AF584" s="160" t="s">
        <v>5006</v>
      </c>
      <c r="AG584" s="160" t="s">
        <v>120</v>
      </c>
      <c r="AH584" s="160" t="s">
        <v>5006</v>
      </c>
      <c r="AI584" s="160" t="s">
        <v>120</v>
      </c>
    </row>
    <row r="585" ht="22.5" customHeight="1">
      <c r="A585" s="160" t="s">
        <v>3103</v>
      </c>
      <c r="B585" s="160" t="s">
        <v>3105</v>
      </c>
      <c r="X585" s="160" t="s">
        <v>120</v>
      </c>
      <c r="Y585" s="160" t="s">
        <v>5006</v>
      </c>
      <c r="Z585" s="160" t="s">
        <v>117</v>
      </c>
      <c r="AA585" s="160" t="s">
        <v>5006</v>
      </c>
      <c r="AB585" s="160" t="s">
        <v>117</v>
      </c>
      <c r="AC585" s="160" t="s">
        <v>5006</v>
      </c>
      <c r="AD585" s="160" t="s">
        <v>5006</v>
      </c>
      <c r="AE585" s="160" t="s">
        <v>117</v>
      </c>
      <c r="AF585" s="160" t="s">
        <v>5006</v>
      </c>
      <c r="AG585" s="160" t="s">
        <v>117</v>
      </c>
      <c r="AH585" s="160" t="s">
        <v>5006</v>
      </c>
      <c r="AI585" s="160" t="s">
        <v>117</v>
      </c>
    </row>
    <row r="586" ht="22.5" customHeight="1">
      <c r="A586" s="160" t="s">
        <v>2941</v>
      </c>
      <c r="B586" s="160" t="s">
        <v>1858</v>
      </c>
      <c r="X586" s="160" t="s">
        <v>120</v>
      </c>
      <c r="Y586" s="160" t="s">
        <v>5006</v>
      </c>
      <c r="Z586" s="160" t="s">
        <v>117</v>
      </c>
      <c r="AA586" s="160" t="s">
        <v>5049</v>
      </c>
      <c r="AB586" s="160" t="s">
        <v>120</v>
      </c>
      <c r="AC586" s="160" t="s">
        <v>120</v>
      </c>
      <c r="AD586" s="160" t="s">
        <v>5006</v>
      </c>
      <c r="AE586" s="160" t="s">
        <v>120</v>
      </c>
      <c r="AF586" s="160" t="s">
        <v>5006</v>
      </c>
      <c r="AG586" s="160" t="s">
        <v>120</v>
      </c>
      <c r="AH586" s="160" t="s">
        <v>5006</v>
      </c>
      <c r="AI586" s="160" t="s">
        <v>120</v>
      </c>
    </row>
    <row r="587" ht="22.5" customHeight="1">
      <c r="A587" s="160" t="s">
        <v>419</v>
      </c>
      <c r="B587" s="160" t="s">
        <v>420</v>
      </c>
      <c r="X587" s="160" t="s">
        <v>117</v>
      </c>
      <c r="Y587" s="160" t="s">
        <v>5050</v>
      </c>
      <c r="Z587" s="160" t="s">
        <v>120</v>
      </c>
      <c r="AA587" s="160" t="s">
        <v>5006</v>
      </c>
      <c r="AB587" s="160" t="s">
        <v>117</v>
      </c>
      <c r="AC587" s="160" t="s">
        <v>117</v>
      </c>
      <c r="AD587" s="160" t="s">
        <v>5051</v>
      </c>
      <c r="AE587" s="160" t="s">
        <v>120</v>
      </c>
      <c r="AF587" s="160" t="s">
        <v>5006</v>
      </c>
      <c r="AG587" s="160" t="s">
        <v>120</v>
      </c>
      <c r="AH587" s="160" t="s">
        <v>5006</v>
      </c>
      <c r="AI587" s="160" t="s">
        <v>120</v>
      </c>
    </row>
    <row r="588" ht="22.5" customHeight="1">
      <c r="A588" s="160" t="s">
        <v>2977</v>
      </c>
      <c r="B588" s="160" t="s">
        <v>2978</v>
      </c>
      <c r="X588" s="160" t="s">
        <v>120</v>
      </c>
      <c r="Y588" s="160" t="s">
        <v>5006</v>
      </c>
      <c r="Z588" s="160" t="s">
        <v>117</v>
      </c>
      <c r="AA588" s="160" t="s">
        <v>5052</v>
      </c>
      <c r="AB588" s="160" t="s">
        <v>120</v>
      </c>
      <c r="AC588" s="160" t="s">
        <v>5006</v>
      </c>
      <c r="AD588" s="160" t="s">
        <v>5006</v>
      </c>
      <c r="AE588" s="160" t="s">
        <v>120</v>
      </c>
      <c r="AF588" s="160" t="s">
        <v>5006</v>
      </c>
      <c r="AG588" s="160" t="s">
        <v>120</v>
      </c>
      <c r="AH588" s="160" t="s">
        <v>5006</v>
      </c>
      <c r="AI588" s="160" t="s">
        <v>120</v>
      </c>
    </row>
    <row r="589" ht="22.5" customHeight="1">
      <c r="A589" s="160" t="s">
        <v>2990</v>
      </c>
      <c r="B589" s="160" t="s">
        <v>2991</v>
      </c>
      <c r="X589" s="160" t="s">
        <v>120</v>
      </c>
      <c r="Y589" s="160" t="s">
        <v>5006</v>
      </c>
      <c r="Z589" s="160" t="s">
        <v>120</v>
      </c>
      <c r="AA589" s="160" t="s">
        <v>5006</v>
      </c>
      <c r="AB589" s="160" t="s">
        <v>117</v>
      </c>
      <c r="AC589" s="160" t="s">
        <v>117</v>
      </c>
      <c r="AD589" s="160" t="s">
        <v>1639</v>
      </c>
      <c r="AE589" s="160" t="s">
        <v>120</v>
      </c>
      <c r="AF589" s="160" t="s">
        <v>5006</v>
      </c>
      <c r="AG589" s="160" t="s">
        <v>120</v>
      </c>
      <c r="AH589" s="160" t="s">
        <v>5006</v>
      </c>
      <c r="AI589" s="160" t="s">
        <v>120</v>
      </c>
    </row>
    <row r="590" ht="22.5" customHeight="1">
      <c r="A590" s="160" t="s">
        <v>770</v>
      </c>
      <c r="B590" s="160" t="s">
        <v>413</v>
      </c>
      <c r="X590" s="160" t="s">
        <v>120</v>
      </c>
      <c r="Y590" s="160" t="s">
        <v>5006</v>
      </c>
      <c r="Z590" s="160" t="s">
        <v>120</v>
      </c>
      <c r="AA590" s="160" t="s">
        <v>5006</v>
      </c>
      <c r="AB590" s="160" t="s">
        <v>120</v>
      </c>
      <c r="AC590" s="160" t="s">
        <v>120</v>
      </c>
      <c r="AD590" s="160" t="s">
        <v>5006</v>
      </c>
      <c r="AE590" s="160" t="s">
        <v>120</v>
      </c>
      <c r="AF590" s="160" t="s">
        <v>5006</v>
      </c>
      <c r="AG590" s="160" t="s">
        <v>120</v>
      </c>
      <c r="AH590" s="160" t="s">
        <v>5006</v>
      </c>
      <c r="AI590" s="160" t="s">
        <v>117</v>
      </c>
      <c r="AJ590" s="160" t="s">
        <v>334</v>
      </c>
    </row>
    <row r="591" ht="22.5" customHeight="1">
      <c r="A591" s="160" t="s">
        <v>793</v>
      </c>
      <c r="B591" s="160" t="s">
        <v>794</v>
      </c>
      <c r="X591" s="160" t="s">
        <v>120</v>
      </c>
      <c r="Y591" s="160" t="s">
        <v>5006</v>
      </c>
      <c r="Z591" s="160" t="s">
        <v>117</v>
      </c>
      <c r="AA591" s="160" t="s">
        <v>805</v>
      </c>
      <c r="AB591" s="160" t="s">
        <v>117</v>
      </c>
      <c r="AC591" s="160" t="s">
        <v>117</v>
      </c>
      <c r="AD591" s="160" t="s">
        <v>806</v>
      </c>
      <c r="AE591" s="160" t="s">
        <v>120</v>
      </c>
      <c r="AF591" s="160" t="s">
        <v>5006</v>
      </c>
      <c r="AG591" s="160" t="s">
        <v>120</v>
      </c>
      <c r="AH591" s="160" t="s">
        <v>5006</v>
      </c>
      <c r="AI591" s="160" t="s">
        <v>117</v>
      </c>
      <c r="AJ591" s="160" t="s">
        <v>807</v>
      </c>
    </row>
    <row r="592" ht="22.5" customHeight="1">
      <c r="A592" s="160" t="s">
        <v>3069</v>
      </c>
      <c r="B592" s="160" t="s">
        <v>3070</v>
      </c>
      <c r="X592" s="160" t="s">
        <v>120</v>
      </c>
      <c r="Y592" s="160" t="s">
        <v>5006</v>
      </c>
      <c r="Z592" s="160" t="s">
        <v>120</v>
      </c>
      <c r="AA592" s="160" t="s">
        <v>5006</v>
      </c>
      <c r="AB592" s="160" t="s">
        <v>117</v>
      </c>
      <c r="AC592" s="160" t="s">
        <v>117</v>
      </c>
      <c r="AD592" s="160" t="s">
        <v>5006</v>
      </c>
      <c r="AE592" s="160" t="s">
        <v>117</v>
      </c>
      <c r="AF592" s="160" t="s">
        <v>5053</v>
      </c>
      <c r="AG592" s="160" t="s">
        <v>120</v>
      </c>
      <c r="AH592" s="160" t="s">
        <v>5006</v>
      </c>
      <c r="AI592" s="160" t="s">
        <v>120</v>
      </c>
    </row>
    <row r="593" ht="22.5" customHeight="1">
      <c r="A593" s="160" t="s">
        <v>710</v>
      </c>
      <c r="B593" s="160" t="s">
        <v>809</v>
      </c>
      <c r="X593" s="160" t="s">
        <v>120</v>
      </c>
      <c r="Y593" s="160" t="s">
        <v>5006</v>
      </c>
      <c r="Z593" s="160" t="s">
        <v>117</v>
      </c>
      <c r="AA593" s="160" t="s">
        <v>5054</v>
      </c>
      <c r="AB593" s="160" t="s">
        <v>117</v>
      </c>
      <c r="AC593" s="160" t="s">
        <v>117</v>
      </c>
      <c r="AD593" s="160" t="s">
        <v>827</v>
      </c>
      <c r="AE593" s="160" t="s">
        <v>120</v>
      </c>
      <c r="AF593" s="160" t="s">
        <v>5006</v>
      </c>
      <c r="AG593" s="160" t="s">
        <v>120</v>
      </c>
      <c r="AH593" s="160" t="s">
        <v>5006</v>
      </c>
      <c r="AI593" s="160" t="s">
        <v>117</v>
      </c>
      <c r="AJ593" s="160" t="s">
        <v>5043</v>
      </c>
    </row>
    <row r="594" ht="22.5" customHeight="1">
      <c r="A594" s="160" t="s">
        <v>387</v>
      </c>
      <c r="B594" s="160" t="s">
        <v>391</v>
      </c>
      <c r="X594" s="160" t="s">
        <v>117</v>
      </c>
      <c r="Y594" s="160" t="s">
        <v>5006</v>
      </c>
      <c r="Z594" s="160" t="s">
        <v>117</v>
      </c>
      <c r="AA594" s="160" t="s">
        <v>5006</v>
      </c>
      <c r="AB594" s="160" t="s">
        <v>117</v>
      </c>
      <c r="AC594" s="160" t="s">
        <v>117</v>
      </c>
      <c r="AD594" s="160" t="s">
        <v>5006</v>
      </c>
      <c r="AE594" s="160" t="s">
        <v>117</v>
      </c>
      <c r="AF594" s="160" t="s">
        <v>5006</v>
      </c>
      <c r="AG594" s="160" t="s">
        <v>117</v>
      </c>
      <c r="AH594" s="160" t="s">
        <v>5006</v>
      </c>
      <c r="AI594" s="160" t="s">
        <v>117</v>
      </c>
    </row>
    <row r="595" ht="22.5" customHeight="1">
      <c r="A595" s="160" t="s">
        <v>3185</v>
      </c>
      <c r="B595" s="160" t="s">
        <v>2220</v>
      </c>
      <c r="X595" s="160" t="s">
        <v>120</v>
      </c>
      <c r="Y595" s="160" t="s">
        <v>5006</v>
      </c>
      <c r="Z595" s="160" t="s">
        <v>120</v>
      </c>
      <c r="AA595" s="160" t="s">
        <v>5006</v>
      </c>
      <c r="AB595" s="160" t="s">
        <v>117</v>
      </c>
      <c r="AC595" s="160" t="s">
        <v>117</v>
      </c>
      <c r="AD595" s="160" t="s">
        <v>3211</v>
      </c>
      <c r="AE595" s="160" t="s">
        <v>117</v>
      </c>
      <c r="AF595" s="160" t="s">
        <v>3217</v>
      </c>
      <c r="AG595" s="160" t="s">
        <v>120</v>
      </c>
      <c r="AH595" s="160" t="s">
        <v>5006</v>
      </c>
      <c r="AI595" s="160" t="s">
        <v>120</v>
      </c>
    </row>
    <row r="596" ht="22.5" customHeight="1">
      <c r="A596" s="160" t="s">
        <v>2532</v>
      </c>
      <c r="B596" s="160" t="s">
        <v>2533</v>
      </c>
      <c r="X596" s="160" t="s">
        <v>120</v>
      </c>
      <c r="Y596" s="160" t="s">
        <v>5006</v>
      </c>
      <c r="Z596" s="160" t="s">
        <v>120</v>
      </c>
      <c r="AA596" s="160" t="s">
        <v>5006</v>
      </c>
      <c r="AB596" s="160" t="s">
        <v>117</v>
      </c>
      <c r="AC596" s="160" t="s">
        <v>120</v>
      </c>
      <c r="AD596" s="160" t="s">
        <v>5055</v>
      </c>
      <c r="AE596" s="160" t="s">
        <v>120</v>
      </c>
      <c r="AF596" s="160" t="s">
        <v>5006</v>
      </c>
      <c r="AG596" s="160" t="s">
        <v>120</v>
      </c>
      <c r="AH596" s="160" t="s">
        <v>5006</v>
      </c>
      <c r="AI596" s="160" t="s">
        <v>117</v>
      </c>
      <c r="AJ596" s="160" t="s">
        <v>5056</v>
      </c>
    </row>
    <row r="597" ht="22.5" customHeight="1">
      <c r="A597" s="160" t="s">
        <v>2295</v>
      </c>
      <c r="B597" s="160" t="s">
        <v>2296</v>
      </c>
      <c r="X597" s="160" t="s">
        <v>120</v>
      </c>
      <c r="Y597" s="160" t="s">
        <v>5006</v>
      </c>
      <c r="Z597" s="160" t="s">
        <v>117</v>
      </c>
      <c r="AA597" s="160" t="s">
        <v>5057</v>
      </c>
      <c r="AB597" s="160" t="s">
        <v>120</v>
      </c>
      <c r="AC597" s="160" t="s">
        <v>120</v>
      </c>
      <c r="AD597" s="160" t="s">
        <v>5006</v>
      </c>
      <c r="AE597" s="160" t="s">
        <v>120</v>
      </c>
      <c r="AF597" s="160" t="s">
        <v>5006</v>
      </c>
      <c r="AG597" s="160" t="s">
        <v>120</v>
      </c>
      <c r="AH597" s="160" t="s">
        <v>5006</v>
      </c>
      <c r="AI597" s="160" t="s">
        <v>117</v>
      </c>
      <c r="AJ597" s="160" t="s">
        <v>5058</v>
      </c>
    </row>
    <row r="598" ht="22.5" customHeight="1">
      <c r="A598" s="160" t="s">
        <v>1183</v>
      </c>
      <c r="B598" s="160" t="s">
        <v>1185</v>
      </c>
      <c r="X598" s="160" t="s">
        <v>120</v>
      </c>
      <c r="Y598" s="160" t="s">
        <v>5006</v>
      </c>
      <c r="Z598" s="160" t="s">
        <v>117</v>
      </c>
      <c r="AA598" s="160" t="s">
        <v>5059</v>
      </c>
      <c r="AB598" s="160" t="s">
        <v>120</v>
      </c>
      <c r="AC598" s="160" t="s">
        <v>5006</v>
      </c>
      <c r="AD598" s="160" t="s">
        <v>5006</v>
      </c>
      <c r="AE598" s="160" t="s">
        <v>120</v>
      </c>
      <c r="AF598" s="160" t="s">
        <v>5006</v>
      </c>
      <c r="AG598" s="160" t="s">
        <v>120</v>
      </c>
      <c r="AH598" s="160" t="s">
        <v>5006</v>
      </c>
      <c r="AI598" s="160" t="s">
        <v>120</v>
      </c>
    </row>
    <row r="599" ht="22.5" customHeight="1">
      <c r="A599" s="160" t="s">
        <v>828</v>
      </c>
      <c r="B599" s="160" t="s">
        <v>829</v>
      </c>
      <c r="X599" s="160" t="s">
        <v>120</v>
      </c>
      <c r="Y599" s="160" t="s">
        <v>5006</v>
      </c>
      <c r="Z599" s="160" t="s">
        <v>120</v>
      </c>
      <c r="AA599" s="160" t="s">
        <v>5006</v>
      </c>
      <c r="AB599" s="160" t="s">
        <v>120</v>
      </c>
      <c r="AC599" s="160" t="s">
        <v>120</v>
      </c>
      <c r="AD599" s="160" t="s">
        <v>5006</v>
      </c>
      <c r="AE599" s="160" t="s">
        <v>117</v>
      </c>
      <c r="AF599" s="160" t="s">
        <v>5060</v>
      </c>
      <c r="AG599" s="160" t="s">
        <v>120</v>
      </c>
      <c r="AH599" s="160" t="s">
        <v>5006</v>
      </c>
      <c r="AI599" s="160" t="s">
        <v>120</v>
      </c>
    </row>
    <row r="600" ht="22.5" customHeight="1">
      <c r="A600" s="160" t="s">
        <v>861</v>
      </c>
      <c r="B600" s="160" t="s">
        <v>862</v>
      </c>
      <c r="X600" s="160" t="s">
        <v>120</v>
      </c>
      <c r="Y600" s="160" t="s">
        <v>5006</v>
      </c>
      <c r="Z600" s="160" t="s">
        <v>117</v>
      </c>
      <c r="AA600" s="160" t="s">
        <v>882</v>
      </c>
      <c r="AB600" s="160" t="s">
        <v>117</v>
      </c>
      <c r="AC600" s="160" t="s">
        <v>5006</v>
      </c>
      <c r="AD600" s="160" t="s">
        <v>886</v>
      </c>
      <c r="AE600" s="160" t="s">
        <v>120</v>
      </c>
      <c r="AF600" s="160" t="s">
        <v>5006</v>
      </c>
      <c r="AG600" s="160" t="s">
        <v>120</v>
      </c>
      <c r="AH600" s="160" t="s">
        <v>5006</v>
      </c>
      <c r="AI600" s="160" t="s">
        <v>120</v>
      </c>
    </row>
    <row r="601" ht="22.5" customHeight="1">
      <c r="A601" s="160" t="s">
        <v>890</v>
      </c>
      <c r="B601" s="160" t="s">
        <v>891</v>
      </c>
      <c r="X601" s="160" t="s">
        <v>120</v>
      </c>
      <c r="Y601" s="160" t="s">
        <v>5006</v>
      </c>
      <c r="Z601" s="160" t="s">
        <v>117</v>
      </c>
      <c r="AA601" s="160" t="s">
        <v>5061</v>
      </c>
      <c r="AB601" s="160" t="s">
        <v>117</v>
      </c>
      <c r="AC601" s="160" t="s">
        <v>117</v>
      </c>
      <c r="AD601" s="160" t="s">
        <v>5006</v>
      </c>
      <c r="AE601" s="160" t="s">
        <v>120</v>
      </c>
      <c r="AF601" s="160" t="s">
        <v>5006</v>
      </c>
      <c r="AG601" s="160" t="s">
        <v>120</v>
      </c>
      <c r="AH601" s="160" t="s">
        <v>5006</v>
      </c>
      <c r="AI601" s="160" t="s">
        <v>120</v>
      </c>
    </row>
    <row r="602" ht="22.5" customHeight="1">
      <c r="A602" s="160" t="s">
        <v>902</v>
      </c>
      <c r="B602" s="160" t="s">
        <v>903</v>
      </c>
      <c r="X602" s="160" t="s">
        <v>120</v>
      </c>
      <c r="Y602" s="160" t="s">
        <v>5006</v>
      </c>
      <c r="Z602" s="160" t="s">
        <v>117</v>
      </c>
      <c r="AA602" s="160" t="s">
        <v>917</v>
      </c>
      <c r="AB602" s="160" t="s">
        <v>120</v>
      </c>
      <c r="AC602" s="160" t="s">
        <v>5006</v>
      </c>
      <c r="AD602" s="160" t="s">
        <v>5006</v>
      </c>
      <c r="AE602" s="160" t="s">
        <v>120</v>
      </c>
      <c r="AF602" s="160" t="s">
        <v>5006</v>
      </c>
      <c r="AG602" s="160" t="s">
        <v>120</v>
      </c>
      <c r="AH602" s="160" t="s">
        <v>5006</v>
      </c>
      <c r="AI602" s="160" t="s">
        <v>120</v>
      </c>
    </row>
    <row r="603" ht="22.5" customHeight="1">
      <c r="A603" s="160" t="s">
        <v>1213</v>
      </c>
      <c r="B603" s="160" t="s">
        <v>1214</v>
      </c>
      <c r="X603" s="160" t="s">
        <v>120</v>
      </c>
      <c r="Y603" s="160" t="s">
        <v>5006</v>
      </c>
      <c r="Z603" s="160" t="s">
        <v>117</v>
      </c>
      <c r="AA603" s="160" t="s">
        <v>1218</v>
      </c>
      <c r="AB603" s="160" t="s">
        <v>120</v>
      </c>
      <c r="AC603" s="160" t="s">
        <v>120</v>
      </c>
      <c r="AD603" s="160" t="s">
        <v>5006</v>
      </c>
      <c r="AE603" s="160" t="s">
        <v>120</v>
      </c>
      <c r="AF603" s="160" t="s">
        <v>5006</v>
      </c>
      <c r="AG603" s="160" t="s">
        <v>120</v>
      </c>
      <c r="AH603" s="160" t="s">
        <v>5006</v>
      </c>
      <c r="AI603" s="160" t="s">
        <v>120</v>
      </c>
    </row>
    <row r="604" ht="22.5" customHeight="1">
      <c r="A604" s="160" t="s">
        <v>4249</v>
      </c>
      <c r="B604" s="160" t="s">
        <v>4157</v>
      </c>
      <c r="X604" s="160" t="s">
        <v>120</v>
      </c>
      <c r="Y604" s="160" t="s">
        <v>5006</v>
      </c>
      <c r="Z604" s="160" t="s">
        <v>120</v>
      </c>
      <c r="AA604" s="160" t="s">
        <v>5006</v>
      </c>
      <c r="AB604" s="160" t="s">
        <v>120</v>
      </c>
      <c r="AC604" s="160" t="s">
        <v>120</v>
      </c>
      <c r="AD604" s="160" t="s">
        <v>5006</v>
      </c>
      <c r="AE604" s="160" t="s">
        <v>117</v>
      </c>
      <c r="AF604" s="160" t="s">
        <v>4278</v>
      </c>
      <c r="AG604" s="160" t="s">
        <v>120</v>
      </c>
      <c r="AH604" s="160" t="s">
        <v>5006</v>
      </c>
      <c r="AI604" s="160" t="s">
        <v>120</v>
      </c>
    </row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17.5"/>
    <col customWidth="1" min="3" max="3" width="18.25"/>
    <col customWidth="1" min="4" max="4" width="24.25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2.5" customHeight="1">
      <c r="A2" s="6" t="s">
        <v>8</v>
      </c>
      <c r="B2" s="7">
        <v>37814.0</v>
      </c>
      <c r="C2" s="6" t="s">
        <v>13</v>
      </c>
      <c r="D2" s="6" t="s">
        <v>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2.5" customHeight="1">
      <c r="A3" s="6" t="s">
        <v>24</v>
      </c>
      <c r="B3" s="7">
        <v>40736.0</v>
      </c>
      <c r="C3" s="6" t="s">
        <v>28</v>
      </c>
      <c r="D3" s="6" t="s">
        <v>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2.5" customHeight="1">
      <c r="A4" s="6" t="s">
        <v>37</v>
      </c>
      <c r="B4" s="7">
        <v>39641.0</v>
      </c>
      <c r="C4" s="6" t="s">
        <v>39</v>
      </c>
      <c r="D4" s="6" t="s">
        <v>41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2.5" customHeight="1">
      <c r="A5" s="6" t="s">
        <v>46</v>
      </c>
      <c r="B5" s="7">
        <v>40006.0</v>
      </c>
      <c r="C5" s="6" t="s">
        <v>49</v>
      </c>
      <c r="D5" s="6" t="s">
        <v>31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2.5" customHeight="1">
      <c r="A6" s="6" t="s">
        <v>54</v>
      </c>
      <c r="B6" s="7">
        <v>40372.0</v>
      </c>
      <c r="C6" s="6" t="s">
        <v>57</v>
      </c>
      <c r="D6" s="6" t="s">
        <v>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2.5" customHeight="1">
      <c r="A7" s="6" t="s">
        <v>61</v>
      </c>
      <c r="B7" s="7">
        <v>38182.0</v>
      </c>
      <c r="C7" s="6" t="s">
        <v>39</v>
      </c>
      <c r="D7" s="6" t="s">
        <v>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2.5" customHeight="1">
      <c r="A8" s="6" t="s">
        <v>62</v>
      </c>
      <c r="B8" s="7">
        <v>40009.0</v>
      </c>
      <c r="C8" s="6" t="s">
        <v>63</v>
      </c>
      <c r="D8" s="6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2.5" customHeight="1">
      <c r="A9" s="6" t="s">
        <v>65</v>
      </c>
      <c r="B9" s="7">
        <v>40374.0</v>
      </c>
      <c r="C9" s="6" t="s">
        <v>66</v>
      </c>
      <c r="D9" s="6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2.5" customHeight="1">
      <c r="A10" s="6" t="s">
        <v>68</v>
      </c>
      <c r="B10" s="7">
        <v>40010.0</v>
      </c>
      <c r="C10" s="6" t="s">
        <v>69</v>
      </c>
      <c r="D10" s="6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2.5" customHeight="1">
      <c r="A11" s="6" t="s">
        <v>70</v>
      </c>
      <c r="B11" s="7">
        <v>40375.0</v>
      </c>
      <c r="C11" s="6" t="s">
        <v>28</v>
      </c>
      <c r="D11" s="6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2.5" customHeight="1">
      <c r="A12" s="6" t="s">
        <v>72</v>
      </c>
      <c r="B12" s="7">
        <v>40376.0</v>
      </c>
      <c r="C12" s="6" t="s">
        <v>74</v>
      </c>
      <c r="D12" s="6" t="s">
        <v>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2.5" customHeight="1">
      <c r="A13" s="6" t="s">
        <v>76</v>
      </c>
      <c r="B13" s="7">
        <v>41107.0</v>
      </c>
      <c r="C13" s="6" t="s">
        <v>77</v>
      </c>
      <c r="D13" s="6" t="s">
        <v>59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22.5" customHeight="1">
      <c r="A14" s="6" t="s">
        <v>78</v>
      </c>
      <c r="B14" s="7">
        <v>41107.0</v>
      </c>
      <c r="C14" s="6" t="s">
        <v>80</v>
      </c>
      <c r="D14" s="6" t="s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22.5" customHeight="1">
      <c r="A15" s="6" t="s">
        <v>84</v>
      </c>
      <c r="B15" s="7">
        <v>41107.0</v>
      </c>
      <c r="C15" s="6" t="s">
        <v>80</v>
      </c>
      <c r="D15" s="6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2.5" customHeight="1">
      <c r="A16" s="6" t="s">
        <v>85</v>
      </c>
      <c r="B16" s="7">
        <v>40012.0</v>
      </c>
      <c r="C16" s="6" t="s">
        <v>86</v>
      </c>
      <c r="D16" s="6" t="s">
        <v>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22.5" customHeight="1">
      <c r="A17" s="6" t="s">
        <v>88</v>
      </c>
      <c r="B17" s="7">
        <v>39648.0</v>
      </c>
      <c r="C17" s="6" t="s">
        <v>90</v>
      </c>
      <c r="D17" s="6" t="s">
        <v>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22.5" customHeight="1">
      <c r="A18" s="6" t="s">
        <v>92</v>
      </c>
      <c r="B18" s="7">
        <v>40013.0</v>
      </c>
      <c r="C18" s="6" t="s">
        <v>93</v>
      </c>
      <c r="D18" s="6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</sheetData>
  <mergeCells count="232"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36:B236"/>
    <mergeCell ref="A237:B237"/>
    <mergeCell ref="A238:B238"/>
    <mergeCell ref="A239:B239"/>
    <mergeCell ref="A240:B240"/>
    <mergeCell ref="A241:B241"/>
    <mergeCell ref="A242:B242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</mergeCells>
  <dataValidations>
    <dataValidation type="custom" allowBlank="1" showDropDown="1" sqref="B2:B18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13.5"/>
    <col customWidth="1" hidden="1" min="4" max="4" width="13.5"/>
    <col customWidth="1" min="5" max="5" width="8.13"/>
    <col customWidth="1" min="6" max="6" width="13.5"/>
    <col customWidth="1" hidden="1" min="7" max="7" width="13.5"/>
    <col customWidth="1" hidden="1" min="8" max="8" width="7.0"/>
    <col customWidth="1" min="9" max="9" width="46.0"/>
    <col customWidth="1" min="10" max="14" width="14.38"/>
    <col customWidth="1" min="15" max="15" width="12.25"/>
    <col customWidth="1" min="16" max="16" width="7.38"/>
    <col customWidth="1" min="17" max="42" width="14.38"/>
  </cols>
  <sheetData>
    <row r="1" ht="22.5" customHeight="1">
      <c r="A1" s="4" t="s">
        <v>2</v>
      </c>
      <c r="B1" s="4" t="s">
        <v>5</v>
      </c>
      <c r="C1" s="4" t="s">
        <v>6</v>
      </c>
      <c r="D1" s="4" t="s">
        <v>1</v>
      </c>
      <c r="E1" s="4" t="s">
        <v>7</v>
      </c>
      <c r="F1" s="4" t="s">
        <v>9</v>
      </c>
      <c r="G1" s="4" t="s">
        <v>10</v>
      </c>
      <c r="H1" s="4" t="s">
        <v>11</v>
      </c>
      <c r="I1" s="9" t="s">
        <v>12</v>
      </c>
      <c r="J1" s="4" t="s">
        <v>14</v>
      </c>
      <c r="K1" s="4" t="s">
        <v>16</v>
      </c>
      <c r="L1" s="10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25</v>
      </c>
      <c r="T1" s="4" t="s">
        <v>26</v>
      </c>
      <c r="U1" s="4" t="s">
        <v>27</v>
      </c>
      <c r="V1" s="4" t="s">
        <v>29</v>
      </c>
      <c r="W1" s="4" t="s">
        <v>30</v>
      </c>
      <c r="X1" s="9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38</v>
      </c>
      <c r="AD1" s="4" t="s">
        <v>40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47</v>
      </c>
      <c r="AJ1" s="4" t="s">
        <v>48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58</v>
      </c>
      <c r="AP1" s="4" t="s">
        <v>60</v>
      </c>
    </row>
    <row r="2" ht="22.5" customHeight="1">
      <c r="A2" s="15"/>
      <c r="B2" s="15"/>
      <c r="K2" s="15"/>
      <c r="L2" s="15"/>
      <c r="M2" s="18"/>
      <c r="N2" s="18"/>
      <c r="O2" s="18"/>
      <c r="P2" s="20"/>
      <c r="Q2" s="22"/>
      <c r="R2" s="15"/>
      <c r="S2" s="15"/>
      <c r="T2" s="15"/>
      <c r="U2" s="15"/>
      <c r="V2" s="15"/>
      <c r="W2" s="15"/>
      <c r="X2" s="23"/>
      <c r="Y2" s="23"/>
      <c r="Z2" s="15"/>
      <c r="AA2" s="24"/>
      <c r="AB2" s="15"/>
      <c r="AC2" s="15"/>
      <c r="AD2" s="18"/>
      <c r="AE2" s="15"/>
      <c r="AF2" s="18"/>
      <c r="AG2" s="15"/>
      <c r="AH2" s="18"/>
      <c r="AI2" s="15"/>
      <c r="AJ2" s="23"/>
      <c r="AK2" s="18"/>
      <c r="AL2" s="15"/>
      <c r="AM2" s="15"/>
      <c r="AN2" s="15"/>
      <c r="AO2" s="15"/>
      <c r="AP2" s="15"/>
    </row>
    <row r="3" ht="22.5" customHeight="1">
      <c r="A3" s="27"/>
      <c r="B3" s="28" t="s">
        <v>71</v>
      </c>
      <c r="C3" s="30"/>
      <c r="D3" s="31" t="s">
        <v>73</v>
      </c>
      <c r="E3" s="32"/>
      <c r="F3" s="33" t="s">
        <v>75</v>
      </c>
      <c r="G3" s="34"/>
      <c r="H3" s="15"/>
      <c r="I3" s="23"/>
      <c r="J3" s="15"/>
      <c r="K3" s="15"/>
      <c r="L3" s="15"/>
      <c r="M3" s="18"/>
      <c r="N3" s="18"/>
      <c r="O3" s="18"/>
      <c r="P3" s="20"/>
      <c r="Q3" s="22"/>
      <c r="R3" s="15"/>
      <c r="S3" s="15"/>
      <c r="T3" s="15"/>
      <c r="U3" s="15"/>
      <c r="V3" s="15"/>
      <c r="W3" s="15"/>
      <c r="X3" s="27"/>
      <c r="Y3" s="28" t="s">
        <v>71</v>
      </c>
      <c r="Z3" s="30"/>
      <c r="AA3" s="36" t="s">
        <v>73</v>
      </c>
      <c r="AB3" s="37"/>
      <c r="AC3" s="33" t="s">
        <v>75</v>
      </c>
      <c r="AD3" s="34"/>
      <c r="AE3" s="15"/>
      <c r="AF3" s="18"/>
      <c r="AG3" s="15"/>
      <c r="AH3" s="18"/>
      <c r="AI3" s="15"/>
      <c r="AJ3" s="27"/>
      <c r="AK3" s="18"/>
      <c r="AL3" s="15"/>
      <c r="AM3" s="15"/>
      <c r="AN3" s="15"/>
      <c r="AO3" s="15"/>
      <c r="AP3" s="15"/>
    </row>
    <row r="4" ht="22.5" customHeight="1">
      <c r="A4" s="15" t="s">
        <v>100</v>
      </c>
      <c r="B4" s="15" t="s">
        <v>103</v>
      </c>
      <c r="C4" s="15" t="s">
        <v>105</v>
      </c>
      <c r="D4" s="41">
        <v>37440.0</v>
      </c>
      <c r="E4" s="15" t="s">
        <v>98</v>
      </c>
      <c r="F4" s="15">
        <v>5.532925135E9</v>
      </c>
      <c r="G4" s="15" t="s">
        <v>108</v>
      </c>
      <c r="H4" s="15" t="s">
        <v>110</v>
      </c>
      <c r="I4" s="49" t="s">
        <v>113</v>
      </c>
      <c r="J4" s="15" t="s">
        <v>116</v>
      </c>
      <c r="K4" s="15" t="s">
        <v>118</v>
      </c>
      <c r="L4" s="20">
        <v>5.518897341E9</v>
      </c>
      <c r="M4" s="15" t="s">
        <v>121</v>
      </c>
      <c r="N4" s="15" t="s">
        <v>122</v>
      </c>
      <c r="O4" s="15">
        <v>5.616129315E9</v>
      </c>
      <c r="P4" s="20">
        <v>23.0</v>
      </c>
      <c r="Q4" s="22">
        <v>45979.36472222222</v>
      </c>
      <c r="R4" s="15" t="s">
        <v>107</v>
      </c>
      <c r="S4" s="15" t="s">
        <v>125</v>
      </c>
      <c r="T4" s="15" t="s">
        <v>127</v>
      </c>
      <c r="U4" s="15" t="s">
        <v>130</v>
      </c>
      <c r="V4" s="15" t="s">
        <v>131</v>
      </c>
      <c r="W4" s="15" t="s">
        <v>132</v>
      </c>
      <c r="X4" s="55" t="s">
        <v>117</v>
      </c>
      <c r="Y4" s="49" t="s">
        <v>133</v>
      </c>
      <c r="Z4" s="15" t="s">
        <v>120</v>
      </c>
      <c r="AA4" s="15" t="s">
        <v>134</v>
      </c>
      <c r="AB4" s="15" t="s">
        <v>120</v>
      </c>
      <c r="AC4" s="15" t="s">
        <v>120</v>
      </c>
      <c r="AD4" s="15" t="s">
        <v>135</v>
      </c>
      <c r="AE4" s="15" t="s">
        <v>120</v>
      </c>
      <c r="AF4" s="15" t="s">
        <v>120</v>
      </c>
      <c r="AG4" s="15" t="s">
        <v>120</v>
      </c>
      <c r="AH4" s="15" t="s">
        <v>120</v>
      </c>
      <c r="AI4" s="15" t="s">
        <v>120</v>
      </c>
      <c r="AJ4" s="15" t="s">
        <v>135</v>
      </c>
      <c r="AK4" s="15" t="s">
        <v>135</v>
      </c>
      <c r="AL4" s="15" t="s">
        <v>124</v>
      </c>
      <c r="AM4" s="15" t="s">
        <v>138</v>
      </c>
      <c r="AN4" s="15" t="s">
        <v>141</v>
      </c>
      <c r="AO4" s="15" t="s">
        <v>129</v>
      </c>
      <c r="AP4" s="15"/>
    </row>
    <row r="5" ht="22.5" customHeight="1">
      <c r="A5" s="15" t="s">
        <v>146</v>
      </c>
      <c r="B5" s="15" t="s">
        <v>147</v>
      </c>
      <c r="C5" s="15" t="s">
        <v>148</v>
      </c>
      <c r="D5" s="41">
        <v>38905.0</v>
      </c>
      <c r="E5" s="15" t="s">
        <v>98</v>
      </c>
      <c r="F5" s="15">
        <v>5.582923664E9</v>
      </c>
      <c r="G5" s="15" t="s">
        <v>149</v>
      </c>
      <c r="H5" s="15" t="s">
        <v>150</v>
      </c>
      <c r="I5" s="49" t="s">
        <v>152</v>
      </c>
      <c r="J5" s="15" t="s">
        <v>154</v>
      </c>
      <c r="K5" s="15" t="s">
        <v>155</v>
      </c>
      <c r="L5" s="20">
        <v>5.620360635E9</v>
      </c>
      <c r="M5" s="18"/>
      <c r="N5" s="18"/>
      <c r="O5" s="18"/>
      <c r="P5" s="20">
        <v>19.0</v>
      </c>
      <c r="Q5" s="22">
        <v>46033.52416666667</v>
      </c>
      <c r="R5" s="15" t="s">
        <v>107</v>
      </c>
      <c r="S5" s="15" t="s">
        <v>125</v>
      </c>
      <c r="T5" s="15" t="s">
        <v>160</v>
      </c>
      <c r="U5" s="15" t="s">
        <v>161</v>
      </c>
      <c r="V5" s="15" t="s">
        <v>163</v>
      </c>
      <c r="W5" s="15" t="s">
        <v>165</v>
      </c>
      <c r="X5" s="55" t="s">
        <v>117</v>
      </c>
      <c r="Y5" s="49" t="s">
        <v>168</v>
      </c>
      <c r="Z5" s="15" t="s">
        <v>117</v>
      </c>
      <c r="AA5" s="58" t="s">
        <v>169</v>
      </c>
      <c r="AB5" s="15" t="s">
        <v>120</v>
      </c>
      <c r="AC5" s="18"/>
      <c r="AD5" s="18"/>
      <c r="AE5" s="15" t="s">
        <v>120</v>
      </c>
      <c r="AF5" s="18"/>
      <c r="AG5" s="15" t="s">
        <v>120</v>
      </c>
      <c r="AH5" s="18"/>
      <c r="AI5" s="15" t="s">
        <v>117</v>
      </c>
      <c r="AJ5" s="15" t="s">
        <v>178</v>
      </c>
      <c r="AK5" s="18"/>
      <c r="AL5" s="15" t="s">
        <v>141</v>
      </c>
      <c r="AM5" s="15" t="s">
        <v>156</v>
      </c>
      <c r="AN5" s="15" t="s">
        <v>138</v>
      </c>
      <c r="AO5" s="15" t="s">
        <v>129</v>
      </c>
      <c r="AP5" s="15"/>
    </row>
    <row r="6" ht="22.5" customHeight="1">
      <c r="A6" s="15" t="s">
        <v>187</v>
      </c>
      <c r="B6" s="15" t="s">
        <v>188</v>
      </c>
      <c r="C6" s="15" t="s">
        <v>191</v>
      </c>
      <c r="D6" s="41">
        <v>37857.0</v>
      </c>
      <c r="E6" s="15" t="s">
        <v>177</v>
      </c>
      <c r="F6" s="15">
        <v>5.524715623E9</v>
      </c>
      <c r="G6" s="15" t="s">
        <v>194</v>
      </c>
      <c r="H6" s="15" t="s">
        <v>140</v>
      </c>
      <c r="I6" s="49" t="s">
        <v>199</v>
      </c>
      <c r="J6" s="15" t="s">
        <v>202</v>
      </c>
      <c r="K6" s="15" t="s">
        <v>203</v>
      </c>
      <c r="L6" s="20">
        <v>5.584775869E9</v>
      </c>
      <c r="M6" s="18"/>
      <c r="N6" s="18"/>
      <c r="O6" s="18"/>
      <c r="P6" s="20">
        <v>22.0</v>
      </c>
      <c r="Q6" s="22">
        <v>46019.8031712963</v>
      </c>
      <c r="R6" s="15" t="s">
        <v>107</v>
      </c>
      <c r="S6" s="15" t="s">
        <v>125</v>
      </c>
      <c r="T6" s="15" t="s">
        <v>208</v>
      </c>
      <c r="U6" s="15" t="s">
        <v>209</v>
      </c>
      <c r="V6" s="15" t="s">
        <v>210</v>
      </c>
      <c r="W6" s="15" t="s">
        <v>211</v>
      </c>
      <c r="X6" s="55" t="s">
        <v>117</v>
      </c>
      <c r="Y6" s="49" t="s">
        <v>212</v>
      </c>
      <c r="Z6" s="15" t="s">
        <v>120</v>
      </c>
      <c r="AA6" s="18"/>
      <c r="AB6" s="15" t="s">
        <v>120</v>
      </c>
      <c r="AC6" s="15" t="s">
        <v>120</v>
      </c>
      <c r="AD6" s="18"/>
      <c r="AE6" s="15" t="s">
        <v>120</v>
      </c>
      <c r="AF6" s="18"/>
      <c r="AG6" s="15" t="s">
        <v>120</v>
      </c>
      <c r="AH6" s="18"/>
      <c r="AI6" s="15" t="s">
        <v>120</v>
      </c>
      <c r="AJ6" s="18"/>
      <c r="AK6" s="18"/>
      <c r="AL6" s="15" t="s">
        <v>126</v>
      </c>
      <c r="AM6" s="15" t="s">
        <v>216</v>
      </c>
      <c r="AN6" s="15" t="s">
        <v>156</v>
      </c>
      <c r="AO6" s="15" t="s">
        <v>129</v>
      </c>
      <c r="AP6" s="15"/>
    </row>
    <row r="7" ht="22.5" customHeight="1">
      <c r="A7" s="15" t="s">
        <v>217</v>
      </c>
      <c r="B7" s="15" t="s">
        <v>219</v>
      </c>
      <c r="C7" s="15" t="s">
        <v>220</v>
      </c>
      <c r="D7" s="41">
        <v>36192.0</v>
      </c>
      <c r="E7" s="15" t="s">
        <v>98</v>
      </c>
      <c r="F7" s="15">
        <v>5.631557148E9</v>
      </c>
      <c r="G7" s="15" t="s">
        <v>224</v>
      </c>
      <c r="H7" s="15" t="s">
        <v>101</v>
      </c>
      <c r="I7" s="49" t="s">
        <v>225</v>
      </c>
      <c r="J7" s="15" t="s">
        <v>226</v>
      </c>
      <c r="K7" s="15" t="s">
        <v>227</v>
      </c>
      <c r="L7" s="20">
        <v>5.512159943E9</v>
      </c>
      <c r="M7" s="18"/>
      <c r="N7" s="18"/>
      <c r="O7" s="18"/>
      <c r="P7" s="20">
        <v>27.0</v>
      </c>
      <c r="Q7" s="22">
        <v>46047.799108796295</v>
      </c>
      <c r="R7" s="15" t="s">
        <v>231</v>
      </c>
      <c r="S7" s="15" t="s">
        <v>125</v>
      </c>
      <c r="T7" s="15" t="s">
        <v>127</v>
      </c>
      <c r="U7" s="15" t="s">
        <v>234</v>
      </c>
      <c r="V7" s="15" t="s">
        <v>227</v>
      </c>
      <c r="W7" s="15" t="s">
        <v>236</v>
      </c>
      <c r="X7" s="55" t="s">
        <v>117</v>
      </c>
      <c r="Y7" s="30" t="s">
        <v>237</v>
      </c>
      <c r="Z7" s="15" t="s">
        <v>117</v>
      </c>
      <c r="AA7" s="49" t="s">
        <v>238</v>
      </c>
      <c r="AB7" s="15" t="s">
        <v>120</v>
      </c>
      <c r="AC7" s="18"/>
      <c r="AD7" s="18"/>
      <c r="AE7" s="15" t="s">
        <v>117</v>
      </c>
      <c r="AF7" s="15" t="s">
        <v>241</v>
      </c>
      <c r="AG7" s="15" t="s">
        <v>120</v>
      </c>
      <c r="AH7" s="18"/>
      <c r="AI7" s="15" t="s">
        <v>120</v>
      </c>
      <c r="AJ7" s="18"/>
      <c r="AK7" s="18"/>
      <c r="AL7" s="15" t="s">
        <v>141</v>
      </c>
      <c r="AM7" s="15" t="s">
        <v>129</v>
      </c>
      <c r="AN7" s="15" t="s">
        <v>156</v>
      </c>
      <c r="AO7" s="15" t="s">
        <v>185</v>
      </c>
      <c r="AP7" s="15"/>
    </row>
    <row r="8" ht="22.5" customHeight="1">
      <c r="A8" s="15" t="s">
        <v>246</v>
      </c>
      <c r="B8" s="15" t="s">
        <v>248</v>
      </c>
      <c r="C8" s="15" t="s">
        <v>249</v>
      </c>
      <c r="D8" s="41">
        <v>37955.0</v>
      </c>
      <c r="E8" s="15" t="s">
        <v>177</v>
      </c>
      <c r="F8" s="15">
        <v>5.56148893E9</v>
      </c>
      <c r="G8" s="15" t="s">
        <v>255</v>
      </c>
      <c r="H8" s="15" t="s">
        <v>150</v>
      </c>
      <c r="I8" s="49" t="s">
        <v>256</v>
      </c>
      <c r="J8" s="15" t="s">
        <v>257</v>
      </c>
      <c r="K8" s="15" t="s">
        <v>258</v>
      </c>
      <c r="L8" s="20">
        <v>5.560682997E9</v>
      </c>
      <c r="M8" s="18"/>
      <c r="N8" s="18"/>
      <c r="O8" s="18"/>
      <c r="P8" s="20">
        <v>22.0</v>
      </c>
      <c r="Q8" s="22">
        <v>46041.896840277775</v>
      </c>
      <c r="R8" s="15" t="s">
        <v>260</v>
      </c>
      <c r="S8" s="15" t="s">
        <v>125</v>
      </c>
      <c r="T8" s="15" t="s">
        <v>171</v>
      </c>
      <c r="U8" s="15" t="s">
        <v>262</v>
      </c>
      <c r="V8" s="15" t="s">
        <v>263</v>
      </c>
      <c r="W8" s="15" t="s">
        <v>264</v>
      </c>
      <c r="X8" s="55" t="s">
        <v>117</v>
      </c>
      <c r="Y8" s="49" t="s">
        <v>265</v>
      </c>
      <c r="Z8" s="15" t="s">
        <v>117</v>
      </c>
      <c r="AA8" s="52" t="s">
        <v>268</v>
      </c>
      <c r="AB8" s="15" t="s">
        <v>120</v>
      </c>
      <c r="AC8" s="15" t="s">
        <v>120</v>
      </c>
      <c r="AD8" s="18"/>
      <c r="AE8" s="15" t="s">
        <v>120</v>
      </c>
      <c r="AF8" s="18"/>
      <c r="AG8" s="15" t="s">
        <v>120</v>
      </c>
      <c r="AH8" s="18"/>
      <c r="AI8" s="15" t="s">
        <v>120</v>
      </c>
      <c r="AJ8" s="18"/>
      <c r="AK8" s="18"/>
      <c r="AL8" s="15" t="s">
        <v>126</v>
      </c>
      <c r="AM8" s="15" t="s">
        <v>240</v>
      </c>
      <c r="AN8" s="15" t="s">
        <v>156</v>
      </c>
      <c r="AO8" s="15" t="s">
        <v>185</v>
      </c>
      <c r="AP8" s="15"/>
    </row>
    <row r="9" ht="22.5" customHeight="1">
      <c r="A9" s="15" t="s">
        <v>286</v>
      </c>
      <c r="B9" s="15" t="s">
        <v>288</v>
      </c>
      <c r="C9" s="15" t="s">
        <v>290</v>
      </c>
      <c r="D9" s="41">
        <v>38891.0</v>
      </c>
      <c r="E9" s="15" t="s">
        <v>98</v>
      </c>
      <c r="F9" s="15">
        <v>5.564428956E9</v>
      </c>
      <c r="G9" s="15" t="s">
        <v>291</v>
      </c>
      <c r="H9" s="15" t="s">
        <v>101</v>
      </c>
      <c r="I9" s="18"/>
      <c r="J9" s="15" t="s">
        <v>292</v>
      </c>
      <c r="K9" s="15" t="s">
        <v>293</v>
      </c>
      <c r="L9" s="20">
        <v>5.534142354E9</v>
      </c>
      <c r="M9" s="18"/>
      <c r="N9" s="18"/>
      <c r="O9" s="18"/>
      <c r="P9" s="20">
        <v>19.0</v>
      </c>
      <c r="Q9" s="22">
        <v>46039.68982638889</v>
      </c>
      <c r="R9" s="15" t="s">
        <v>107</v>
      </c>
      <c r="S9" s="15" t="s">
        <v>125</v>
      </c>
      <c r="T9" s="15" t="s">
        <v>160</v>
      </c>
      <c r="U9" s="15" t="s">
        <v>308</v>
      </c>
      <c r="V9" s="15" t="s">
        <v>309</v>
      </c>
      <c r="W9" s="15" t="s">
        <v>310</v>
      </c>
      <c r="X9" s="55" t="s">
        <v>117</v>
      </c>
      <c r="Y9" s="49" t="s">
        <v>314</v>
      </c>
      <c r="Z9" s="15" t="s">
        <v>120</v>
      </c>
      <c r="AA9" s="18"/>
      <c r="AB9" s="15" t="s">
        <v>120</v>
      </c>
      <c r="AC9" s="15" t="s">
        <v>120</v>
      </c>
      <c r="AD9" s="18"/>
      <c r="AE9" s="15" t="s">
        <v>120</v>
      </c>
      <c r="AF9" s="18"/>
      <c r="AG9" s="15" t="s">
        <v>120</v>
      </c>
      <c r="AH9" s="18"/>
      <c r="AI9" s="15" t="s">
        <v>120</v>
      </c>
      <c r="AJ9" s="18"/>
      <c r="AK9" s="18"/>
      <c r="AL9" s="15" t="s">
        <v>185</v>
      </c>
      <c r="AM9" s="15" t="s">
        <v>126</v>
      </c>
      <c r="AN9" s="15" t="s">
        <v>138</v>
      </c>
      <c r="AO9" s="15" t="s">
        <v>129</v>
      </c>
      <c r="AP9" s="15"/>
    </row>
    <row r="10" ht="22.5" customHeight="1">
      <c r="A10" s="15" t="s">
        <v>322</v>
      </c>
      <c r="B10" s="15" t="s">
        <v>324</v>
      </c>
      <c r="C10" s="15" t="s">
        <v>325</v>
      </c>
      <c r="D10" s="41">
        <v>38109.0</v>
      </c>
      <c r="E10" s="15" t="s">
        <v>98</v>
      </c>
      <c r="F10" s="15" t="s">
        <v>326</v>
      </c>
      <c r="G10" s="15" t="s">
        <v>327</v>
      </c>
      <c r="H10" s="15" t="s">
        <v>101</v>
      </c>
      <c r="I10" s="18"/>
      <c r="J10" s="15" t="s">
        <v>328</v>
      </c>
      <c r="K10" s="15" t="s">
        <v>330</v>
      </c>
      <c r="L10" s="20">
        <v>5.577927815E9</v>
      </c>
      <c r="M10" s="18"/>
      <c r="N10" s="18"/>
      <c r="O10" s="18"/>
      <c r="P10" s="20">
        <v>21.0</v>
      </c>
      <c r="Q10" s="22">
        <v>46027.79725694445</v>
      </c>
      <c r="R10" s="15" t="s">
        <v>107</v>
      </c>
      <c r="S10" s="15" t="s">
        <v>125</v>
      </c>
      <c r="T10" s="15" t="s">
        <v>160</v>
      </c>
      <c r="U10" s="15" t="s">
        <v>308</v>
      </c>
      <c r="V10" s="15" t="s">
        <v>309</v>
      </c>
      <c r="W10" s="15" t="s">
        <v>310</v>
      </c>
      <c r="X10" s="55" t="s">
        <v>117</v>
      </c>
      <c r="Y10" s="18"/>
      <c r="Z10" s="15" t="s">
        <v>117</v>
      </c>
      <c r="AA10" s="18"/>
      <c r="AB10" s="15" t="s">
        <v>117</v>
      </c>
      <c r="AC10" s="15" t="s">
        <v>117</v>
      </c>
      <c r="AD10" s="18"/>
      <c r="AE10" s="15" t="s">
        <v>117</v>
      </c>
      <c r="AF10" s="18"/>
      <c r="AG10" s="15" t="s">
        <v>117</v>
      </c>
      <c r="AH10" s="18"/>
      <c r="AI10" s="15" t="s">
        <v>117</v>
      </c>
      <c r="AJ10" s="18"/>
      <c r="AK10" s="18"/>
      <c r="AL10" s="15" t="s">
        <v>129</v>
      </c>
      <c r="AM10" s="15" t="s">
        <v>138</v>
      </c>
      <c r="AN10" s="15" t="s">
        <v>242</v>
      </c>
      <c r="AO10" s="15" t="s">
        <v>216</v>
      </c>
      <c r="AP10" s="15"/>
    </row>
    <row r="11" ht="22.5" customHeight="1">
      <c r="A11" s="15" t="s">
        <v>344</v>
      </c>
      <c r="B11" s="15" t="s">
        <v>345</v>
      </c>
      <c r="C11" s="15" t="s">
        <v>347</v>
      </c>
      <c r="D11" s="41">
        <v>38049.0</v>
      </c>
      <c r="E11" s="15" t="s">
        <v>177</v>
      </c>
      <c r="F11" s="15" t="s">
        <v>351</v>
      </c>
      <c r="G11" s="15" t="s">
        <v>353</v>
      </c>
      <c r="H11" s="15" t="s">
        <v>101</v>
      </c>
      <c r="I11" s="18"/>
      <c r="J11" s="15" t="s">
        <v>355</v>
      </c>
      <c r="K11" s="15" t="s">
        <v>360</v>
      </c>
      <c r="L11" s="20">
        <v>5.528006072E9</v>
      </c>
      <c r="M11" s="18"/>
      <c r="N11" s="18"/>
      <c r="O11" s="18"/>
      <c r="P11" s="20">
        <v>21.0</v>
      </c>
      <c r="Q11" s="22">
        <v>46029.563206018516</v>
      </c>
      <c r="R11" s="15" t="s">
        <v>107</v>
      </c>
      <c r="S11" s="15" t="s">
        <v>125</v>
      </c>
      <c r="T11" s="15" t="s">
        <v>204</v>
      </c>
      <c r="U11" s="15" t="s">
        <v>367</v>
      </c>
      <c r="V11" s="15" t="s">
        <v>368</v>
      </c>
      <c r="W11" s="15" t="s">
        <v>369</v>
      </c>
      <c r="X11" s="55" t="s">
        <v>117</v>
      </c>
      <c r="Y11" s="18"/>
      <c r="Z11" s="15" t="s">
        <v>117</v>
      </c>
      <c r="AA11" s="18"/>
      <c r="AB11" s="15" t="s">
        <v>117</v>
      </c>
      <c r="AC11" s="18"/>
      <c r="AD11" s="18"/>
      <c r="AE11" s="15" t="s">
        <v>117</v>
      </c>
      <c r="AF11" s="18"/>
      <c r="AG11" s="15" t="s">
        <v>117</v>
      </c>
      <c r="AH11" s="18"/>
      <c r="AI11" s="15" t="s">
        <v>117</v>
      </c>
      <c r="AJ11" s="18"/>
      <c r="AK11" s="18"/>
      <c r="AL11" s="15" t="s">
        <v>126</v>
      </c>
      <c r="AM11" s="15" t="s">
        <v>216</v>
      </c>
      <c r="AN11" s="15" t="s">
        <v>124</v>
      </c>
      <c r="AO11" s="15" t="s">
        <v>240</v>
      </c>
      <c r="AP11" s="15"/>
    </row>
    <row r="12" ht="22.5" customHeight="1">
      <c r="A12" s="15" t="s">
        <v>387</v>
      </c>
      <c r="B12" s="15" t="s">
        <v>391</v>
      </c>
      <c r="C12" s="15" t="s">
        <v>394</v>
      </c>
      <c r="D12" s="41">
        <v>37834.0</v>
      </c>
      <c r="E12" s="15" t="s">
        <v>98</v>
      </c>
      <c r="F12" s="15">
        <v>5.634685604E9</v>
      </c>
      <c r="G12" s="15" t="s">
        <v>397</v>
      </c>
      <c r="H12" s="15" t="s">
        <v>140</v>
      </c>
      <c r="I12" s="18"/>
      <c r="J12" s="15" t="s">
        <v>401</v>
      </c>
      <c r="K12" s="15" t="s">
        <v>402</v>
      </c>
      <c r="L12" s="20">
        <v>5.518385395E9</v>
      </c>
      <c r="M12" s="18"/>
      <c r="N12" s="18"/>
      <c r="O12" s="18"/>
      <c r="P12" s="20">
        <v>22.0</v>
      </c>
      <c r="Q12" s="22">
        <v>46040.77814814815</v>
      </c>
      <c r="R12" s="15" t="s">
        <v>231</v>
      </c>
      <c r="S12" s="15" t="s">
        <v>125</v>
      </c>
      <c r="T12" s="15" t="s">
        <v>111</v>
      </c>
      <c r="U12" s="15" t="s">
        <v>407</v>
      </c>
      <c r="V12" s="15" t="s">
        <v>408</v>
      </c>
      <c r="W12" s="15" t="s">
        <v>409</v>
      </c>
      <c r="X12" s="55" t="s">
        <v>117</v>
      </c>
      <c r="Y12" s="18"/>
      <c r="Z12" s="15" t="s">
        <v>117</v>
      </c>
      <c r="AA12" s="18"/>
      <c r="AB12" s="15" t="s">
        <v>117</v>
      </c>
      <c r="AC12" s="15" t="s">
        <v>117</v>
      </c>
      <c r="AD12" s="18"/>
      <c r="AE12" s="15" t="s">
        <v>117</v>
      </c>
      <c r="AF12" s="18"/>
      <c r="AG12" s="15" t="s">
        <v>117</v>
      </c>
      <c r="AH12" s="18"/>
      <c r="AI12" s="15" t="s">
        <v>117</v>
      </c>
      <c r="AJ12" s="18"/>
      <c r="AK12" s="18"/>
      <c r="AL12" s="15" t="s">
        <v>128</v>
      </c>
      <c r="AM12" s="15" t="s">
        <v>141</v>
      </c>
      <c r="AN12" s="15" t="s">
        <v>216</v>
      </c>
      <c r="AO12" s="15" t="s">
        <v>242</v>
      </c>
      <c r="AP12" s="15"/>
    </row>
    <row r="13" ht="22.5" customHeight="1">
      <c r="A13" s="15" t="s">
        <v>419</v>
      </c>
      <c r="B13" s="15" t="s">
        <v>420</v>
      </c>
      <c r="C13" s="15" t="s">
        <v>421</v>
      </c>
      <c r="D13" s="41">
        <v>35756.0</v>
      </c>
      <c r="E13" s="15" t="s">
        <v>98</v>
      </c>
      <c r="F13" s="15">
        <v>5.530777327E9</v>
      </c>
      <c r="G13" s="15" t="s">
        <v>422</v>
      </c>
      <c r="H13" s="15" t="s">
        <v>101</v>
      </c>
      <c r="I13" s="49" t="s">
        <v>152</v>
      </c>
      <c r="J13" s="15" t="s">
        <v>423</v>
      </c>
      <c r="K13" s="15" t="s">
        <v>424</v>
      </c>
      <c r="L13" s="20">
        <v>5.523393901E9</v>
      </c>
      <c r="M13" s="18"/>
      <c r="N13" s="18"/>
      <c r="O13" s="18"/>
      <c r="P13" s="20">
        <v>28.0</v>
      </c>
      <c r="Q13" s="22">
        <v>46034.36640046296</v>
      </c>
      <c r="R13" s="15" t="s">
        <v>107</v>
      </c>
      <c r="S13" s="15" t="s">
        <v>125</v>
      </c>
      <c r="T13" s="15" t="s">
        <v>208</v>
      </c>
      <c r="U13" s="15" t="s">
        <v>428</v>
      </c>
      <c r="V13" s="15" t="s">
        <v>429</v>
      </c>
      <c r="W13" s="15" t="s">
        <v>430</v>
      </c>
      <c r="X13" s="55" t="s">
        <v>117</v>
      </c>
      <c r="Y13" s="49" t="s">
        <v>433</v>
      </c>
      <c r="Z13" s="15" t="s">
        <v>120</v>
      </c>
      <c r="AA13" s="18"/>
      <c r="AB13" s="15" t="s">
        <v>117</v>
      </c>
      <c r="AC13" s="15" t="s">
        <v>117</v>
      </c>
      <c r="AD13" s="15" t="s">
        <v>435</v>
      </c>
      <c r="AE13" s="15" t="s">
        <v>120</v>
      </c>
      <c r="AF13" s="18"/>
      <c r="AG13" s="15" t="s">
        <v>120</v>
      </c>
      <c r="AH13" s="18"/>
      <c r="AI13" s="15" t="s">
        <v>120</v>
      </c>
      <c r="AJ13" s="18"/>
      <c r="AK13" s="18"/>
      <c r="AL13" s="15" t="s">
        <v>242</v>
      </c>
      <c r="AM13" s="15" t="s">
        <v>216</v>
      </c>
      <c r="AN13" s="15" t="s">
        <v>138</v>
      </c>
      <c r="AO13" s="15" t="s">
        <v>156</v>
      </c>
      <c r="AP13" s="15"/>
    </row>
    <row r="14" ht="22.5" customHeight="1">
      <c r="A14" s="15" t="s">
        <v>451</v>
      </c>
      <c r="B14" s="15" t="s">
        <v>452</v>
      </c>
      <c r="C14" s="15" t="s">
        <v>453</v>
      </c>
      <c r="D14" s="41">
        <v>37476.0</v>
      </c>
      <c r="E14" s="15" t="s">
        <v>98</v>
      </c>
      <c r="F14" s="15">
        <v>5.525225006E9</v>
      </c>
      <c r="G14" s="15" t="s">
        <v>455</v>
      </c>
      <c r="H14" s="15" t="s">
        <v>101</v>
      </c>
      <c r="I14" s="18"/>
      <c r="J14" s="15" t="s">
        <v>456</v>
      </c>
      <c r="K14" s="15" t="s">
        <v>457</v>
      </c>
      <c r="L14" s="20">
        <v>5.532320385E9</v>
      </c>
      <c r="M14" s="18"/>
      <c r="N14" s="18"/>
      <c r="O14" s="18"/>
      <c r="P14" s="20">
        <v>23.0</v>
      </c>
      <c r="Q14" s="22">
        <v>46039.755833333336</v>
      </c>
      <c r="R14" s="15" t="s">
        <v>107</v>
      </c>
      <c r="S14" s="15" t="s">
        <v>125</v>
      </c>
      <c r="T14" s="15" t="s">
        <v>127</v>
      </c>
      <c r="U14" s="15" t="s">
        <v>130</v>
      </c>
      <c r="V14" s="15" t="s">
        <v>131</v>
      </c>
      <c r="W14" s="15" t="s">
        <v>132</v>
      </c>
      <c r="X14" s="55" t="s">
        <v>117</v>
      </c>
      <c r="Y14" s="18"/>
      <c r="Z14" s="15" t="s">
        <v>117</v>
      </c>
      <c r="AA14" s="18"/>
      <c r="AB14" s="15" t="s">
        <v>117</v>
      </c>
      <c r="AC14" s="15" t="s">
        <v>117</v>
      </c>
      <c r="AD14" s="18"/>
      <c r="AE14" s="15" t="s">
        <v>117</v>
      </c>
      <c r="AF14" s="18"/>
      <c r="AG14" s="15" t="s">
        <v>117</v>
      </c>
      <c r="AH14" s="18"/>
      <c r="AI14" s="15" t="s">
        <v>117</v>
      </c>
      <c r="AJ14" s="18"/>
      <c r="AK14" s="18"/>
      <c r="AL14" s="15" t="s">
        <v>138</v>
      </c>
      <c r="AM14" s="15" t="s">
        <v>156</v>
      </c>
      <c r="AN14" s="15" t="s">
        <v>124</v>
      </c>
      <c r="AO14" s="15" t="s">
        <v>129</v>
      </c>
      <c r="AP14" s="15"/>
    </row>
    <row r="15" ht="22.5" customHeight="1">
      <c r="A15" s="15" t="s">
        <v>473</v>
      </c>
      <c r="B15" s="15" t="s">
        <v>474</v>
      </c>
      <c r="C15" s="15" t="s">
        <v>477</v>
      </c>
      <c r="D15" s="41">
        <v>37067.0</v>
      </c>
      <c r="E15" s="15" t="s">
        <v>177</v>
      </c>
      <c r="F15" s="15">
        <v>5.573039966E9</v>
      </c>
      <c r="G15" s="15" t="s">
        <v>479</v>
      </c>
      <c r="H15" s="15" t="s">
        <v>101</v>
      </c>
      <c r="I15" s="18"/>
      <c r="J15" s="15" t="s">
        <v>482</v>
      </c>
      <c r="K15" s="15" t="s">
        <v>483</v>
      </c>
      <c r="L15" s="20" t="s">
        <v>484</v>
      </c>
      <c r="M15" s="18"/>
      <c r="N15" s="18"/>
      <c r="O15" s="18"/>
      <c r="P15" s="20">
        <v>24.0</v>
      </c>
      <c r="Q15" s="22">
        <v>46025.93729166667</v>
      </c>
      <c r="R15" s="15" t="s">
        <v>107</v>
      </c>
      <c r="S15" s="15" t="s">
        <v>125</v>
      </c>
      <c r="T15" s="15" t="s">
        <v>192</v>
      </c>
      <c r="U15" s="15" t="s">
        <v>485</v>
      </c>
      <c r="V15" s="15" t="s">
        <v>486</v>
      </c>
      <c r="W15" s="15" t="s">
        <v>487</v>
      </c>
      <c r="X15" s="66" t="s">
        <v>117</v>
      </c>
      <c r="Y15" s="18"/>
      <c r="Z15" s="15" t="s">
        <v>117</v>
      </c>
      <c r="AA15" s="18"/>
      <c r="AB15" s="15" t="s">
        <v>117</v>
      </c>
      <c r="AC15" s="15" t="s">
        <v>117</v>
      </c>
      <c r="AD15" s="18"/>
      <c r="AE15" s="15" t="s">
        <v>117</v>
      </c>
      <c r="AF15" s="18"/>
      <c r="AG15" s="15" t="s">
        <v>117</v>
      </c>
      <c r="AH15" s="18"/>
      <c r="AI15" s="15" t="s">
        <v>117</v>
      </c>
      <c r="AJ15" s="18"/>
      <c r="AK15" s="18"/>
      <c r="AL15" s="15" t="s">
        <v>185</v>
      </c>
      <c r="AM15" s="15" t="s">
        <v>240</v>
      </c>
      <c r="AN15" s="15" t="s">
        <v>216</v>
      </c>
      <c r="AO15" s="15" t="s">
        <v>242</v>
      </c>
      <c r="AP15" s="15"/>
    </row>
    <row r="16" ht="22.5" customHeight="1">
      <c r="A16" s="15" t="s">
        <v>497</v>
      </c>
      <c r="B16" s="15" t="s">
        <v>498</v>
      </c>
      <c r="C16" s="15" t="s">
        <v>499</v>
      </c>
      <c r="D16" s="41">
        <v>38241.0</v>
      </c>
      <c r="E16" s="15" t="s">
        <v>98</v>
      </c>
      <c r="F16" s="15">
        <v>5.549532462E9</v>
      </c>
      <c r="G16" s="15" t="s">
        <v>501</v>
      </c>
      <c r="H16" s="15" t="s">
        <v>101</v>
      </c>
      <c r="I16" s="15" t="s">
        <v>502</v>
      </c>
      <c r="J16" s="15" t="s">
        <v>503</v>
      </c>
      <c r="K16" s="15" t="s">
        <v>504</v>
      </c>
      <c r="L16" s="20">
        <v>5.540767234E9</v>
      </c>
      <c r="M16" s="18"/>
      <c r="N16" s="18"/>
      <c r="O16" s="18"/>
      <c r="P16" s="20">
        <v>21.0</v>
      </c>
      <c r="Q16" s="22">
        <v>46007.91261574074</v>
      </c>
      <c r="R16" s="15" t="s">
        <v>260</v>
      </c>
      <c r="S16" s="15" t="s">
        <v>125</v>
      </c>
      <c r="T16" s="15" t="s">
        <v>192</v>
      </c>
      <c r="U16" s="15" t="s">
        <v>505</v>
      </c>
      <c r="V16" s="15" t="s">
        <v>506</v>
      </c>
      <c r="W16" s="15" t="s">
        <v>507</v>
      </c>
      <c r="X16" s="55" t="s">
        <v>117</v>
      </c>
      <c r="Y16" s="49" t="s">
        <v>458</v>
      </c>
      <c r="Z16" s="15" t="s">
        <v>120</v>
      </c>
      <c r="AA16" s="18"/>
      <c r="AB16" s="15" t="s">
        <v>120</v>
      </c>
      <c r="AC16" s="18"/>
      <c r="AD16" s="18"/>
      <c r="AE16" s="15" t="s">
        <v>120</v>
      </c>
      <c r="AF16" s="18"/>
      <c r="AG16" s="15" t="s">
        <v>120</v>
      </c>
      <c r="AH16" s="18"/>
      <c r="AI16" s="15" t="s">
        <v>117</v>
      </c>
      <c r="AJ16" s="15" t="s">
        <v>178</v>
      </c>
      <c r="AK16" s="15" t="s">
        <v>525</v>
      </c>
      <c r="AL16" s="15" t="s">
        <v>240</v>
      </c>
      <c r="AM16" s="15" t="s">
        <v>138</v>
      </c>
      <c r="AN16" s="15" t="s">
        <v>141</v>
      </c>
      <c r="AO16" s="15" t="s">
        <v>126</v>
      </c>
      <c r="AP16" s="15"/>
    </row>
    <row r="17" ht="22.5" customHeight="1">
      <c r="A17" s="15" t="s">
        <v>533</v>
      </c>
      <c r="B17" s="15" t="s">
        <v>535</v>
      </c>
      <c r="C17" s="15" t="s">
        <v>537</v>
      </c>
      <c r="D17" s="41">
        <v>34472.0</v>
      </c>
      <c r="E17" s="15" t="s">
        <v>98</v>
      </c>
      <c r="F17" s="15">
        <v>5.621987955E9</v>
      </c>
      <c r="G17" s="15" t="s">
        <v>541</v>
      </c>
      <c r="H17" s="15" t="s">
        <v>382</v>
      </c>
      <c r="I17" s="18"/>
      <c r="J17" s="15" t="s">
        <v>542</v>
      </c>
      <c r="K17" s="15" t="s">
        <v>541</v>
      </c>
      <c r="L17" s="20">
        <v>5.621986821E9</v>
      </c>
      <c r="M17" s="18"/>
      <c r="N17" s="18"/>
      <c r="O17" s="18"/>
      <c r="P17" s="20">
        <v>31.0</v>
      </c>
      <c r="Q17" s="22">
        <v>46036.895462962966</v>
      </c>
      <c r="R17" s="15" t="s">
        <v>546</v>
      </c>
      <c r="S17" s="15" t="s">
        <v>125</v>
      </c>
      <c r="T17" s="15" t="s">
        <v>548</v>
      </c>
      <c r="U17" s="15" t="s">
        <v>550</v>
      </c>
      <c r="V17" s="15" t="s">
        <v>551</v>
      </c>
      <c r="W17" s="15" t="s">
        <v>552</v>
      </c>
      <c r="X17" s="55" t="s">
        <v>117</v>
      </c>
      <c r="Y17" s="18"/>
      <c r="Z17" s="15" t="s">
        <v>117</v>
      </c>
      <c r="AA17" s="18"/>
      <c r="AB17" s="15" t="s">
        <v>117</v>
      </c>
      <c r="AC17" s="15" t="s">
        <v>117</v>
      </c>
      <c r="AD17" s="18"/>
      <c r="AE17" s="15" t="s">
        <v>117</v>
      </c>
      <c r="AF17" s="18"/>
      <c r="AG17" s="15" t="s">
        <v>117</v>
      </c>
      <c r="AH17" s="18"/>
      <c r="AI17" s="15" t="s">
        <v>117</v>
      </c>
      <c r="AJ17" s="18"/>
      <c r="AK17" s="18"/>
      <c r="AL17" s="15" t="s">
        <v>156</v>
      </c>
      <c r="AM17" s="15" t="s">
        <v>216</v>
      </c>
      <c r="AN17" s="15" t="s">
        <v>185</v>
      </c>
      <c r="AO17" s="15" t="s">
        <v>240</v>
      </c>
      <c r="AP17" s="15"/>
    </row>
    <row r="18" ht="22.5" customHeight="1">
      <c r="A18" s="15" t="s">
        <v>563</v>
      </c>
      <c r="B18" s="15" t="s">
        <v>489</v>
      </c>
      <c r="C18" s="15" t="s">
        <v>565</v>
      </c>
      <c r="D18" s="41">
        <v>38319.0</v>
      </c>
      <c r="E18" s="15" t="s">
        <v>98</v>
      </c>
      <c r="F18" s="15">
        <v>5.543881403E9</v>
      </c>
      <c r="G18" s="15" t="s">
        <v>569</v>
      </c>
      <c r="H18" s="15" t="s">
        <v>150</v>
      </c>
      <c r="I18" s="49" t="s">
        <v>573</v>
      </c>
      <c r="J18" s="15" t="s">
        <v>574</v>
      </c>
      <c r="K18" s="15" t="s">
        <v>496</v>
      </c>
      <c r="L18" s="20">
        <v>5.520848283E9</v>
      </c>
      <c r="M18" s="18"/>
      <c r="N18" s="18"/>
      <c r="O18" s="18"/>
      <c r="P18" s="20">
        <v>21.0</v>
      </c>
      <c r="Q18" s="22">
        <v>46026.789375</v>
      </c>
      <c r="R18" s="15" t="s">
        <v>107</v>
      </c>
      <c r="S18" s="15" t="s">
        <v>125</v>
      </c>
      <c r="T18" s="15" t="s">
        <v>160</v>
      </c>
      <c r="U18" s="15" t="s">
        <v>161</v>
      </c>
      <c r="V18" s="15" t="s">
        <v>163</v>
      </c>
      <c r="W18" s="15" t="s">
        <v>165</v>
      </c>
      <c r="X18" s="15" t="s">
        <v>120</v>
      </c>
      <c r="Y18" s="18"/>
      <c r="Z18" s="15" t="s">
        <v>117</v>
      </c>
      <c r="AA18" s="49" t="s">
        <v>579</v>
      </c>
      <c r="AB18" s="15" t="s">
        <v>120</v>
      </c>
      <c r="AC18" s="15" t="s">
        <v>120</v>
      </c>
      <c r="AD18" s="18"/>
      <c r="AE18" s="15" t="s">
        <v>120</v>
      </c>
      <c r="AF18" s="18"/>
      <c r="AG18" s="15" t="s">
        <v>120</v>
      </c>
      <c r="AH18" s="18"/>
      <c r="AI18" s="15" t="s">
        <v>120</v>
      </c>
      <c r="AJ18" s="18"/>
      <c r="AK18" s="18"/>
      <c r="AL18" s="15" t="s">
        <v>126</v>
      </c>
      <c r="AM18" s="15" t="s">
        <v>128</v>
      </c>
      <c r="AN18" s="15" t="s">
        <v>124</v>
      </c>
      <c r="AO18" s="15" t="s">
        <v>138</v>
      </c>
      <c r="AP18" s="15"/>
    </row>
    <row r="19" ht="22.5" customHeight="1">
      <c r="A19" s="15" t="s">
        <v>590</v>
      </c>
      <c r="B19" s="15" t="s">
        <v>591</v>
      </c>
      <c r="C19" s="15" t="s">
        <v>592</v>
      </c>
      <c r="D19" s="41">
        <v>38506.0</v>
      </c>
      <c r="E19" s="15" t="s">
        <v>98</v>
      </c>
      <c r="F19" s="15">
        <v>5.591010435E9</v>
      </c>
      <c r="G19" s="15" t="s">
        <v>599</v>
      </c>
      <c r="H19" s="15" t="s">
        <v>150</v>
      </c>
      <c r="I19" s="49" t="s">
        <v>600</v>
      </c>
      <c r="J19" s="15" t="s">
        <v>592</v>
      </c>
      <c r="K19" s="15" t="s">
        <v>599</v>
      </c>
      <c r="L19" s="20">
        <v>5.591010435E9</v>
      </c>
      <c r="M19" s="18"/>
      <c r="N19" s="18"/>
      <c r="O19" s="18"/>
      <c r="P19" s="20">
        <v>20.0</v>
      </c>
      <c r="Q19" s="22">
        <v>46026.035092592596</v>
      </c>
      <c r="R19" s="15" t="s">
        <v>107</v>
      </c>
      <c r="S19" s="15" t="s">
        <v>125</v>
      </c>
      <c r="T19" s="15" t="s">
        <v>192</v>
      </c>
      <c r="U19" s="15" t="s">
        <v>609</v>
      </c>
      <c r="V19" s="15" t="s">
        <v>611</v>
      </c>
      <c r="W19" s="15" t="s">
        <v>612</v>
      </c>
      <c r="X19" s="15" t="s">
        <v>120</v>
      </c>
      <c r="Y19" s="18"/>
      <c r="Z19" s="15" t="s">
        <v>120</v>
      </c>
      <c r="AA19" s="18"/>
      <c r="AB19" s="15" t="s">
        <v>120</v>
      </c>
      <c r="AC19" s="15" t="s">
        <v>117</v>
      </c>
      <c r="AD19" s="18"/>
      <c r="AE19" s="15" t="s">
        <v>120</v>
      </c>
      <c r="AF19" s="18"/>
      <c r="AG19" s="15" t="s">
        <v>120</v>
      </c>
      <c r="AH19" s="18"/>
      <c r="AI19" s="15" t="s">
        <v>120</v>
      </c>
      <c r="AJ19" s="18"/>
      <c r="AK19" s="15" t="s">
        <v>135</v>
      </c>
      <c r="AL19" s="15" t="s">
        <v>240</v>
      </c>
      <c r="AM19" s="15" t="s">
        <v>126</v>
      </c>
      <c r="AN19" s="15" t="s">
        <v>138</v>
      </c>
      <c r="AO19" s="15" t="s">
        <v>185</v>
      </c>
      <c r="AP19" s="15"/>
    </row>
    <row r="20" ht="22.5" customHeight="1">
      <c r="A20" s="15" t="s">
        <v>614</v>
      </c>
      <c r="B20" s="15" t="s">
        <v>615</v>
      </c>
      <c r="C20" s="15" t="s">
        <v>616</v>
      </c>
      <c r="D20" s="41">
        <v>37014.0</v>
      </c>
      <c r="E20" s="15" t="s">
        <v>98</v>
      </c>
      <c r="F20" s="15">
        <v>6.421390494E9</v>
      </c>
      <c r="G20" s="15" t="s">
        <v>617</v>
      </c>
      <c r="H20" s="15" t="s">
        <v>110</v>
      </c>
      <c r="I20" s="49" t="s">
        <v>618</v>
      </c>
      <c r="J20" s="15" t="s">
        <v>619</v>
      </c>
      <c r="K20" s="15" t="s">
        <v>621</v>
      </c>
      <c r="L20" s="20">
        <v>6.421374424E9</v>
      </c>
      <c r="M20" s="15" t="s">
        <v>626</v>
      </c>
      <c r="N20" s="15" t="s">
        <v>628</v>
      </c>
      <c r="O20" s="15">
        <v>6.424287151E9</v>
      </c>
      <c r="P20" s="20">
        <v>24.0</v>
      </c>
      <c r="Q20" s="22">
        <v>45970.57938657407</v>
      </c>
      <c r="R20" s="15" t="s">
        <v>546</v>
      </c>
      <c r="S20" s="15" t="s">
        <v>125</v>
      </c>
      <c r="T20" s="15" t="s">
        <v>634</v>
      </c>
      <c r="U20" s="15" t="s">
        <v>635</v>
      </c>
      <c r="V20" s="15" t="s">
        <v>637</v>
      </c>
      <c r="W20" s="15" t="s">
        <v>640</v>
      </c>
      <c r="X20" s="15" t="s">
        <v>120</v>
      </c>
      <c r="Y20" s="18"/>
      <c r="Z20" s="15" t="s">
        <v>120</v>
      </c>
      <c r="AA20" s="18"/>
      <c r="AB20" s="15" t="s">
        <v>117</v>
      </c>
      <c r="AC20" s="15" t="s">
        <v>117</v>
      </c>
      <c r="AD20" s="15" t="s">
        <v>643</v>
      </c>
      <c r="AE20" s="15" t="s">
        <v>120</v>
      </c>
      <c r="AF20" s="18"/>
      <c r="AG20" s="15" t="s">
        <v>120</v>
      </c>
      <c r="AH20" s="18"/>
      <c r="AI20" s="15" t="s">
        <v>117</v>
      </c>
      <c r="AJ20" s="15" t="s">
        <v>644</v>
      </c>
      <c r="AK20" s="18"/>
      <c r="AL20" s="15" t="s">
        <v>138</v>
      </c>
      <c r="AM20" s="15" t="s">
        <v>242</v>
      </c>
      <c r="AN20" s="15" t="s">
        <v>124</v>
      </c>
      <c r="AO20" s="15" t="s">
        <v>141</v>
      </c>
      <c r="AP20" s="15"/>
    </row>
    <row r="21" ht="22.5" customHeight="1">
      <c r="A21" s="15" t="s">
        <v>651</v>
      </c>
      <c r="B21" s="15" t="s">
        <v>653</v>
      </c>
      <c r="C21" s="15" t="s">
        <v>654</v>
      </c>
      <c r="D21" s="41">
        <v>38148.0</v>
      </c>
      <c r="E21" s="15" t="s">
        <v>98</v>
      </c>
      <c r="F21" s="15">
        <v>5.598792021E9</v>
      </c>
      <c r="G21" s="15" t="s">
        <v>655</v>
      </c>
      <c r="H21" s="15" t="s">
        <v>101</v>
      </c>
      <c r="I21" s="49" t="s">
        <v>656</v>
      </c>
      <c r="J21" s="15" t="s">
        <v>658</v>
      </c>
      <c r="K21" s="15" t="s">
        <v>661</v>
      </c>
      <c r="L21" s="20">
        <v>5.51818515E9</v>
      </c>
      <c r="M21" s="18"/>
      <c r="N21" s="18"/>
      <c r="O21" s="18"/>
      <c r="P21" s="20">
        <v>21.0</v>
      </c>
      <c r="Q21" s="22">
        <v>46033.950532407405</v>
      </c>
      <c r="R21" s="15" t="s">
        <v>107</v>
      </c>
      <c r="S21" s="15" t="s">
        <v>125</v>
      </c>
      <c r="T21" s="15" t="s">
        <v>111</v>
      </c>
      <c r="U21" s="15" t="s">
        <v>657</v>
      </c>
      <c r="V21" s="15" t="s">
        <v>659</v>
      </c>
      <c r="W21" s="15" t="s">
        <v>662</v>
      </c>
      <c r="X21" s="15" t="s">
        <v>120</v>
      </c>
      <c r="Y21" s="18"/>
      <c r="Z21" s="15" t="s">
        <v>117</v>
      </c>
      <c r="AA21" s="49" t="s">
        <v>671</v>
      </c>
      <c r="AB21" s="15" t="s">
        <v>120</v>
      </c>
      <c r="AC21" s="15" t="s">
        <v>120</v>
      </c>
      <c r="AD21" s="18"/>
      <c r="AE21" s="15" t="s">
        <v>120</v>
      </c>
      <c r="AF21" s="18"/>
      <c r="AG21" s="15" t="s">
        <v>120</v>
      </c>
      <c r="AH21" s="18"/>
      <c r="AI21" s="15" t="s">
        <v>120</v>
      </c>
      <c r="AJ21" s="18"/>
      <c r="AK21" s="18"/>
      <c r="AL21" s="15" t="s">
        <v>185</v>
      </c>
      <c r="AM21" s="15" t="s">
        <v>240</v>
      </c>
      <c r="AN21" s="15" t="s">
        <v>124</v>
      </c>
      <c r="AO21" s="15" t="s">
        <v>138</v>
      </c>
      <c r="AP21" s="15"/>
    </row>
    <row r="22" ht="22.5" customHeight="1">
      <c r="A22" s="15" t="s">
        <v>675</v>
      </c>
      <c r="B22" s="15" t="s">
        <v>676</v>
      </c>
      <c r="C22" s="15" t="s">
        <v>677</v>
      </c>
      <c r="D22" s="41">
        <v>36571.0</v>
      </c>
      <c r="E22" s="15" t="s">
        <v>98</v>
      </c>
      <c r="F22" s="15" t="s">
        <v>678</v>
      </c>
      <c r="G22" s="15" t="s">
        <v>679</v>
      </c>
      <c r="H22" s="15" t="s">
        <v>101</v>
      </c>
      <c r="I22" s="49" t="s">
        <v>680</v>
      </c>
      <c r="J22" s="15" t="s">
        <v>681</v>
      </c>
      <c r="K22" s="15" t="s">
        <v>682</v>
      </c>
      <c r="L22" s="20">
        <v>5.535523044E9</v>
      </c>
      <c r="M22" s="18"/>
      <c r="N22" s="18"/>
      <c r="O22" s="18"/>
      <c r="P22" s="20">
        <v>26.0</v>
      </c>
      <c r="Q22" s="22">
        <v>46026.48459490741</v>
      </c>
      <c r="R22" s="15" t="s">
        <v>107</v>
      </c>
      <c r="S22" s="15" t="s">
        <v>125</v>
      </c>
      <c r="T22" s="15" t="s">
        <v>208</v>
      </c>
      <c r="U22" s="15" t="s">
        <v>228</v>
      </c>
      <c r="V22" s="15" t="s">
        <v>229</v>
      </c>
      <c r="W22" s="15" t="s">
        <v>230</v>
      </c>
      <c r="X22" s="15" t="s">
        <v>120</v>
      </c>
      <c r="Y22" s="15" t="s">
        <v>696</v>
      </c>
      <c r="Z22" s="15" t="s">
        <v>120</v>
      </c>
      <c r="AA22" s="15" t="s">
        <v>696</v>
      </c>
      <c r="AB22" s="15" t="s">
        <v>120</v>
      </c>
      <c r="AC22" s="15" t="s">
        <v>120</v>
      </c>
      <c r="AD22" s="15" t="s">
        <v>696</v>
      </c>
      <c r="AE22" s="15" t="s">
        <v>120</v>
      </c>
      <c r="AF22" s="15" t="s">
        <v>696</v>
      </c>
      <c r="AG22" s="15" t="s">
        <v>120</v>
      </c>
      <c r="AH22" s="15" t="s">
        <v>696</v>
      </c>
      <c r="AI22" s="15" t="s">
        <v>120</v>
      </c>
      <c r="AJ22" s="15" t="s">
        <v>696</v>
      </c>
      <c r="AK22" s="15" t="s">
        <v>696</v>
      </c>
      <c r="AL22" s="15" t="s">
        <v>138</v>
      </c>
      <c r="AM22" s="15" t="s">
        <v>156</v>
      </c>
      <c r="AN22" s="15" t="s">
        <v>216</v>
      </c>
      <c r="AO22" s="15" t="s">
        <v>129</v>
      </c>
      <c r="AP22" s="15"/>
    </row>
    <row r="23" ht="22.5" customHeight="1">
      <c r="A23" s="15" t="s">
        <v>703</v>
      </c>
      <c r="B23" s="15" t="s">
        <v>704</v>
      </c>
      <c r="C23" s="15" t="s">
        <v>705</v>
      </c>
      <c r="D23" s="41">
        <v>38117.0</v>
      </c>
      <c r="E23" s="15" t="s">
        <v>177</v>
      </c>
      <c r="F23" s="15" t="s">
        <v>706</v>
      </c>
      <c r="G23" s="15" t="s">
        <v>707</v>
      </c>
      <c r="H23" s="15" t="s">
        <v>110</v>
      </c>
      <c r="I23" s="49" t="s">
        <v>708</v>
      </c>
      <c r="J23" s="15" t="s">
        <v>709</v>
      </c>
      <c r="K23" s="15" t="s">
        <v>711</v>
      </c>
      <c r="L23" s="20" t="s">
        <v>713</v>
      </c>
      <c r="M23" s="18"/>
      <c r="N23" s="18"/>
      <c r="O23" s="18"/>
      <c r="P23" s="20">
        <v>21.0</v>
      </c>
      <c r="Q23" s="22">
        <v>46040.81070601852</v>
      </c>
      <c r="R23" s="15" t="s">
        <v>107</v>
      </c>
      <c r="S23" s="15" t="s">
        <v>125</v>
      </c>
      <c r="T23" s="15" t="s">
        <v>208</v>
      </c>
      <c r="U23" s="15" t="s">
        <v>478</v>
      </c>
      <c r="V23" s="15" t="s">
        <v>480</v>
      </c>
      <c r="W23" s="15" t="s">
        <v>481</v>
      </c>
      <c r="X23" s="15" t="s">
        <v>120</v>
      </c>
      <c r="Y23" s="18"/>
      <c r="Z23" s="15" t="s">
        <v>120</v>
      </c>
      <c r="AA23" s="18"/>
      <c r="AB23" s="15" t="s">
        <v>120</v>
      </c>
      <c r="AC23" s="15" t="s">
        <v>120</v>
      </c>
      <c r="AD23" s="18"/>
      <c r="AE23" s="15" t="s">
        <v>120</v>
      </c>
      <c r="AF23" s="18"/>
      <c r="AG23" s="15" t="s">
        <v>120</v>
      </c>
      <c r="AH23" s="18"/>
      <c r="AI23" s="15" t="s">
        <v>120</v>
      </c>
      <c r="AJ23" s="18"/>
      <c r="AK23" s="15" t="s">
        <v>719</v>
      </c>
      <c r="AL23" s="15" t="s">
        <v>141</v>
      </c>
      <c r="AM23" s="15" t="s">
        <v>129</v>
      </c>
      <c r="AN23" s="15" t="s">
        <v>240</v>
      </c>
      <c r="AO23" s="15" t="s">
        <v>138</v>
      </c>
      <c r="AP23" s="15"/>
    </row>
    <row r="24" ht="22.5" customHeight="1">
      <c r="A24" s="15" t="s">
        <v>721</v>
      </c>
      <c r="B24" s="15" t="s">
        <v>350</v>
      </c>
      <c r="C24" s="15" t="s">
        <v>722</v>
      </c>
      <c r="D24" s="41">
        <v>37714.0</v>
      </c>
      <c r="E24" s="15" t="s">
        <v>98</v>
      </c>
      <c r="F24" s="15">
        <v>5.538354857E9</v>
      </c>
      <c r="G24" s="15" t="s">
        <v>723</v>
      </c>
      <c r="H24" s="15" t="s">
        <v>150</v>
      </c>
      <c r="I24" s="49" t="s">
        <v>458</v>
      </c>
      <c r="J24" s="15" t="s">
        <v>358</v>
      </c>
      <c r="K24" s="15" t="s">
        <v>361</v>
      </c>
      <c r="L24" s="20">
        <v>5.512907122E9</v>
      </c>
      <c r="M24" s="18"/>
      <c r="N24" s="18"/>
      <c r="O24" s="18"/>
      <c r="P24" s="20">
        <v>22.0</v>
      </c>
      <c r="Q24" s="22">
        <v>46033.50644675926</v>
      </c>
      <c r="R24" s="15" t="s">
        <v>107</v>
      </c>
      <c r="S24" s="15" t="s">
        <v>125</v>
      </c>
      <c r="T24" s="15" t="s">
        <v>160</v>
      </c>
      <c r="U24" s="15" t="s">
        <v>329</v>
      </c>
      <c r="V24" s="15" t="s">
        <v>331</v>
      </c>
      <c r="W24" s="15" t="s">
        <v>332</v>
      </c>
      <c r="X24" s="15" t="s">
        <v>120</v>
      </c>
      <c r="Y24" s="18"/>
      <c r="Z24" s="15" t="s">
        <v>120</v>
      </c>
      <c r="AA24" s="18"/>
      <c r="AB24" s="15" t="s">
        <v>120</v>
      </c>
      <c r="AC24" s="15" t="s">
        <v>120</v>
      </c>
      <c r="AD24" s="18"/>
      <c r="AE24" s="15" t="s">
        <v>120</v>
      </c>
      <c r="AF24" s="18"/>
      <c r="AG24" s="15" t="s">
        <v>120</v>
      </c>
      <c r="AH24" s="18"/>
      <c r="AI24" s="15" t="s">
        <v>120</v>
      </c>
      <c r="AJ24" s="18"/>
      <c r="AK24" s="18"/>
      <c r="AL24" s="15" t="s">
        <v>156</v>
      </c>
      <c r="AM24" s="15" t="s">
        <v>138</v>
      </c>
      <c r="AN24" s="15" t="s">
        <v>216</v>
      </c>
      <c r="AO24" s="15" t="s">
        <v>240</v>
      </c>
      <c r="AP24" s="15"/>
    </row>
    <row r="25" ht="22.5" customHeight="1">
      <c r="A25" s="15" t="s">
        <v>736</v>
      </c>
      <c r="B25" s="15" t="s">
        <v>737</v>
      </c>
      <c r="C25" s="15" t="s">
        <v>738</v>
      </c>
      <c r="D25" s="41">
        <v>39076.0</v>
      </c>
      <c r="E25" s="15" t="s">
        <v>98</v>
      </c>
      <c r="F25" s="15">
        <v>5.511938853E9</v>
      </c>
      <c r="G25" s="15" t="s">
        <v>739</v>
      </c>
      <c r="H25" s="15" t="s">
        <v>140</v>
      </c>
      <c r="I25" s="49" t="s">
        <v>740</v>
      </c>
      <c r="J25" s="15" t="s">
        <v>741</v>
      </c>
      <c r="K25" s="15" t="s">
        <v>742</v>
      </c>
      <c r="L25" s="20">
        <v>5.513442315E9</v>
      </c>
      <c r="M25" s="15" t="s">
        <v>743</v>
      </c>
      <c r="N25" s="15" t="s">
        <v>745</v>
      </c>
      <c r="O25" s="15">
        <v>5.537256597E9</v>
      </c>
      <c r="P25" s="20">
        <v>19.0</v>
      </c>
      <c r="Q25" s="22">
        <v>46038.95716435185</v>
      </c>
      <c r="R25" s="15" t="s">
        <v>107</v>
      </c>
      <c r="S25" s="15" t="s">
        <v>125</v>
      </c>
      <c r="T25" s="15" t="s">
        <v>192</v>
      </c>
      <c r="U25" s="15" t="s">
        <v>749</v>
      </c>
      <c r="V25" s="15" t="s">
        <v>750</v>
      </c>
      <c r="W25" s="15" t="s">
        <v>751</v>
      </c>
      <c r="X25" s="15" t="s">
        <v>120</v>
      </c>
      <c r="Y25" s="18"/>
      <c r="Z25" s="15" t="s">
        <v>120</v>
      </c>
      <c r="AA25" s="18"/>
      <c r="AB25" s="15" t="s">
        <v>120</v>
      </c>
      <c r="AC25" s="18"/>
      <c r="AD25" s="18"/>
      <c r="AE25" s="15" t="s">
        <v>120</v>
      </c>
      <c r="AF25" s="18"/>
      <c r="AG25" s="15" t="s">
        <v>120</v>
      </c>
      <c r="AH25" s="18"/>
      <c r="AI25" s="15" t="s">
        <v>120</v>
      </c>
      <c r="AJ25" s="18"/>
      <c r="AK25" s="18"/>
      <c r="AL25" s="15" t="s">
        <v>138</v>
      </c>
      <c r="AM25" s="15" t="s">
        <v>185</v>
      </c>
      <c r="AN25" s="15" t="s">
        <v>129</v>
      </c>
      <c r="AO25" s="15" t="s">
        <v>242</v>
      </c>
      <c r="AP25" s="15"/>
    </row>
    <row r="26" ht="22.5" customHeight="1">
      <c r="A26" s="15" t="s">
        <v>753</v>
      </c>
      <c r="B26" s="15" t="s">
        <v>754</v>
      </c>
      <c r="C26" s="15" t="s">
        <v>755</v>
      </c>
      <c r="D26" s="41">
        <v>38952.0</v>
      </c>
      <c r="E26" s="15" t="s">
        <v>98</v>
      </c>
      <c r="F26" s="15" t="s">
        <v>756</v>
      </c>
      <c r="G26" s="15" t="s">
        <v>757</v>
      </c>
      <c r="H26" s="15" t="s">
        <v>140</v>
      </c>
      <c r="I26" s="49" t="s">
        <v>458</v>
      </c>
      <c r="J26" s="15" t="s">
        <v>758</v>
      </c>
      <c r="K26" s="15" t="s">
        <v>759</v>
      </c>
      <c r="L26" s="20" t="s">
        <v>761</v>
      </c>
      <c r="M26" s="18"/>
      <c r="N26" s="18"/>
      <c r="O26" s="18"/>
      <c r="P26" s="20">
        <v>19.0</v>
      </c>
      <c r="Q26" s="22">
        <v>46026.39766203704</v>
      </c>
      <c r="R26" s="15" t="s">
        <v>107</v>
      </c>
      <c r="S26" s="15" t="s">
        <v>125</v>
      </c>
      <c r="T26" s="15" t="s">
        <v>127</v>
      </c>
      <c r="U26" s="15" t="s">
        <v>766</v>
      </c>
      <c r="V26" s="15" t="s">
        <v>767</v>
      </c>
      <c r="W26" s="15" t="s">
        <v>768</v>
      </c>
      <c r="X26" s="15" t="s">
        <v>120</v>
      </c>
      <c r="Y26" s="18"/>
      <c r="Z26" s="15" t="s">
        <v>120</v>
      </c>
      <c r="AA26" s="18"/>
      <c r="AB26" s="15" t="s">
        <v>120</v>
      </c>
      <c r="AC26" s="15" t="s">
        <v>120</v>
      </c>
      <c r="AD26" s="18"/>
      <c r="AE26" s="15" t="s">
        <v>120</v>
      </c>
      <c r="AF26" s="18"/>
      <c r="AG26" s="15" t="s">
        <v>120</v>
      </c>
      <c r="AH26" s="18"/>
      <c r="AI26" s="15" t="s">
        <v>120</v>
      </c>
      <c r="AJ26" s="18"/>
      <c r="AK26" s="15" t="s">
        <v>769</v>
      </c>
      <c r="AL26" s="15" t="s">
        <v>185</v>
      </c>
      <c r="AM26" s="15" t="s">
        <v>156</v>
      </c>
      <c r="AN26" s="15" t="s">
        <v>138</v>
      </c>
      <c r="AO26" s="15" t="s">
        <v>129</v>
      </c>
      <c r="AP26" s="15"/>
    </row>
    <row r="27" ht="22.5" customHeight="1">
      <c r="A27" s="15" t="s">
        <v>770</v>
      </c>
      <c r="B27" s="15" t="s">
        <v>413</v>
      </c>
      <c r="C27" s="15" t="s">
        <v>771</v>
      </c>
      <c r="D27" s="41">
        <v>38251.0</v>
      </c>
      <c r="E27" s="15" t="s">
        <v>98</v>
      </c>
      <c r="F27" s="15">
        <v>5.580871883E9</v>
      </c>
      <c r="G27" s="15" t="s">
        <v>773</v>
      </c>
      <c r="H27" s="15" t="s">
        <v>101</v>
      </c>
      <c r="I27" s="49" t="s">
        <v>458</v>
      </c>
      <c r="J27" s="15" t="s">
        <v>417</v>
      </c>
      <c r="K27" s="15" t="s">
        <v>776</v>
      </c>
      <c r="L27" s="20">
        <v>5.530664884E9</v>
      </c>
      <c r="M27" s="18"/>
      <c r="N27" s="18"/>
      <c r="O27" s="18"/>
      <c r="P27" s="20">
        <v>21.0</v>
      </c>
      <c r="Q27" s="22">
        <v>46026.486921296295</v>
      </c>
      <c r="R27" s="15" t="s">
        <v>107</v>
      </c>
      <c r="S27" s="15" t="s">
        <v>125</v>
      </c>
      <c r="T27" s="15" t="s">
        <v>208</v>
      </c>
      <c r="U27" s="15" t="s">
        <v>228</v>
      </c>
      <c r="V27" s="15" t="s">
        <v>229</v>
      </c>
      <c r="W27" s="15" t="s">
        <v>230</v>
      </c>
      <c r="X27" s="15" t="s">
        <v>120</v>
      </c>
      <c r="Y27" s="18"/>
      <c r="Z27" s="15" t="s">
        <v>120</v>
      </c>
      <c r="AA27" s="18"/>
      <c r="AB27" s="15" t="s">
        <v>120</v>
      </c>
      <c r="AC27" s="15" t="s">
        <v>120</v>
      </c>
      <c r="AD27" s="18"/>
      <c r="AE27" s="15" t="s">
        <v>120</v>
      </c>
      <c r="AF27" s="18"/>
      <c r="AG27" s="15" t="s">
        <v>120</v>
      </c>
      <c r="AH27" s="18"/>
      <c r="AI27" s="15" t="s">
        <v>117</v>
      </c>
      <c r="AJ27" s="15" t="s">
        <v>334</v>
      </c>
      <c r="AK27" s="18"/>
      <c r="AL27" s="15" t="s">
        <v>141</v>
      </c>
      <c r="AM27" s="15" t="s">
        <v>126</v>
      </c>
      <c r="AN27" s="15" t="s">
        <v>138</v>
      </c>
      <c r="AO27" s="15" t="s">
        <v>242</v>
      </c>
      <c r="AP27" s="15"/>
    </row>
    <row r="28" ht="22.5" customHeight="1">
      <c r="A28" s="15" t="s">
        <v>793</v>
      </c>
      <c r="B28" s="15" t="s">
        <v>794</v>
      </c>
      <c r="C28" s="15" t="s">
        <v>795</v>
      </c>
      <c r="D28" s="41">
        <v>38212.0</v>
      </c>
      <c r="E28" s="15" t="s">
        <v>98</v>
      </c>
      <c r="F28" s="15">
        <v>5.560794305E9</v>
      </c>
      <c r="G28" s="15" t="s">
        <v>797</v>
      </c>
      <c r="H28" s="15" t="s">
        <v>101</v>
      </c>
      <c r="I28" s="49" t="s">
        <v>800</v>
      </c>
      <c r="J28" s="15" t="s">
        <v>801</v>
      </c>
      <c r="K28" s="15" t="s">
        <v>797</v>
      </c>
      <c r="L28" s="20">
        <v>5.574526519E9</v>
      </c>
      <c r="M28" s="18"/>
      <c r="N28" s="18"/>
      <c r="O28" s="18"/>
      <c r="P28" s="20">
        <v>21.0</v>
      </c>
      <c r="Q28" s="22">
        <v>46033.501435185186</v>
      </c>
      <c r="R28" s="15" t="s">
        <v>107</v>
      </c>
      <c r="S28" s="15" t="s">
        <v>125</v>
      </c>
      <c r="T28" s="15" t="s">
        <v>160</v>
      </c>
      <c r="U28" s="15" t="s">
        <v>329</v>
      </c>
      <c r="V28" s="15" t="s">
        <v>331</v>
      </c>
      <c r="W28" s="15" t="s">
        <v>332</v>
      </c>
      <c r="X28" s="15" t="s">
        <v>120</v>
      </c>
      <c r="Y28" s="18"/>
      <c r="Z28" s="15" t="s">
        <v>117</v>
      </c>
      <c r="AA28" s="49" t="s">
        <v>805</v>
      </c>
      <c r="AB28" s="15" t="s">
        <v>117</v>
      </c>
      <c r="AC28" s="15" t="s">
        <v>117</v>
      </c>
      <c r="AD28" s="15" t="s">
        <v>806</v>
      </c>
      <c r="AE28" s="15" t="s">
        <v>120</v>
      </c>
      <c r="AF28" s="18"/>
      <c r="AG28" s="15" t="s">
        <v>120</v>
      </c>
      <c r="AH28" s="18"/>
      <c r="AI28" s="15" t="s">
        <v>117</v>
      </c>
      <c r="AJ28" s="15" t="s">
        <v>807</v>
      </c>
      <c r="AK28" s="18"/>
      <c r="AL28" s="15" t="s">
        <v>138</v>
      </c>
      <c r="AM28" s="15" t="s">
        <v>216</v>
      </c>
      <c r="AN28" s="15" t="s">
        <v>126</v>
      </c>
      <c r="AO28" s="15" t="s">
        <v>141</v>
      </c>
      <c r="AP28" s="15"/>
    </row>
    <row r="29" ht="22.5" customHeight="1">
      <c r="A29" s="15" t="s">
        <v>710</v>
      </c>
      <c r="B29" s="15" t="s">
        <v>809</v>
      </c>
      <c r="C29" s="15" t="s">
        <v>810</v>
      </c>
      <c r="D29" s="41">
        <v>39161.0</v>
      </c>
      <c r="E29" s="15" t="s">
        <v>98</v>
      </c>
      <c r="F29" s="15">
        <v>7.206758138E9</v>
      </c>
      <c r="G29" s="15" t="s">
        <v>811</v>
      </c>
      <c r="H29" s="15" t="s">
        <v>140</v>
      </c>
      <c r="I29" s="49" t="s">
        <v>812</v>
      </c>
      <c r="J29" s="15" t="s">
        <v>813</v>
      </c>
      <c r="K29" s="15" t="s">
        <v>814</v>
      </c>
      <c r="L29" s="20">
        <v>7.293082828E9</v>
      </c>
      <c r="M29" s="18"/>
      <c r="N29" s="18"/>
      <c r="O29" s="18"/>
      <c r="P29" s="20">
        <v>18.0</v>
      </c>
      <c r="Q29" s="22">
        <v>46033.95962962963</v>
      </c>
      <c r="R29" s="15" t="s">
        <v>546</v>
      </c>
      <c r="S29" s="15" t="s">
        <v>125</v>
      </c>
      <c r="T29" s="15" t="s">
        <v>819</v>
      </c>
      <c r="U29" s="15" t="s">
        <v>821</v>
      </c>
      <c r="V29" s="15" t="s">
        <v>823</v>
      </c>
      <c r="W29" s="15" t="s">
        <v>825</v>
      </c>
      <c r="X29" s="15" t="s">
        <v>120</v>
      </c>
      <c r="Y29" s="18"/>
      <c r="Z29" s="15" t="s">
        <v>117</v>
      </c>
      <c r="AA29" s="49" t="s">
        <v>826</v>
      </c>
      <c r="AB29" s="15" t="s">
        <v>117</v>
      </c>
      <c r="AC29" s="15" t="s">
        <v>117</v>
      </c>
      <c r="AD29" s="15" t="s">
        <v>827</v>
      </c>
      <c r="AE29" s="15" t="s">
        <v>120</v>
      </c>
      <c r="AF29" s="18"/>
      <c r="AG29" s="15" t="s">
        <v>120</v>
      </c>
      <c r="AH29" s="18"/>
      <c r="AI29" s="15" t="s">
        <v>117</v>
      </c>
      <c r="AJ29" s="15" t="s">
        <v>178</v>
      </c>
      <c r="AK29" s="18"/>
      <c r="AL29" s="15" t="s">
        <v>216</v>
      </c>
      <c r="AM29" s="15" t="s">
        <v>242</v>
      </c>
      <c r="AN29" s="15" t="s">
        <v>240</v>
      </c>
      <c r="AO29" s="15" t="s">
        <v>185</v>
      </c>
      <c r="AP29" s="15"/>
    </row>
    <row r="30" ht="22.5" customHeight="1">
      <c r="A30" s="15" t="s">
        <v>828</v>
      </c>
      <c r="B30" s="15" t="s">
        <v>829</v>
      </c>
      <c r="C30" s="15" t="s">
        <v>830</v>
      </c>
      <c r="D30" s="41">
        <v>37443.0</v>
      </c>
      <c r="E30" s="15" t="s">
        <v>177</v>
      </c>
      <c r="F30" s="15">
        <v>5.640040994E9</v>
      </c>
      <c r="G30" s="15" t="s">
        <v>831</v>
      </c>
      <c r="H30" s="15" t="s">
        <v>150</v>
      </c>
      <c r="I30" s="49" t="s">
        <v>832</v>
      </c>
      <c r="J30" s="15" t="s">
        <v>833</v>
      </c>
      <c r="K30" s="15" t="s">
        <v>834</v>
      </c>
      <c r="L30" s="20">
        <v>5.53040827E9</v>
      </c>
      <c r="M30" s="18"/>
      <c r="N30" s="18"/>
      <c r="O30" s="18"/>
      <c r="P30" s="20">
        <v>23.0</v>
      </c>
      <c r="Q30" s="22">
        <v>46033.85322916666</v>
      </c>
      <c r="R30" s="15" t="s">
        <v>107</v>
      </c>
      <c r="S30" s="15" t="s">
        <v>125</v>
      </c>
      <c r="T30" s="15" t="s">
        <v>127</v>
      </c>
      <c r="U30" s="15" t="s">
        <v>234</v>
      </c>
      <c r="V30" s="15" t="s">
        <v>227</v>
      </c>
      <c r="W30" s="15" t="s">
        <v>236</v>
      </c>
      <c r="X30" s="15" t="s">
        <v>120</v>
      </c>
      <c r="Y30" s="18"/>
      <c r="Z30" s="15" t="s">
        <v>120</v>
      </c>
      <c r="AA30" s="18"/>
      <c r="AB30" s="15" t="s">
        <v>120</v>
      </c>
      <c r="AC30" s="15" t="s">
        <v>120</v>
      </c>
      <c r="AD30" s="18"/>
      <c r="AE30" s="15" t="s">
        <v>117</v>
      </c>
      <c r="AF30" s="15" t="s">
        <v>843</v>
      </c>
      <c r="AG30" s="15" t="s">
        <v>120</v>
      </c>
      <c r="AH30" s="18"/>
      <c r="AI30" s="15" t="s">
        <v>120</v>
      </c>
      <c r="AJ30" s="18"/>
      <c r="AK30" s="18"/>
      <c r="AL30" s="15" t="s">
        <v>129</v>
      </c>
      <c r="AM30" s="15" t="s">
        <v>126</v>
      </c>
      <c r="AN30" s="15" t="s">
        <v>138</v>
      </c>
      <c r="AO30" s="15" t="s">
        <v>156</v>
      </c>
      <c r="AP30" s="15"/>
    </row>
    <row r="31" ht="22.5" customHeight="1">
      <c r="A31" s="15" t="s">
        <v>844</v>
      </c>
      <c r="B31" s="15" t="s">
        <v>845</v>
      </c>
      <c r="C31" s="15" t="s">
        <v>846</v>
      </c>
      <c r="D31" s="41">
        <v>37208.0</v>
      </c>
      <c r="E31" s="15" t="s">
        <v>98</v>
      </c>
      <c r="F31" s="15">
        <v>5.512431305E9</v>
      </c>
      <c r="G31" s="15" t="s">
        <v>847</v>
      </c>
      <c r="H31" s="15" t="s">
        <v>101</v>
      </c>
      <c r="I31" s="49" t="s">
        <v>848</v>
      </c>
      <c r="J31" s="15" t="s">
        <v>849</v>
      </c>
      <c r="K31" s="15" t="s">
        <v>850</v>
      </c>
      <c r="L31" s="77" t="str">
        <f>+52 55 3126 4487</f>
        <v>#ERROR!</v>
      </c>
      <c r="M31" s="18"/>
      <c r="N31" s="18"/>
      <c r="O31" s="18"/>
      <c r="P31" s="20">
        <v>24.0</v>
      </c>
      <c r="Q31" s="22">
        <v>46025.724699074075</v>
      </c>
      <c r="R31" s="15" t="s">
        <v>107</v>
      </c>
      <c r="S31" s="15" t="s">
        <v>125</v>
      </c>
      <c r="T31" s="15" t="s">
        <v>208</v>
      </c>
      <c r="U31" s="15" t="s">
        <v>428</v>
      </c>
      <c r="V31" s="15" t="s">
        <v>429</v>
      </c>
      <c r="W31" s="15" t="s">
        <v>430</v>
      </c>
      <c r="X31" s="15" t="s">
        <v>120</v>
      </c>
      <c r="Y31" s="18"/>
      <c r="Z31" s="15" t="s">
        <v>120</v>
      </c>
      <c r="AA31" s="18"/>
      <c r="AB31" s="15" t="s">
        <v>120</v>
      </c>
      <c r="AC31" s="18"/>
      <c r="AD31" s="18"/>
      <c r="AE31" s="15" t="s">
        <v>120</v>
      </c>
      <c r="AF31" s="18"/>
      <c r="AG31" s="15" t="s">
        <v>120</v>
      </c>
      <c r="AH31" s="18"/>
      <c r="AI31" s="15" t="s">
        <v>120</v>
      </c>
      <c r="AJ31" s="18"/>
      <c r="AK31" s="18"/>
      <c r="AL31" s="15" t="s">
        <v>242</v>
      </c>
      <c r="AM31" s="15" t="s">
        <v>128</v>
      </c>
      <c r="AN31" s="15" t="s">
        <v>156</v>
      </c>
      <c r="AO31" s="15" t="s">
        <v>124</v>
      </c>
      <c r="AP31" s="15"/>
    </row>
    <row r="32" ht="22.5" customHeight="1">
      <c r="A32" s="15" t="s">
        <v>861</v>
      </c>
      <c r="B32" s="15" t="s">
        <v>862</v>
      </c>
      <c r="C32" s="15" t="s">
        <v>863</v>
      </c>
      <c r="D32" s="41">
        <v>38496.0</v>
      </c>
      <c r="E32" s="15" t="s">
        <v>98</v>
      </c>
      <c r="F32" s="15">
        <v>7.331244389E9</v>
      </c>
      <c r="G32" s="15" t="s">
        <v>864</v>
      </c>
      <c r="H32" s="15" t="s">
        <v>101</v>
      </c>
      <c r="I32" s="49" t="s">
        <v>867</v>
      </c>
      <c r="J32" s="15" t="s">
        <v>868</v>
      </c>
      <c r="K32" s="15" t="s">
        <v>870</v>
      </c>
      <c r="L32" s="20">
        <v>7.331244389E9</v>
      </c>
      <c r="M32" s="15" t="s">
        <v>871</v>
      </c>
      <c r="N32" s="15" t="s">
        <v>872</v>
      </c>
      <c r="O32" s="15">
        <v>7.331550592E9</v>
      </c>
      <c r="P32" s="20">
        <v>20.0</v>
      </c>
      <c r="Q32" s="22">
        <v>46037.789351851854</v>
      </c>
      <c r="R32" s="15" t="s">
        <v>107</v>
      </c>
      <c r="S32" s="15" t="s">
        <v>125</v>
      </c>
      <c r="T32" s="15" t="s">
        <v>877</v>
      </c>
      <c r="U32" s="15" t="s">
        <v>878</v>
      </c>
      <c r="V32" s="15" t="s">
        <v>879</v>
      </c>
      <c r="W32" s="15" t="s">
        <v>880</v>
      </c>
      <c r="X32" s="15" t="s">
        <v>120</v>
      </c>
      <c r="Y32" s="18"/>
      <c r="Z32" s="15" t="s">
        <v>117</v>
      </c>
      <c r="AA32" s="49" t="s">
        <v>882</v>
      </c>
      <c r="AB32" s="15" t="s">
        <v>117</v>
      </c>
      <c r="AC32" s="18"/>
      <c r="AD32" s="15" t="s">
        <v>886</v>
      </c>
      <c r="AE32" s="15" t="s">
        <v>120</v>
      </c>
      <c r="AF32" s="18"/>
      <c r="AG32" s="15" t="s">
        <v>120</v>
      </c>
      <c r="AH32" s="18"/>
      <c r="AI32" s="15" t="s">
        <v>120</v>
      </c>
      <c r="AJ32" s="18"/>
      <c r="AK32" s="18"/>
      <c r="AL32" s="15" t="s">
        <v>185</v>
      </c>
      <c r="AM32" s="15" t="s">
        <v>242</v>
      </c>
      <c r="AN32" s="15" t="s">
        <v>124</v>
      </c>
      <c r="AO32" s="15" t="s">
        <v>216</v>
      </c>
      <c r="AP32" s="15"/>
    </row>
    <row r="33" ht="22.5" customHeight="1">
      <c r="A33" s="15" t="s">
        <v>890</v>
      </c>
      <c r="B33" s="15" t="s">
        <v>891</v>
      </c>
      <c r="C33" s="15" t="s">
        <v>892</v>
      </c>
      <c r="D33" s="41">
        <v>37876.0</v>
      </c>
      <c r="E33" s="15" t="s">
        <v>98</v>
      </c>
      <c r="F33" s="15">
        <v>5.582241852E9</v>
      </c>
      <c r="G33" s="15" t="s">
        <v>894</v>
      </c>
      <c r="H33" s="15" t="s">
        <v>101</v>
      </c>
      <c r="I33" s="49" t="s">
        <v>896</v>
      </c>
      <c r="J33" s="15" t="s">
        <v>897</v>
      </c>
      <c r="K33" s="15" t="s">
        <v>898</v>
      </c>
      <c r="L33" s="20">
        <v>5.628280987E9</v>
      </c>
      <c r="M33" s="18"/>
      <c r="N33" s="18"/>
      <c r="O33" s="18"/>
      <c r="P33" s="20">
        <v>22.0</v>
      </c>
      <c r="Q33" s="22">
        <v>46024.77825231481</v>
      </c>
      <c r="R33" s="15" t="s">
        <v>107</v>
      </c>
      <c r="S33" s="15" t="s">
        <v>125</v>
      </c>
      <c r="T33" s="15" t="s">
        <v>127</v>
      </c>
      <c r="U33" s="15" t="s">
        <v>672</v>
      </c>
      <c r="V33" s="15" t="s">
        <v>673</v>
      </c>
      <c r="W33" s="15" t="s">
        <v>674</v>
      </c>
      <c r="X33" s="15" t="s">
        <v>120</v>
      </c>
      <c r="Y33" s="18"/>
      <c r="Z33" s="15" t="s">
        <v>117</v>
      </c>
      <c r="AA33" s="58" t="s">
        <v>901</v>
      </c>
      <c r="AB33" s="15" t="s">
        <v>117</v>
      </c>
      <c r="AC33" s="15" t="s">
        <v>117</v>
      </c>
      <c r="AD33" s="18"/>
      <c r="AE33" s="15" t="s">
        <v>120</v>
      </c>
      <c r="AF33" s="18"/>
      <c r="AG33" s="15" t="s">
        <v>120</v>
      </c>
      <c r="AH33" s="18"/>
      <c r="AI33" s="15" t="s">
        <v>120</v>
      </c>
      <c r="AJ33" s="18"/>
      <c r="AK33" s="18"/>
      <c r="AL33" s="15" t="s">
        <v>156</v>
      </c>
      <c r="AM33" s="15" t="s">
        <v>124</v>
      </c>
      <c r="AN33" s="15" t="s">
        <v>138</v>
      </c>
      <c r="AO33" s="15" t="s">
        <v>240</v>
      </c>
      <c r="AP33" s="15"/>
    </row>
    <row r="34" ht="22.5" customHeight="1">
      <c r="A34" s="15" t="s">
        <v>902</v>
      </c>
      <c r="B34" s="15" t="s">
        <v>903</v>
      </c>
      <c r="C34" s="15" t="s">
        <v>904</v>
      </c>
      <c r="D34" s="41">
        <v>33983.0</v>
      </c>
      <c r="E34" s="15" t="s">
        <v>177</v>
      </c>
      <c r="F34" s="15">
        <v>5.520846165E9</v>
      </c>
      <c r="G34" s="15" t="s">
        <v>908</v>
      </c>
      <c r="H34" s="15" t="s">
        <v>140</v>
      </c>
      <c r="I34" s="49" t="s">
        <v>909</v>
      </c>
      <c r="J34" s="15" t="s">
        <v>910</v>
      </c>
      <c r="K34" s="15" t="s">
        <v>912</v>
      </c>
      <c r="L34" s="20">
        <v>5.574702664E9</v>
      </c>
      <c r="M34" s="18"/>
      <c r="N34" s="18"/>
      <c r="O34" s="18"/>
      <c r="P34" s="20">
        <v>33.0</v>
      </c>
      <c r="Q34" s="22">
        <v>46025.92459490741</v>
      </c>
      <c r="R34" s="15" t="s">
        <v>107</v>
      </c>
      <c r="S34" s="15" t="s">
        <v>125</v>
      </c>
      <c r="T34" s="15" t="s">
        <v>111</v>
      </c>
      <c r="U34" s="15" t="s">
        <v>657</v>
      </c>
      <c r="V34" s="15" t="s">
        <v>659</v>
      </c>
      <c r="W34" s="15" t="s">
        <v>662</v>
      </c>
      <c r="X34" s="15" t="s">
        <v>120</v>
      </c>
      <c r="Y34" s="18"/>
      <c r="Z34" s="15" t="s">
        <v>117</v>
      </c>
      <c r="AA34" s="58" t="s">
        <v>917</v>
      </c>
      <c r="AB34" s="15" t="s">
        <v>120</v>
      </c>
      <c r="AC34" s="18"/>
      <c r="AD34" s="18"/>
      <c r="AE34" s="15" t="s">
        <v>120</v>
      </c>
      <c r="AF34" s="18"/>
      <c r="AG34" s="15" t="s">
        <v>120</v>
      </c>
      <c r="AH34" s="18"/>
      <c r="AI34" s="15" t="s">
        <v>120</v>
      </c>
      <c r="AJ34" s="18"/>
      <c r="AK34" s="18"/>
      <c r="AL34" s="15" t="s">
        <v>156</v>
      </c>
      <c r="AM34" s="15" t="s">
        <v>240</v>
      </c>
      <c r="AN34" s="15" t="s">
        <v>126</v>
      </c>
      <c r="AO34" s="15" t="s">
        <v>242</v>
      </c>
      <c r="AP34" s="15"/>
    </row>
    <row r="35" ht="22.5" customHeight="1">
      <c r="A35" s="15" t="s">
        <v>918</v>
      </c>
      <c r="B35" s="15" t="s">
        <v>921</v>
      </c>
      <c r="C35" s="15" t="s">
        <v>922</v>
      </c>
      <c r="D35" s="41">
        <v>35789.0</v>
      </c>
      <c r="E35" s="15" t="s">
        <v>98</v>
      </c>
      <c r="F35" s="15" t="s">
        <v>924</v>
      </c>
      <c r="G35" s="15" t="s">
        <v>926</v>
      </c>
      <c r="H35" s="15" t="s">
        <v>101</v>
      </c>
      <c r="I35" s="49" t="s">
        <v>927</v>
      </c>
      <c r="J35" s="15" t="s">
        <v>929</v>
      </c>
      <c r="K35" s="15" t="s">
        <v>930</v>
      </c>
      <c r="L35" s="20" t="s">
        <v>931</v>
      </c>
      <c r="M35" s="15" t="s">
        <v>932</v>
      </c>
      <c r="N35" s="15" t="s">
        <v>933</v>
      </c>
      <c r="O35" s="15">
        <v>5.5193217E9</v>
      </c>
      <c r="P35" s="20">
        <v>28.0</v>
      </c>
      <c r="Q35" s="22">
        <v>45970.35019675926</v>
      </c>
      <c r="R35" s="15" t="s">
        <v>107</v>
      </c>
      <c r="S35" s="15" t="s">
        <v>125</v>
      </c>
      <c r="T35" s="15" t="s">
        <v>192</v>
      </c>
      <c r="U35" s="15" t="s">
        <v>485</v>
      </c>
      <c r="V35" s="15" t="s">
        <v>486</v>
      </c>
      <c r="W35" s="15" t="s">
        <v>487</v>
      </c>
      <c r="X35" s="15" t="s">
        <v>120</v>
      </c>
      <c r="Y35" s="18"/>
      <c r="Z35" s="15" t="s">
        <v>120</v>
      </c>
      <c r="AA35" s="18"/>
      <c r="AB35" s="15" t="s">
        <v>120</v>
      </c>
      <c r="AC35" s="18"/>
      <c r="AD35" s="18"/>
      <c r="AE35" s="15" t="s">
        <v>120</v>
      </c>
      <c r="AF35" s="18"/>
      <c r="AG35" s="15" t="s">
        <v>120</v>
      </c>
      <c r="AH35" s="18"/>
      <c r="AI35" s="15" t="s">
        <v>120</v>
      </c>
      <c r="AJ35" s="18"/>
      <c r="AK35" s="18"/>
      <c r="AL35" s="15" t="s">
        <v>156</v>
      </c>
      <c r="AM35" s="15" t="s">
        <v>126</v>
      </c>
      <c r="AN35" s="15" t="s">
        <v>138</v>
      </c>
      <c r="AO35" s="15" t="s">
        <v>185</v>
      </c>
      <c r="AP35" s="15"/>
    </row>
    <row r="36" ht="22.5" customHeight="1">
      <c r="A36" s="15" t="s">
        <v>938</v>
      </c>
      <c r="B36" s="15" t="s">
        <v>940</v>
      </c>
      <c r="C36" s="15" t="s">
        <v>942</v>
      </c>
      <c r="D36" s="41">
        <v>37984.0</v>
      </c>
      <c r="E36" s="15" t="s">
        <v>98</v>
      </c>
      <c r="F36" s="15">
        <v>3.141825795E9</v>
      </c>
      <c r="G36" s="15" t="s">
        <v>946</v>
      </c>
      <c r="H36" s="15" t="s">
        <v>101</v>
      </c>
      <c r="I36" s="49" t="s">
        <v>949</v>
      </c>
      <c r="J36" s="15" t="s">
        <v>951</v>
      </c>
      <c r="K36" s="15" t="s">
        <v>946</v>
      </c>
      <c r="L36" s="20">
        <v>3.141825795E9</v>
      </c>
      <c r="M36" s="18"/>
      <c r="N36" s="18"/>
      <c r="O36" s="18"/>
      <c r="P36" s="20">
        <v>22.0</v>
      </c>
      <c r="Q36" s="22">
        <v>45979.438425925924</v>
      </c>
      <c r="R36" s="15" t="s">
        <v>107</v>
      </c>
      <c r="S36" s="15" t="s">
        <v>125</v>
      </c>
      <c r="T36" s="15" t="s">
        <v>954</v>
      </c>
      <c r="U36" s="15" t="s">
        <v>956</v>
      </c>
      <c r="V36" s="15" t="s">
        <v>957</v>
      </c>
      <c r="W36" s="15" t="s">
        <v>958</v>
      </c>
      <c r="X36" s="15" t="s">
        <v>120</v>
      </c>
      <c r="Y36" s="18"/>
      <c r="Z36" s="15" t="s">
        <v>117</v>
      </c>
      <c r="AA36" s="49" t="s">
        <v>961</v>
      </c>
      <c r="AB36" s="15" t="s">
        <v>120</v>
      </c>
      <c r="AC36" s="18"/>
      <c r="AD36" s="18"/>
      <c r="AE36" s="15" t="s">
        <v>117</v>
      </c>
      <c r="AF36" s="15" t="s">
        <v>962</v>
      </c>
      <c r="AG36" s="15" t="s">
        <v>120</v>
      </c>
      <c r="AH36" s="18"/>
      <c r="AI36" s="15" t="s">
        <v>120</v>
      </c>
      <c r="AJ36" s="18"/>
      <c r="AK36" s="18"/>
      <c r="AL36" s="15" t="s">
        <v>138</v>
      </c>
      <c r="AM36" s="15" t="s">
        <v>128</v>
      </c>
      <c r="AN36" s="15" t="s">
        <v>242</v>
      </c>
      <c r="AO36" s="15" t="s">
        <v>156</v>
      </c>
      <c r="AP36" s="15"/>
    </row>
    <row r="37" ht="22.5" customHeight="1">
      <c r="A37" s="15" t="s">
        <v>967</v>
      </c>
      <c r="B37" s="15" t="s">
        <v>968</v>
      </c>
      <c r="C37" s="15" t="s">
        <v>969</v>
      </c>
      <c r="D37" s="41">
        <v>38058.0</v>
      </c>
      <c r="E37" s="15" t="s">
        <v>98</v>
      </c>
      <c r="F37" s="15" t="s">
        <v>971</v>
      </c>
      <c r="G37" s="15" t="s">
        <v>973</v>
      </c>
      <c r="H37" s="15" t="s">
        <v>101</v>
      </c>
      <c r="I37" s="49" t="s">
        <v>450</v>
      </c>
      <c r="J37" s="15" t="s">
        <v>975</v>
      </c>
      <c r="K37" s="15" t="s">
        <v>976</v>
      </c>
      <c r="L37" s="20" t="s">
        <v>978</v>
      </c>
      <c r="M37" s="18"/>
      <c r="N37" s="18"/>
      <c r="O37" s="18"/>
      <c r="P37" s="20">
        <v>21.0</v>
      </c>
      <c r="Q37" s="22">
        <v>46033.44474537037</v>
      </c>
      <c r="R37" s="15" t="s">
        <v>107</v>
      </c>
      <c r="S37" s="15" t="s">
        <v>125</v>
      </c>
      <c r="T37" s="15" t="s">
        <v>127</v>
      </c>
      <c r="U37" s="15" t="s">
        <v>531</v>
      </c>
      <c r="V37" s="15" t="s">
        <v>532</v>
      </c>
      <c r="W37" s="15" t="s">
        <v>534</v>
      </c>
      <c r="X37" s="15" t="s">
        <v>120</v>
      </c>
      <c r="Y37" s="18"/>
      <c r="Z37" s="15" t="s">
        <v>117</v>
      </c>
      <c r="AA37" s="58" t="s">
        <v>991</v>
      </c>
      <c r="AB37" s="15" t="s">
        <v>120</v>
      </c>
      <c r="AC37" s="15" t="s">
        <v>120</v>
      </c>
      <c r="AD37" s="18"/>
      <c r="AE37" s="15" t="s">
        <v>120</v>
      </c>
      <c r="AF37" s="18"/>
      <c r="AG37" s="15" t="s">
        <v>120</v>
      </c>
      <c r="AH37" s="18"/>
      <c r="AI37" s="15" t="s">
        <v>120</v>
      </c>
      <c r="AJ37" s="18"/>
      <c r="AK37" s="18"/>
      <c r="AL37" s="15" t="s">
        <v>126</v>
      </c>
      <c r="AM37" s="15" t="s">
        <v>128</v>
      </c>
      <c r="AN37" s="15" t="s">
        <v>242</v>
      </c>
      <c r="AO37" s="15" t="s">
        <v>129</v>
      </c>
      <c r="AP37" s="15"/>
    </row>
    <row r="38" ht="22.5" customHeight="1">
      <c r="A38" s="15" t="s">
        <v>993</v>
      </c>
      <c r="B38" s="15" t="s">
        <v>995</v>
      </c>
      <c r="C38" s="15" t="s">
        <v>996</v>
      </c>
      <c r="D38" s="41">
        <v>38325.0</v>
      </c>
      <c r="E38" s="15" t="s">
        <v>98</v>
      </c>
      <c r="F38" s="15">
        <v>5.64570166E9</v>
      </c>
      <c r="G38" s="15" t="s">
        <v>1001</v>
      </c>
      <c r="H38" s="15" t="s">
        <v>382</v>
      </c>
      <c r="I38" s="49" t="s">
        <v>1003</v>
      </c>
      <c r="J38" s="15" t="s">
        <v>1004</v>
      </c>
      <c r="K38" s="15" t="s">
        <v>1006</v>
      </c>
      <c r="L38" s="20">
        <v>5.638126422E9</v>
      </c>
      <c r="M38" s="18"/>
      <c r="N38" s="18"/>
      <c r="O38" s="18"/>
      <c r="P38" s="20">
        <v>21.0</v>
      </c>
      <c r="Q38" s="22">
        <v>46027.73578703704</v>
      </c>
      <c r="R38" s="15" t="s">
        <v>107</v>
      </c>
      <c r="S38" s="15" t="s">
        <v>125</v>
      </c>
      <c r="T38" s="15" t="s">
        <v>204</v>
      </c>
      <c r="U38" s="15" t="s">
        <v>699</v>
      </c>
      <c r="V38" s="15" t="s">
        <v>700</v>
      </c>
      <c r="W38" s="15" t="s">
        <v>702</v>
      </c>
      <c r="X38" s="15" t="s">
        <v>120</v>
      </c>
      <c r="Y38" s="18"/>
      <c r="Z38" s="15" t="s">
        <v>120</v>
      </c>
      <c r="AA38" s="18"/>
      <c r="AB38" s="15" t="s">
        <v>120</v>
      </c>
      <c r="AC38" s="15" t="s">
        <v>120</v>
      </c>
      <c r="AD38" s="18"/>
      <c r="AE38" s="15" t="s">
        <v>120</v>
      </c>
      <c r="AF38" s="18"/>
      <c r="AG38" s="15" t="s">
        <v>120</v>
      </c>
      <c r="AH38" s="18"/>
      <c r="AI38" s="15" t="s">
        <v>120</v>
      </c>
      <c r="AJ38" s="18"/>
      <c r="AK38" s="18"/>
      <c r="AL38" s="15" t="s">
        <v>126</v>
      </c>
      <c r="AM38" s="15" t="s">
        <v>138</v>
      </c>
      <c r="AN38" s="15" t="s">
        <v>216</v>
      </c>
      <c r="AO38" s="15" t="s">
        <v>242</v>
      </c>
      <c r="AP38" s="15"/>
    </row>
    <row r="39" ht="22.5" customHeight="1">
      <c r="A39" s="15" t="s">
        <v>1009</v>
      </c>
      <c r="B39" s="15" t="s">
        <v>1012</v>
      </c>
      <c r="C39" s="15" t="s">
        <v>1013</v>
      </c>
      <c r="D39" s="41">
        <v>37523.0</v>
      </c>
      <c r="E39" s="15" t="s">
        <v>98</v>
      </c>
      <c r="F39" s="15">
        <v>7.771437489E9</v>
      </c>
      <c r="G39" s="15" t="s">
        <v>1016</v>
      </c>
      <c r="H39" s="15" t="s">
        <v>140</v>
      </c>
      <c r="I39" s="49" t="s">
        <v>1017</v>
      </c>
      <c r="J39" s="15" t="s">
        <v>1018</v>
      </c>
      <c r="K39" s="15" t="s">
        <v>1021</v>
      </c>
      <c r="L39" s="20">
        <v>7.772726904E9</v>
      </c>
      <c r="M39" s="18"/>
      <c r="N39" s="18"/>
      <c r="O39" s="18"/>
      <c r="P39" s="20">
        <v>23.0</v>
      </c>
      <c r="Q39" s="22">
        <v>46007.93378472222</v>
      </c>
      <c r="R39" s="15" t="s">
        <v>107</v>
      </c>
      <c r="S39" s="15" t="s">
        <v>125</v>
      </c>
      <c r="T39" s="15" t="s">
        <v>1022</v>
      </c>
      <c r="U39" s="15" t="s">
        <v>1023</v>
      </c>
      <c r="V39" s="15" t="s">
        <v>1024</v>
      </c>
      <c r="W39" s="15" t="s">
        <v>1026</v>
      </c>
      <c r="X39" s="15" t="s">
        <v>120</v>
      </c>
      <c r="Y39" s="18"/>
      <c r="Z39" s="15" t="s">
        <v>120</v>
      </c>
      <c r="AA39" s="18"/>
      <c r="AB39" s="15" t="s">
        <v>120</v>
      </c>
      <c r="AC39" s="15" t="s">
        <v>120</v>
      </c>
      <c r="AD39" s="18"/>
      <c r="AE39" s="15" t="s">
        <v>120</v>
      </c>
      <c r="AF39" s="18"/>
      <c r="AG39" s="15" t="s">
        <v>120</v>
      </c>
      <c r="AH39" s="18"/>
      <c r="AI39" s="15" t="s">
        <v>120</v>
      </c>
      <c r="AJ39" s="18"/>
      <c r="AK39" s="18"/>
      <c r="AL39" s="15" t="s">
        <v>185</v>
      </c>
      <c r="AM39" s="15" t="s">
        <v>124</v>
      </c>
      <c r="AN39" s="15" t="s">
        <v>242</v>
      </c>
      <c r="AO39" s="15" t="s">
        <v>129</v>
      </c>
      <c r="AP39" s="15"/>
    </row>
    <row r="40" ht="22.5" customHeight="1">
      <c r="A40" s="15" t="s">
        <v>1033</v>
      </c>
      <c r="B40" s="15" t="s">
        <v>1035</v>
      </c>
      <c r="C40" s="15" t="s">
        <v>1037</v>
      </c>
      <c r="D40" s="41">
        <v>38137.0</v>
      </c>
      <c r="E40" s="15" t="s">
        <v>98</v>
      </c>
      <c r="F40" s="15">
        <v>5.611954501E9</v>
      </c>
      <c r="G40" s="15" t="s">
        <v>1038</v>
      </c>
      <c r="H40" s="15" t="s">
        <v>150</v>
      </c>
      <c r="I40" s="49" t="s">
        <v>1040</v>
      </c>
      <c r="J40" s="15" t="s">
        <v>1042</v>
      </c>
      <c r="K40" s="15" t="s">
        <v>1043</v>
      </c>
      <c r="L40" s="20">
        <v>5.586874914E9</v>
      </c>
      <c r="M40" s="18"/>
      <c r="N40" s="18"/>
      <c r="O40" s="18"/>
      <c r="P40" s="20">
        <v>21.0</v>
      </c>
      <c r="Q40" s="22">
        <v>46039.970185185186</v>
      </c>
      <c r="R40" s="15" t="s">
        <v>231</v>
      </c>
      <c r="S40" s="15" t="s">
        <v>125</v>
      </c>
      <c r="T40" s="15" t="s">
        <v>160</v>
      </c>
      <c r="U40" s="15" t="s">
        <v>161</v>
      </c>
      <c r="V40" s="15" t="s">
        <v>163</v>
      </c>
      <c r="W40" s="15" t="s">
        <v>165</v>
      </c>
      <c r="X40" s="15" t="s">
        <v>120</v>
      </c>
      <c r="Y40" s="18"/>
      <c r="Z40" s="15" t="s">
        <v>117</v>
      </c>
      <c r="AA40" s="49" t="s">
        <v>1052</v>
      </c>
      <c r="AB40" s="15" t="s">
        <v>120</v>
      </c>
      <c r="AC40" s="15" t="s">
        <v>120</v>
      </c>
      <c r="AD40" s="18"/>
      <c r="AE40" s="15" t="s">
        <v>120</v>
      </c>
      <c r="AF40" s="18"/>
      <c r="AG40" s="15" t="s">
        <v>117</v>
      </c>
      <c r="AH40" s="15" t="s">
        <v>1054</v>
      </c>
      <c r="AI40" s="15" t="s">
        <v>120</v>
      </c>
      <c r="AJ40" s="18"/>
      <c r="AK40" s="18"/>
      <c r="AL40" s="15" t="s">
        <v>141</v>
      </c>
      <c r="AM40" s="15" t="s">
        <v>242</v>
      </c>
      <c r="AN40" s="15" t="s">
        <v>128</v>
      </c>
      <c r="AO40" s="15" t="s">
        <v>156</v>
      </c>
      <c r="AP40" s="15"/>
    </row>
    <row r="41" ht="22.5" customHeight="1">
      <c r="A41" s="15" t="s">
        <v>1056</v>
      </c>
      <c r="B41" s="15" t="s">
        <v>1057</v>
      </c>
      <c r="C41" s="15" t="s">
        <v>1058</v>
      </c>
      <c r="D41" s="41">
        <v>37733.0</v>
      </c>
      <c r="E41" s="15" t="s">
        <v>177</v>
      </c>
      <c r="F41" s="15">
        <v>5.551063781E9</v>
      </c>
      <c r="G41" s="15" t="s">
        <v>1064</v>
      </c>
      <c r="H41" s="15" t="s">
        <v>110</v>
      </c>
      <c r="I41" s="49" t="s">
        <v>1066</v>
      </c>
      <c r="J41" s="15" t="s">
        <v>1068</v>
      </c>
      <c r="K41" s="15" t="s">
        <v>1070</v>
      </c>
      <c r="L41" s="20">
        <v>5.540537217E9</v>
      </c>
      <c r="M41" s="18"/>
      <c r="N41" s="18"/>
      <c r="O41" s="18"/>
      <c r="P41" s="20">
        <v>22.0</v>
      </c>
      <c r="Q41" s="22">
        <v>46026.496030092596</v>
      </c>
      <c r="R41" s="15" t="s">
        <v>107</v>
      </c>
      <c r="S41" s="15" t="s">
        <v>125</v>
      </c>
      <c r="T41" s="15" t="s">
        <v>160</v>
      </c>
      <c r="U41" s="15" t="s">
        <v>279</v>
      </c>
      <c r="V41" s="15" t="s">
        <v>280</v>
      </c>
      <c r="W41" s="15" t="s">
        <v>282</v>
      </c>
      <c r="X41" s="15" t="s">
        <v>120</v>
      </c>
      <c r="Y41" s="15" t="s">
        <v>1080</v>
      </c>
      <c r="Z41" s="15" t="s">
        <v>120</v>
      </c>
      <c r="AA41" s="18"/>
      <c r="AB41" s="15" t="s">
        <v>120</v>
      </c>
      <c r="AC41" s="15" t="s">
        <v>120</v>
      </c>
      <c r="AD41" s="18"/>
      <c r="AE41" s="15" t="s">
        <v>120</v>
      </c>
      <c r="AF41" s="18"/>
      <c r="AG41" s="15" t="s">
        <v>120</v>
      </c>
      <c r="AH41" s="18"/>
      <c r="AI41" s="15" t="s">
        <v>120</v>
      </c>
      <c r="AJ41" s="18"/>
      <c r="AK41" s="18"/>
      <c r="AL41" s="15" t="s">
        <v>156</v>
      </c>
      <c r="AM41" s="15" t="s">
        <v>185</v>
      </c>
      <c r="AN41" s="15" t="s">
        <v>128</v>
      </c>
      <c r="AO41" s="15" t="s">
        <v>129</v>
      </c>
      <c r="AP41" s="15"/>
    </row>
    <row r="42" ht="22.5" customHeight="1">
      <c r="A42" s="15" t="s">
        <v>1093</v>
      </c>
      <c r="B42" s="15" t="s">
        <v>1094</v>
      </c>
      <c r="C42" s="15" t="s">
        <v>1095</v>
      </c>
      <c r="D42" s="41">
        <v>37162.0</v>
      </c>
      <c r="E42" s="15" t="s">
        <v>177</v>
      </c>
      <c r="F42" s="15">
        <v>5.51575297E9</v>
      </c>
      <c r="G42" s="15" t="s">
        <v>1100</v>
      </c>
      <c r="H42" s="15" t="s">
        <v>150</v>
      </c>
      <c r="I42" s="49" t="s">
        <v>1101</v>
      </c>
      <c r="J42" s="15" t="s">
        <v>1102</v>
      </c>
      <c r="K42" s="15" t="s">
        <v>1104</v>
      </c>
      <c r="L42" s="20">
        <v>5.570715418E9</v>
      </c>
      <c r="M42" s="18"/>
      <c r="N42" s="18"/>
      <c r="O42" s="18"/>
      <c r="P42" s="20">
        <v>24.0</v>
      </c>
      <c r="Q42" s="22">
        <v>46026.81787037037</v>
      </c>
      <c r="R42" s="15" t="s">
        <v>107</v>
      </c>
      <c r="S42" s="15" t="s">
        <v>125</v>
      </c>
      <c r="T42" s="15" t="s">
        <v>160</v>
      </c>
      <c r="U42" s="15" t="s">
        <v>329</v>
      </c>
      <c r="V42" s="15" t="s">
        <v>331</v>
      </c>
      <c r="W42" s="15" t="s">
        <v>332</v>
      </c>
      <c r="X42" s="15" t="s">
        <v>120</v>
      </c>
      <c r="Y42" s="18"/>
      <c r="Z42" s="15" t="s">
        <v>117</v>
      </c>
      <c r="AA42" s="49" t="s">
        <v>1101</v>
      </c>
      <c r="AB42" s="15" t="s">
        <v>120</v>
      </c>
      <c r="AC42" s="15" t="s">
        <v>120</v>
      </c>
      <c r="AD42" s="18"/>
      <c r="AE42" s="15" t="s">
        <v>120</v>
      </c>
      <c r="AF42" s="18"/>
      <c r="AG42" s="15" t="s">
        <v>120</v>
      </c>
      <c r="AH42" s="18"/>
      <c r="AI42" s="15" t="s">
        <v>120</v>
      </c>
      <c r="AJ42" s="18"/>
      <c r="AK42" s="18"/>
      <c r="AL42" s="15" t="s">
        <v>240</v>
      </c>
      <c r="AM42" s="15" t="s">
        <v>138</v>
      </c>
      <c r="AN42" s="15" t="s">
        <v>242</v>
      </c>
      <c r="AO42" s="15" t="s">
        <v>185</v>
      </c>
      <c r="AP42" s="15"/>
    </row>
    <row r="43" ht="22.5" customHeight="1">
      <c r="A43" s="15" t="s">
        <v>1126</v>
      </c>
      <c r="B43" s="15" t="s">
        <v>1127</v>
      </c>
      <c r="C43" s="15" t="s">
        <v>1128</v>
      </c>
      <c r="D43" s="41">
        <v>36255.0</v>
      </c>
      <c r="E43" s="15" t="s">
        <v>98</v>
      </c>
      <c r="F43" s="15">
        <v>5.528630414E9</v>
      </c>
      <c r="G43" s="15" t="s">
        <v>1130</v>
      </c>
      <c r="H43" s="15" t="s">
        <v>101</v>
      </c>
      <c r="I43" s="49" t="s">
        <v>1132</v>
      </c>
      <c r="J43" s="15" t="s">
        <v>1133</v>
      </c>
      <c r="K43" s="15" t="s">
        <v>1134</v>
      </c>
      <c r="L43" s="20">
        <v>5.510137038E9</v>
      </c>
      <c r="M43" s="15" t="s">
        <v>1135</v>
      </c>
      <c r="N43" s="15" t="s">
        <v>1136</v>
      </c>
      <c r="O43" s="15">
        <v>5.558470536E9</v>
      </c>
      <c r="P43" s="20">
        <v>26.0</v>
      </c>
      <c r="Q43" s="22">
        <v>46020.645578703705</v>
      </c>
      <c r="R43" s="15" t="s">
        <v>107</v>
      </c>
      <c r="S43" s="15" t="s">
        <v>125</v>
      </c>
      <c r="T43" s="15" t="s">
        <v>171</v>
      </c>
      <c r="U43" s="15" t="s">
        <v>173</v>
      </c>
      <c r="V43" s="15" t="s">
        <v>167</v>
      </c>
      <c r="W43" s="15" t="s">
        <v>175</v>
      </c>
      <c r="X43" s="15" t="s">
        <v>120</v>
      </c>
      <c r="Y43" s="18"/>
      <c r="Z43" s="15" t="s">
        <v>117</v>
      </c>
      <c r="AA43" s="49" t="s">
        <v>1132</v>
      </c>
      <c r="AB43" s="15" t="s">
        <v>120</v>
      </c>
      <c r="AC43" s="18"/>
      <c r="AD43" s="18"/>
      <c r="AE43" s="15" t="s">
        <v>120</v>
      </c>
      <c r="AF43" s="18"/>
      <c r="AG43" s="15" t="s">
        <v>120</v>
      </c>
      <c r="AH43" s="18"/>
      <c r="AI43" s="15" t="s">
        <v>120</v>
      </c>
      <c r="AJ43" s="18"/>
      <c r="AK43" s="15" t="s">
        <v>1145</v>
      </c>
      <c r="AL43" s="15" t="s">
        <v>129</v>
      </c>
      <c r="AM43" s="15" t="s">
        <v>124</v>
      </c>
      <c r="AN43" s="15" t="s">
        <v>128</v>
      </c>
      <c r="AO43" s="15" t="s">
        <v>156</v>
      </c>
      <c r="AP43" s="15"/>
    </row>
    <row r="44" ht="22.5" customHeight="1">
      <c r="A44" s="15" t="s">
        <v>1149</v>
      </c>
      <c r="B44" s="15" t="s">
        <v>1151</v>
      </c>
      <c r="C44" s="15" t="s">
        <v>1153</v>
      </c>
      <c r="D44" s="41">
        <v>38706.0</v>
      </c>
      <c r="E44" s="15" t="s">
        <v>98</v>
      </c>
      <c r="F44" s="15">
        <v>5.554669744E9</v>
      </c>
      <c r="G44" s="15" t="s">
        <v>1158</v>
      </c>
      <c r="H44" s="15" t="s">
        <v>150</v>
      </c>
      <c r="I44" s="49" t="s">
        <v>1159</v>
      </c>
      <c r="J44" s="15" t="s">
        <v>1160</v>
      </c>
      <c r="K44" s="15" t="s">
        <v>1162</v>
      </c>
      <c r="L44" s="20">
        <v>5.611593152E9</v>
      </c>
      <c r="M44" s="18"/>
      <c r="N44" s="18"/>
      <c r="O44" s="18"/>
      <c r="P44" s="20">
        <v>20.0</v>
      </c>
      <c r="Q44" s="22">
        <v>46031.76059027778</v>
      </c>
      <c r="R44" s="15" t="s">
        <v>107</v>
      </c>
      <c r="S44" s="15" t="s">
        <v>125</v>
      </c>
      <c r="T44" s="15" t="s">
        <v>127</v>
      </c>
      <c r="U44" s="15" t="s">
        <v>766</v>
      </c>
      <c r="V44" s="15" t="s">
        <v>767</v>
      </c>
      <c r="W44" s="15" t="s">
        <v>768</v>
      </c>
      <c r="X44" s="15" t="s">
        <v>120</v>
      </c>
      <c r="Y44" s="18"/>
      <c r="Z44" s="15" t="s">
        <v>117</v>
      </c>
      <c r="AA44" s="49" t="s">
        <v>1159</v>
      </c>
      <c r="AB44" s="15" t="s">
        <v>120</v>
      </c>
      <c r="AC44" s="18"/>
      <c r="AD44" s="18"/>
      <c r="AE44" s="15" t="s">
        <v>120</v>
      </c>
      <c r="AF44" s="18"/>
      <c r="AG44" s="15" t="s">
        <v>120</v>
      </c>
      <c r="AH44" s="18"/>
      <c r="AI44" s="15" t="s">
        <v>120</v>
      </c>
      <c r="AJ44" s="18"/>
      <c r="AK44" s="18"/>
      <c r="AL44" s="15" t="s">
        <v>156</v>
      </c>
      <c r="AM44" s="15" t="s">
        <v>129</v>
      </c>
      <c r="AN44" s="15" t="s">
        <v>240</v>
      </c>
      <c r="AO44" s="15" t="s">
        <v>124</v>
      </c>
      <c r="AP44" s="15"/>
    </row>
    <row r="45" ht="22.5" customHeight="1">
      <c r="A45" s="15" t="s">
        <v>1183</v>
      </c>
      <c r="B45" s="15" t="s">
        <v>1185</v>
      </c>
      <c r="C45" s="15" t="s">
        <v>1187</v>
      </c>
      <c r="D45" s="41">
        <v>37994.0</v>
      </c>
      <c r="E45" s="15" t="s">
        <v>177</v>
      </c>
      <c r="F45" s="15">
        <v>7.44295339E9</v>
      </c>
      <c r="G45" s="15" t="s">
        <v>1189</v>
      </c>
      <c r="H45" s="15" t="s">
        <v>101</v>
      </c>
      <c r="I45" s="49" t="s">
        <v>1191</v>
      </c>
      <c r="J45" s="15" t="s">
        <v>1194</v>
      </c>
      <c r="K45" s="15" t="s">
        <v>1195</v>
      </c>
      <c r="L45" s="20">
        <v>7.441656366E9</v>
      </c>
      <c r="M45" s="18"/>
      <c r="N45" s="18"/>
      <c r="O45" s="18"/>
      <c r="P45" s="20">
        <v>22.0</v>
      </c>
      <c r="Q45" s="22">
        <v>46033.462534722225</v>
      </c>
      <c r="R45" s="15" t="s">
        <v>107</v>
      </c>
      <c r="S45" s="15" t="s">
        <v>125</v>
      </c>
      <c r="T45" s="15" t="s">
        <v>1200</v>
      </c>
      <c r="U45" s="15" t="s">
        <v>1201</v>
      </c>
      <c r="V45" s="15" t="s">
        <v>1203</v>
      </c>
      <c r="W45" s="15" t="s">
        <v>1204</v>
      </c>
      <c r="X45" s="15" t="s">
        <v>120</v>
      </c>
      <c r="Y45" s="18"/>
      <c r="Z45" s="15" t="s">
        <v>117</v>
      </c>
      <c r="AA45" s="49" t="s">
        <v>1191</v>
      </c>
      <c r="AB45" s="15" t="s">
        <v>120</v>
      </c>
      <c r="AC45" s="18"/>
      <c r="AD45" s="18"/>
      <c r="AE45" s="15" t="s">
        <v>120</v>
      </c>
      <c r="AF45" s="18"/>
      <c r="AG45" s="15" t="s">
        <v>120</v>
      </c>
      <c r="AH45" s="18"/>
      <c r="AI45" s="15" t="s">
        <v>120</v>
      </c>
      <c r="AJ45" s="18"/>
      <c r="AK45" s="18"/>
      <c r="AL45" s="15" t="s">
        <v>156</v>
      </c>
      <c r="AM45" s="15" t="s">
        <v>124</v>
      </c>
      <c r="AN45" s="15" t="s">
        <v>129</v>
      </c>
      <c r="AO45" s="15" t="s">
        <v>126</v>
      </c>
      <c r="AP45" s="15"/>
    </row>
    <row r="46" ht="22.5" customHeight="1">
      <c r="A46" s="15" t="s">
        <v>1213</v>
      </c>
      <c r="B46" s="15" t="s">
        <v>1214</v>
      </c>
      <c r="C46" s="15" t="s">
        <v>1215</v>
      </c>
      <c r="D46" s="41">
        <v>37968.0</v>
      </c>
      <c r="E46" s="15" t="s">
        <v>98</v>
      </c>
      <c r="F46" s="15">
        <v>5.512146309E9</v>
      </c>
      <c r="G46" s="15" t="s">
        <v>1217</v>
      </c>
      <c r="H46" s="15" t="s">
        <v>101</v>
      </c>
      <c r="I46" s="49" t="s">
        <v>1218</v>
      </c>
      <c r="J46" s="15" t="s">
        <v>1220</v>
      </c>
      <c r="K46" s="15" t="s">
        <v>1222</v>
      </c>
      <c r="L46" s="20">
        <v>5.537170486E9</v>
      </c>
      <c r="M46" s="18"/>
      <c r="N46" s="18"/>
      <c r="O46" s="18"/>
      <c r="P46" s="20">
        <v>22.0</v>
      </c>
      <c r="Q46" s="22">
        <v>46025.944606481484</v>
      </c>
      <c r="R46" s="15" t="s">
        <v>107</v>
      </c>
      <c r="S46" s="15" t="s">
        <v>125</v>
      </c>
      <c r="T46" s="15" t="s">
        <v>171</v>
      </c>
      <c r="U46" s="15" t="s">
        <v>526</v>
      </c>
      <c r="V46" s="15" t="s">
        <v>527</v>
      </c>
      <c r="W46" s="15" t="s">
        <v>528</v>
      </c>
      <c r="X46" s="15" t="s">
        <v>120</v>
      </c>
      <c r="Y46" s="18"/>
      <c r="Z46" s="15" t="s">
        <v>117</v>
      </c>
      <c r="AA46" s="49" t="s">
        <v>1218</v>
      </c>
      <c r="AB46" s="15" t="s">
        <v>120</v>
      </c>
      <c r="AC46" s="15" t="s">
        <v>120</v>
      </c>
      <c r="AD46" s="18"/>
      <c r="AE46" s="15" t="s">
        <v>120</v>
      </c>
      <c r="AF46" s="18"/>
      <c r="AG46" s="15" t="s">
        <v>120</v>
      </c>
      <c r="AH46" s="18"/>
      <c r="AI46" s="15" t="s">
        <v>120</v>
      </c>
      <c r="AJ46" s="18"/>
      <c r="AK46" s="15" t="s">
        <v>1238</v>
      </c>
      <c r="AL46" s="15" t="s">
        <v>141</v>
      </c>
      <c r="AM46" s="15" t="s">
        <v>138</v>
      </c>
      <c r="AN46" s="15" t="s">
        <v>128</v>
      </c>
      <c r="AO46" s="15" t="s">
        <v>156</v>
      </c>
      <c r="AP46" s="15"/>
    </row>
    <row r="47" ht="22.5" customHeight="1">
      <c r="A47" s="15" t="s">
        <v>1240</v>
      </c>
      <c r="B47" s="15" t="s">
        <v>1241</v>
      </c>
      <c r="C47" s="15" t="s">
        <v>1242</v>
      </c>
      <c r="D47" s="41">
        <v>38891.0</v>
      </c>
      <c r="E47" s="15" t="s">
        <v>177</v>
      </c>
      <c r="F47" s="15">
        <v>7.343305539E9</v>
      </c>
      <c r="G47" s="15" t="s">
        <v>1244</v>
      </c>
      <c r="H47" s="15" t="s">
        <v>101</v>
      </c>
      <c r="I47" s="15" t="s">
        <v>135</v>
      </c>
      <c r="J47" s="15" t="s">
        <v>1246</v>
      </c>
      <c r="K47" s="15" t="s">
        <v>1248</v>
      </c>
      <c r="L47" s="20">
        <v>7.774449065E9</v>
      </c>
      <c r="M47" s="18"/>
      <c r="N47" s="18"/>
      <c r="O47" s="18"/>
      <c r="P47" s="20">
        <v>19.0</v>
      </c>
      <c r="Q47" s="22">
        <v>46040.95711805556</v>
      </c>
      <c r="R47" s="15" t="s">
        <v>260</v>
      </c>
      <c r="S47" s="15" t="s">
        <v>125</v>
      </c>
      <c r="T47" s="15" t="s">
        <v>1022</v>
      </c>
      <c r="U47" s="15" t="s">
        <v>1254</v>
      </c>
      <c r="V47" s="15" t="s">
        <v>1255</v>
      </c>
      <c r="W47" s="15" t="s">
        <v>1256</v>
      </c>
      <c r="X47" s="15" t="s">
        <v>120</v>
      </c>
      <c r="Y47" s="18"/>
      <c r="Z47" s="15" t="s">
        <v>117</v>
      </c>
      <c r="AA47" s="58" t="s">
        <v>285</v>
      </c>
      <c r="AB47" s="15" t="s">
        <v>120</v>
      </c>
      <c r="AC47" s="18"/>
      <c r="AD47" s="15" t="s">
        <v>135</v>
      </c>
      <c r="AE47" s="15" t="s">
        <v>120</v>
      </c>
      <c r="AF47" s="18"/>
      <c r="AG47" s="15" t="s">
        <v>120</v>
      </c>
      <c r="AH47" s="18"/>
      <c r="AI47" s="15" t="s">
        <v>120</v>
      </c>
      <c r="AJ47" s="18"/>
      <c r="AK47" s="18"/>
      <c r="AL47" s="15" t="s">
        <v>129</v>
      </c>
      <c r="AM47" s="15" t="s">
        <v>138</v>
      </c>
      <c r="AN47" s="15" t="s">
        <v>138</v>
      </c>
      <c r="AO47" s="15" t="s">
        <v>128</v>
      </c>
      <c r="AP47" s="15"/>
    </row>
    <row r="48" ht="22.5" customHeight="1">
      <c r="A48" s="15" t="s">
        <v>1126</v>
      </c>
      <c r="B48" s="15" t="s">
        <v>1264</v>
      </c>
      <c r="C48" s="15" t="s">
        <v>1266</v>
      </c>
      <c r="D48" s="41">
        <v>38812.0</v>
      </c>
      <c r="E48" s="15" t="s">
        <v>98</v>
      </c>
      <c r="F48" s="15">
        <v>5.541378658E9</v>
      </c>
      <c r="G48" s="15" t="s">
        <v>1269</v>
      </c>
      <c r="H48" s="15" t="s">
        <v>140</v>
      </c>
      <c r="I48" s="15" t="s">
        <v>135</v>
      </c>
      <c r="J48" s="15" t="s">
        <v>1270</v>
      </c>
      <c r="K48" s="15" t="s">
        <v>1271</v>
      </c>
      <c r="L48" s="20">
        <v>5.520697563E9</v>
      </c>
      <c r="M48" s="18"/>
      <c r="N48" s="18"/>
      <c r="O48" s="18"/>
      <c r="P48" s="20">
        <v>19.0</v>
      </c>
      <c r="Q48" s="22">
        <v>45976.79461805556</v>
      </c>
      <c r="R48" s="15" t="s">
        <v>107</v>
      </c>
      <c r="S48" s="15" t="s">
        <v>125</v>
      </c>
      <c r="T48" s="15" t="s">
        <v>1275</v>
      </c>
      <c r="U48" s="15" t="s">
        <v>1277</v>
      </c>
      <c r="V48" s="15" t="s">
        <v>1278</v>
      </c>
      <c r="W48" s="15" t="s">
        <v>1280</v>
      </c>
      <c r="X48" s="15" t="s">
        <v>120</v>
      </c>
      <c r="Y48" s="15" t="s">
        <v>1284</v>
      </c>
      <c r="Z48" s="15" t="s">
        <v>117</v>
      </c>
      <c r="AA48" s="15" t="s">
        <v>120</v>
      </c>
      <c r="AB48" s="15" t="s">
        <v>117</v>
      </c>
      <c r="AC48" s="15" t="s">
        <v>117</v>
      </c>
      <c r="AD48" s="15" t="s">
        <v>120</v>
      </c>
      <c r="AE48" s="15" t="s">
        <v>117</v>
      </c>
      <c r="AF48" s="15" t="s">
        <v>120</v>
      </c>
      <c r="AG48" s="15" t="s">
        <v>117</v>
      </c>
      <c r="AH48" s="15" t="s">
        <v>120</v>
      </c>
      <c r="AI48" s="15" t="s">
        <v>117</v>
      </c>
      <c r="AJ48" s="15" t="s">
        <v>120</v>
      </c>
      <c r="AK48" s="15" t="s">
        <v>120</v>
      </c>
      <c r="AL48" s="15" t="s">
        <v>141</v>
      </c>
      <c r="AM48" s="15" t="s">
        <v>242</v>
      </c>
      <c r="AN48" s="15" t="s">
        <v>156</v>
      </c>
      <c r="AO48" s="15" t="s">
        <v>216</v>
      </c>
      <c r="AP48" s="15"/>
    </row>
    <row r="49" ht="22.5" customHeight="1">
      <c r="A49" s="15" t="s">
        <v>1288</v>
      </c>
      <c r="B49" s="15" t="s">
        <v>1289</v>
      </c>
      <c r="C49" s="15" t="s">
        <v>1291</v>
      </c>
      <c r="D49" s="41">
        <v>33865.0</v>
      </c>
      <c r="E49" s="15" t="s">
        <v>98</v>
      </c>
      <c r="F49" s="15">
        <v>5.64338495E9</v>
      </c>
      <c r="G49" s="15" t="s">
        <v>1293</v>
      </c>
      <c r="H49" s="15" t="s">
        <v>101</v>
      </c>
      <c r="I49" s="15" t="s">
        <v>1295</v>
      </c>
      <c r="J49" s="15" t="s">
        <v>1296</v>
      </c>
      <c r="K49" s="15" t="s">
        <v>1293</v>
      </c>
      <c r="L49" s="20">
        <v>5.56428089E9</v>
      </c>
      <c r="M49" s="18"/>
      <c r="N49" s="18"/>
      <c r="O49" s="18"/>
      <c r="P49" s="20">
        <v>33.0</v>
      </c>
      <c r="Q49" s="22">
        <v>46039.57518518518</v>
      </c>
      <c r="R49" s="15" t="s">
        <v>107</v>
      </c>
      <c r="S49" s="15" t="s">
        <v>125</v>
      </c>
      <c r="T49" s="15" t="s">
        <v>204</v>
      </c>
      <c r="U49" s="15" t="s">
        <v>205</v>
      </c>
      <c r="V49" s="15" t="s">
        <v>206</v>
      </c>
      <c r="W49" s="15" t="s">
        <v>207</v>
      </c>
      <c r="X49" s="15" t="s">
        <v>120</v>
      </c>
      <c r="Y49" s="18"/>
      <c r="Z49" s="15" t="s">
        <v>120</v>
      </c>
      <c r="AA49" s="18"/>
      <c r="AB49" s="15" t="s">
        <v>120</v>
      </c>
      <c r="AC49" s="18"/>
      <c r="AD49" s="18"/>
      <c r="AE49" s="15" t="s">
        <v>120</v>
      </c>
      <c r="AF49" s="18"/>
      <c r="AG49" s="15" t="s">
        <v>120</v>
      </c>
      <c r="AH49" s="18"/>
      <c r="AI49" s="15" t="s">
        <v>120</v>
      </c>
      <c r="AJ49" s="18"/>
      <c r="AK49" s="18"/>
      <c r="AL49" s="15" t="s">
        <v>138</v>
      </c>
      <c r="AM49" s="15" t="s">
        <v>126</v>
      </c>
      <c r="AN49" s="15" t="s">
        <v>242</v>
      </c>
      <c r="AO49" s="15" t="s">
        <v>156</v>
      </c>
      <c r="AP49" s="15"/>
    </row>
    <row r="50" ht="22.5" customHeight="1">
      <c r="A50" s="15" t="s">
        <v>1312</v>
      </c>
      <c r="B50" s="15" t="s">
        <v>1313</v>
      </c>
      <c r="C50" s="15" t="s">
        <v>1314</v>
      </c>
      <c r="D50" s="41">
        <v>38267.0</v>
      </c>
      <c r="E50" s="15" t="s">
        <v>98</v>
      </c>
      <c r="F50" s="15">
        <v>9.621162944E9</v>
      </c>
      <c r="G50" s="15" t="s">
        <v>1322</v>
      </c>
      <c r="H50" s="15" t="s">
        <v>101</v>
      </c>
      <c r="I50" s="15" t="s">
        <v>1325</v>
      </c>
      <c r="J50" s="15" t="s">
        <v>1326</v>
      </c>
      <c r="K50" s="15" t="s">
        <v>1327</v>
      </c>
      <c r="L50" s="20" t="s">
        <v>1329</v>
      </c>
      <c r="M50" s="18"/>
      <c r="N50" s="18"/>
      <c r="O50" s="18"/>
      <c r="P50" s="20">
        <v>21.0</v>
      </c>
      <c r="Q50" s="22">
        <v>46028.59715277778</v>
      </c>
      <c r="R50" s="15" t="s">
        <v>107</v>
      </c>
      <c r="S50" s="15" t="s">
        <v>125</v>
      </c>
      <c r="T50" s="15" t="s">
        <v>204</v>
      </c>
      <c r="U50" s="15" t="s">
        <v>367</v>
      </c>
      <c r="V50" s="15" t="s">
        <v>368</v>
      </c>
      <c r="W50" s="15" t="s">
        <v>369</v>
      </c>
      <c r="X50" s="15" t="s">
        <v>120</v>
      </c>
      <c r="Y50" s="18"/>
      <c r="Z50" s="15" t="s">
        <v>117</v>
      </c>
      <c r="AA50" s="58" t="s">
        <v>1340</v>
      </c>
      <c r="AB50" s="15" t="s">
        <v>120</v>
      </c>
      <c r="AC50" s="18"/>
      <c r="AD50" s="18"/>
      <c r="AE50" s="15" t="s">
        <v>120</v>
      </c>
      <c r="AF50" s="18"/>
      <c r="AG50" s="15" t="s">
        <v>120</v>
      </c>
      <c r="AH50" s="18"/>
      <c r="AI50" s="15" t="s">
        <v>120</v>
      </c>
      <c r="AJ50" s="18"/>
      <c r="AK50" s="18"/>
      <c r="AL50" s="15" t="s">
        <v>242</v>
      </c>
      <c r="AM50" s="15" t="s">
        <v>124</v>
      </c>
      <c r="AN50" s="15" t="s">
        <v>138</v>
      </c>
      <c r="AO50" s="15" t="s">
        <v>129</v>
      </c>
      <c r="AP50" s="15"/>
    </row>
    <row r="51" ht="22.5" customHeight="1">
      <c r="A51" s="15" t="s">
        <v>1354</v>
      </c>
      <c r="B51" s="15" t="s">
        <v>1355</v>
      </c>
      <c r="C51" s="15" t="s">
        <v>1356</v>
      </c>
      <c r="D51" s="41">
        <v>35850.0</v>
      </c>
      <c r="E51" s="15" t="s">
        <v>98</v>
      </c>
      <c r="F51" s="15">
        <v>5.521021259E9</v>
      </c>
      <c r="G51" s="15" t="s">
        <v>1358</v>
      </c>
      <c r="H51" s="15" t="s">
        <v>150</v>
      </c>
      <c r="I51" s="15" t="s">
        <v>1325</v>
      </c>
      <c r="J51" s="15" t="s">
        <v>1359</v>
      </c>
      <c r="K51" s="15" t="s">
        <v>1361</v>
      </c>
      <c r="L51" s="20">
        <v>5.517054631E9</v>
      </c>
      <c r="M51" s="18"/>
      <c r="N51" s="18"/>
      <c r="O51" s="18"/>
      <c r="P51" s="20">
        <v>28.0</v>
      </c>
      <c r="Q51" s="22">
        <v>45989.69033564815</v>
      </c>
      <c r="R51" s="15" t="s">
        <v>107</v>
      </c>
      <c r="S51" s="15" t="s">
        <v>125</v>
      </c>
      <c r="T51" s="15" t="s">
        <v>548</v>
      </c>
      <c r="U51" s="15" t="s">
        <v>1370</v>
      </c>
      <c r="V51" s="15" t="s">
        <v>1372</v>
      </c>
      <c r="W51" s="15" t="s">
        <v>1374</v>
      </c>
      <c r="X51" s="15" t="s">
        <v>120</v>
      </c>
      <c r="Y51" s="18"/>
      <c r="Z51" s="15" t="s">
        <v>120</v>
      </c>
      <c r="AA51" s="18"/>
      <c r="AB51" s="15" t="s">
        <v>117</v>
      </c>
      <c r="AC51" s="15" t="s">
        <v>117</v>
      </c>
      <c r="AD51" s="15" t="s">
        <v>1384</v>
      </c>
      <c r="AE51" s="15" t="s">
        <v>117</v>
      </c>
      <c r="AF51" s="15" t="s">
        <v>1388</v>
      </c>
      <c r="AG51" s="15" t="s">
        <v>120</v>
      </c>
      <c r="AH51" s="18"/>
      <c r="AI51" s="15" t="s">
        <v>117</v>
      </c>
      <c r="AJ51" s="15" t="s">
        <v>1392</v>
      </c>
      <c r="AK51" s="15" t="s">
        <v>1325</v>
      </c>
      <c r="AL51" s="15" t="s">
        <v>138</v>
      </c>
      <c r="AM51" s="15" t="s">
        <v>242</v>
      </c>
      <c r="AN51" s="15" t="s">
        <v>141</v>
      </c>
      <c r="AO51" s="15" t="s">
        <v>124</v>
      </c>
      <c r="AP51" s="15"/>
    </row>
    <row r="52" ht="22.5" customHeight="1">
      <c r="A52" s="15" t="s">
        <v>1393</v>
      </c>
      <c r="B52" s="15" t="s">
        <v>1394</v>
      </c>
      <c r="C52" s="15" t="s">
        <v>1395</v>
      </c>
      <c r="D52" s="41">
        <v>38238.0</v>
      </c>
      <c r="E52" s="15" t="s">
        <v>98</v>
      </c>
      <c r="F52" s="15">
        <v>5.65915819E9</v>
      </c>
      <c r="G52" s="15" t="s">
        <v>1397</v>
      </c>
      <c r="H52" s="15" t="s">
        <v>140</v>
      </c>
      <c r="I52" s="15" t="s">
        <v>1325</v>
      </c>
      <c r="J52" s="15" t="s">
        <v>1400</v>
      </c>
      <c r="K52" s="15" t="s">
        <v>1401</v>
      </c>
      <c r="L52" s="20">
        <v>5.584107482E9</v>
      </c>
      <c r="M52" s="18"/>
      <c r="N52" s="18"/>
      <c r="O52" s="18"/>
      <c r="P52" s="20">
        <v>21.0</v>
      </c>
      <c r="Q52" s="22">
        <v>46040.602488425924</v>
      </c>
      <c r="R52" s="15" t="s">
        <v>231</v>
      </c>
      <c r="S52" s="15" t="s">
        <v>125</v>
      </c>
      <c r="T52" s="15" t="s">
        <v>192</v>
      </c>
      <c r="U52" s="15" t="s">
        <v>485</v>
      </c>
      <c r="V52" s="15" t="s">
        <v>486</v>
      </c>
      <c r="W52" s="15" t="s">
        <v>487</v>
      </c>
      <c r="X52" s="15" t="s">
        <v>120</v>
      </c>
      <c r="Y52" s="18"/>
      <c r="Z52" s="15" t="s">
        <v>117</v>
      </c>
      <c r="AA52" s="52" t="s">
        <v>1406</v>
      </c>
      <c r="AB52" s="15" t="s">
        <v>117</v>
      </c>
      <c r="AC52" s="15" t="s">
        <v>117</v>
      </c>
      <c r="AD52" s="15" t="s">
        <v>1409</v>
      </c>
      <c r="AE52" s="15" t="s">
        <v>117</v>
      </c>
      <c r="AF52" s="15" t="s">
        <v>1412</v>
      </c>
      <c r="AG52" s="15" t="s">
        <v>120</v>
      </c>
      <c r="AH52" s="18"/>
      <c r="AI52" s="15" t="s">
        <v>120</v>
      </c>
      <c r="AJ52" s="18"/>
      <c r="AK52" s="18"/>
      <c r="AL52" s="15" t="s">
        <v>128</v>
      </c>
      <c r="AM52" s="15" t="s">
        <v>216</v>
      </c>
      <c r="AN52" s="15" t="s">
        <v>156</v>
      </c>
      <c r="AO52" s="15" t="s">
        <v>138</v>
      </c>
      <c r="AP52" s="15"/>
    </row>
    <row r="53" ht="22.5" customHeight="1">
      <c r="A53" s="15" t="s">
        <v>1423</v>
      </c>
      <c r="B53" s="15" t="s">
        <v>1425</v>
      </c>
      <c r="C53" s="15" t="s">
        <v>1427</v>
      </c>
      <c r="D53" s="41">
        <v>37152.0</v>
      </c>
      <c r="E53" s="15" t="s">
        <v>177</v>
      </c>
      <c r="F53" s="15">
        <v>5.528120714E9</v>
      </c>
      <c r="G53" s="15" t="s">
        <v>1428</v>
      </c>
      <c r="H53" s="15" t="s">
        <v>150</v>
      </c>
      <c r="I53" s="18"/>
      <c r="J53" s="15" t="s">
        <v>1430</v>
      </c>
      <c r="K53" s="15" t="s">
        <v>1431</v>
      </c>
      <c r="L53" s="20" t="s">
        <v>1432</v>
      </c>
      <c r="M53" s="18"/>
      <c r="N53" s="18"/>
      <c r="O53" s="18"/>
      <c r="P53" s="20">
        <v>24.0</v>
      </c>
      <c r="Q53" s="22">
        <v>46036.60369212963</v>
      </c>
      <c r="R53" s="15" t="s">
        <v>107</v>
      </c>
      <c r="S53" s="15" t="s">
        <v>125</v>
      </c>
      <c r="T53" s="15" t="s">
        <v>204</v>
      </c>
      <c r="U53" s="15" t="s">
        <v>311</v>
      </c>
      <c r="V53" s="15" t="s">
        <v>312</v>
      </c>
      <c r="W53" s="15" t="s">
        <v>313</v>
      </c>
      <c r="X53" s="15" t="s">
        <v>120</v>
      </c>
      <c r="Y53" s="18"/>
      <c r="Z53" s="15" t="s">
        <v>120</v>
      </c>
      <c r="AA53" s="18"/>
      <c r="AB53" s="15" t="s">
        <v>120</v>
      </c>
      <c r="AC53" s="18"/>
      <c r="AD53" s="18"/>
      <c r="AE53" s="15" t="s">
        <v>120</v>
      </c>
      <c r="AF53" s="18"/>
      <c r="AG53" s="15" t="s">
        <v>120</v>
      </c>
      <c r="AH53" s="18"/>
      <c r="AI53" s="15" t="s">
        <v>120</v>
      </c>
      <c r="AJ53" s="18"/>
      <c r="AK53" s="15" t="s">
        <v>1449</v>
      </c>
      <c r="AL53" s="15" t="s">
        <v>128</v>
      </c>
      <c r="AM53" s="15" t="s">
        <v>242</v>
      </c>
      <c r="AN53" s="15" t="s">
        <v>156</v>
      </c>
      <c r="AO53" s="15" t="s">
        <v>216</v>
      </c>
      <c r="AP53" s="15"/>
    </row>
    <row r="54" ht="22.5" customHeight="1">
      <c r="A54" s="15" t="s">
        <v>451</v>
      </c>
      <c r="B54" s="15" t="s">
        <v>1454</v>
      </c>
      <c r="C54" s="15" t="s">
        <v>1455</v>
      </c>
      <c r="D54" s="41">
        <v>37992.0</v>
      </c>
      <c r="E54" s="15" t="s">
        <v>98</v>
      </c>
      <c r="F54" s="15">
        <v>7.445080133E9</v>
      </c>
      <c r="G54" s="15" t="s">
        <v>1456</v>
      </c>
      <c r="H54" s="15" t="s">
        <v>140</v>
      </c>
      <c r="I54" s="18"/>
      <c r="J54" s="15" t="s">
        <v>1458</v>
      </c>
      <c r="K54" s="15" t="s">
        <v>1459</v>
      </c>
      <c r="L54" s="20">
        <v>7.444657468E9</v>
      </c>
      <c r="M54" s="18"/>
      <c r="N54" s="18"/>
      <c r="O54" s="18"/>
      <c r="P54" s="20">
        <v>22.0</v>
      </c>
      <c r="Q54" s="22">
        <v>46033.475810185184</v>
      </c>
      <c r="R54" s="15" t="s">
        <v>546</v>
      </c>
      <c r="S54" s="15" t="s">
        <v>125</v>
      </c>
      <c r="T54" s="15" t="s">
        <v>1200</v>
      </c>
      <c r="U54" s="15" t="s">
        <v>1471</v>
      </c>
      <c r="V54" s="15" t="s">
        <v>1472</v>
      </c>
      <c r="W54" s="15" t="s">
        <v>1473</v>
      </c>
      <c r="X54" s="15" t="s">
        <v>120</v>
      </c>
      <c r="Y54" s="18"/>
      <c r="Z54" s="15" t="s">
        <v>120</v>
      </c>
      <c r="AA54" s="18"/>
      <c r="AB54" s="15" t="s">
        <v>120</v>
      </c>
      <c r="AC54" s="18"/>
      <c r="AD54" s="18"/>
      <c r="AE54" s="15" t="s">
        <v>120</v>
      </c>
      <c r="AF54" s="18"/>
      <c r="AG54" s="15" t="s">
        <v>120</v>
      </c>
      <c r="AH54" s="18"/>
      <c r="AI54" s="15" t="s">
        <v>120</v>
      </c>
      <c r="AJ54" s="18"/>
      <c r="AK54" s="18"/>
      <c r="AL54" s="15" t="s">
        <v>138</v>
      </c>
      <c r="AM54" s="15" t="s">
        <v>185</v>
      </c>
      <c r="AN54" s="15" t="s">
        <v>240</v>
      </c>
      <c r="AO54" s="15" t="s">
        <v>124</v>
      </c>
      <c r="AP54" s="15"/>
    </row>
    <row r="55" ht="22.5" customHeight="1">
      <c r="A55" s="15" t="s">
        <v>1487</v>
      </c>
      <c r="B55" s="15" t="s">
        <v>1489</v>
      </c>
      <c r="C55" s="15" t="s">
        <v>1491</v>
      </c>
      <c r="D55" s="41">
        <v>38030.0</v>
      </c>
      <c r="E55" s="15" t="s">
        <v>98</v>
      </c>
      <c r="F55" s="15">
        <v>5.614310353E9</v>
      </c>
      <c r="G55" s="15" t="s">
        <v>1496</v>
      </c>
      <c r="H55" s="15" t="s">
        <v>101</v>
      </c>
      <c r="I55" s="18"/>
      <c r="J55" s="15" t="s">
        <v>1497</v>
      </c>
      <c r="K55" s="15" t="s">
        <v>1498</v>
      </c>
      <c r="L55" s="20">
        <v>5.614591454E9</v>
      </c>
      <c r="M55" s="18"/>
      <c r="N55" s="18"/>
      <c r="O55" s="18"/>
      <c r="P55" s="20">
        <v>22.0</v>
      </c>
      <c r="Q55" s="22">
        <v>46040.98121527778</v>
      </c>
      <c r="R55" s="15" t="s">
        <v>231</v>
      </c>
      <c r="S55" s="15" t="s">
        <v>125</v>
      </c>
      <c r="T55" s="15" t="s">
        <v>111</v>
      </c>
      <c r="U55" s="15" t="s">
        <v>112</v>
      </c>
      <c r="V55" s="15" t="s">
        <v>114</v>
      </c>
      <c r="W55" s="15" t="s">
        <v>115</v>
      </c>
      <c r="X55" s="15" t="s">
        <v>120</v>
      </c>
      <c r="Y55" s="18"/>
      <c r="Z55" s="15" t="s">
        <v>120</v>
      </c>
      <c r="AA55" s="18"/>
      <c r="AB55" s="15" t="s">
        <v>120</v>
      </c>
      <c r="AC55" s="15" t="s">
        <v>117</v>
      </c>
      <c r="AD55" s="18"/>
      <c r="AE55" s="15" t="s">
        <v>120</v>
      </c>
      <c r="AF55" s="18"/>
      <c r="AG55" s="15" t="s">
        <v>120</v>
      </c>
      <c r="AH55" s="18"/>
      <c r="AI55" s="15" t="s">
        <v>120</v>
      </c>
      <c r="AJ55" s="18"/>
      <c r="AK55" s="18"/>
      <c r="AL55" s="15" t="s">
        <v>156</v>
      </c>
      <c r="AM55" s="15" t="s">
        <v>124</v>
      </c>
      <c r="AN55" s="15" t="s">
        <v>128</v>
      </c>
      <c r="AO55" s="15" t="s">
        <v>240</v>
      </c>
      <c r="AP55" s="15"/>
    </row>
    <row r="56" ht="22.5" customHeight="1">
      <c r="A56" s="15" t="s">
        <v>1505</v>
      </c>
      <c r="B56" s="15" t="s">
        <v>1507</v>
      </c>
      <c r="C56" s="15" t="s">
        <v>1508</v>
      </c>
      <c r="D56" s="41">
        <v>38300.0</v>
      </c>
      <c r="E56" s="15" t="s">
        <v>98</v>
      </c>
      <c r="F56" s="15">
        <v>5.571496431E9</v>
      </c>
      <c r="G56" s="15" t="s">
        <v>1509</v>
      </c>
      <c r="H56" s="15" t="s">
        <v>101</v>
      </c>
      <c r="I56" s="18"/>
      <c r="J56" s="15" t="s">
        <v>1511</v>
      </c>
      <c r="K56" s="15" t="s">
        <v>1512</v>
      </c>
      <c r="L56" s="77">
        <f>+525611656899</f>
        <v>525611656899</v>
      </c>
      <c r="M56" s="18"/>
      <c r="N56" s="18"/>
      <c r="O56" s="18"/>
      <c r="P56" s="20">
        <v>21.0</v>
      </c>
      <c r="Q56" s="22">
        <v>46033.51320601852</v>
      </c>
      <c r="R56" s="15" t="s">
        <v>107</v>
      </c>
      <c r="S56" s="15" t="s">
        <v>125</v>
      </c>
      <c r="T56" s="15" t="s">
        <v>160</v>
      </c>
      <c r="U56" s="15" t="s">
        <v>161</v>
      </c>
      <c r="V56" s="15" t="s">
        <v>163</v>
      </c>
      <c r="W56" s="15" t="s">
        <v>165</v>
      </c>
      <c r="X56" s="15" t="s">
        <v>120</v>
      </c>
      <c r="Y56" s="15" t="s">
        <v>135</v>
      </c>
      <c r="Z56" s="15" t="s">
        <v>117</v>
      </c>
      <c r="AA56" s="52" t="s">
        <v>1525</v>
      </c>
      <c r="AB56" s="15" t="s">
        <v>120</v>
      </c>
      <c r="AC56" s="15" t="s">
        <v>120</v>
      </c>
      <c r="AD56" s="18"/>
      <c r="AE56" s="15" t="s">
        <v>120</v>
      </c>
      <c r="AF56" s="18"/>
      <c r="AG56" s="15" t="s">
        <v>120</v>
      </c>
      <c r="AH56" s="18"/>
      <c r="AI56" s="15" t="s">
        <v>120</v>
      </c>
      <c r="AJ56" s="18"/>
      <c r="AK56" s="18"/>
      <c r="AL56" s="15" t="s">
        <v>141</v>
      </c>
      <c r="AM56" s="15" t="s">
        <v>242</v>
      </c>
      <c r="AN56" s="15" t="s">
        <v>156</v>
      </c>
      <c r="AO56" s="15" t="s">
        <v>185</v>
      </c>
      <c r="AP56" s="15"/>
    </row>
    <row r="57" ht="22.5" customHeight="1">
      <c r="A57" s="15" t="s">
        <v>1533</v>
      </c>
      <c r="B57" s="15" t="s">
        <v>1534</v>
      </c>
      <c r="C57" s="15" t="s">
        <v>1535</v>
      </c>
      <c r="D57" s="41">
        <v>34562.0</v>
      </c>
      <c r="E57" s="15" t="s">
        <v>98</v>
      </c>
      <c r="F57" s="15">
        <v>5.643141541E9</v>
      </c>
      <c r="G57" s="15" t="s">
        <v>1536</v>
      </c>
      <c r="H57" s="15" t="s">
        <v>101</v>
      </c>
      <c r="I57" s="15" t="s">
        <v>1537</v>
      </c>
      <c r="J57" s="15" t="s">
        <v>1538</v>
      </c>
      <c r="K57" s="15" t="s">
        <v>1539</v>
      </c>
      <c r="L57" s="20">
        <v>5.543604203E9</v>
      </c>
      <c r="M57" s="18"/>
      <c r="N57" s="18"/>
      <c r="O57" s="18"/>
      <c r="P57" s="20">
        <v>31.0</v>
      </c>
      <c r="Q57" s="22">
        <v>46039.85729166667</v>
      </c>
      <c r="R57" s="15" t="s">
        <v>107</v>
      </c>
      <c r="S57" s="15" t="s">
        <v>125</v>
      </c>
      <c r="T57" s="15" t="s">
        <v>171</v>
      </c>
      <c r="U57" s="15" t="s">
        <v>638</v>
      </c>
      <c r="V57" s="15" t="s">
        <v>639</v>
      </c>
      <c r="W57" s="15" t="s">
        <v>641</v>
      </c>
      <c r="X57" s="15" t="s">
        <v>120</v>
      </c>
      <c r="Y57" s="18"/>
      <c r="Z57" s="15" t="s">
        <v>120</v>
      </c>
      <c r="AA57" s="18"/>
      <c r="AB57" s="15" t="s">
        <v>120</v>
      </c>
      <c r="AC57" s="15" t="s">
        <v>120</v>
      </c>
      <c r="AD57" s="18"/>
      <c r="AE57" s="15" t="s">
        <v>120</v>
      </c>
      <c r="AF57" s="18"/>
      <c r="AG57" s="15" t="s">
        <v>120</v>
      </c>
      <c r="AH57" s="18"/>
      <c r="AI57" s="15" t="s">
        <v>120</v>
      </c>
      <c r="AJ57" s="18"/>
      <c r="AK57" s="18"/>
      <c r="AL57" s="15" t="s">
        <v>141</v>
      </c>
      <c r="AM57" s="15" t="s">
        <v>124</v>
      </c>
      <c r="AN57" s="15" t="s">
        <v>126</v>
      </c>
      <c r="AO57" s="15" t="s">
        <v>129</v>
      </c>
      <c r="AP57" s="15"/>
    </row>
    <row r="58" ht="22.5" customHeight="1">
      <c r="A58" s="15" t="s">
        <v>1548</v>
      </c>
      <c r="B58" s="15" t="s">
        <v>1550</v>
      </c>
      <c r="C58" s="15" t="s">
        <v>1552</v>
      </c>
      <c r="D58" s="41">
        <v>35240.0</v>
      </c>
      <c r="E58" s="15" t="s">
        <v>177</v>
      </c>
      <c r="F58" s="15">
        <v>5.618039054E9</v>
      </c>
      <c r="G58" s="15" t="s">
        <v>1555</v>
      </c>
      <c r="H58" s="15" t="s">
        <v>101</v>
      </c>
      <c r="I58" s="18"/>
      <c r="J58" s="15" t="s">
        <v>1559</v>
      </c>
      <c r="K58" s="15" t="s">
        <v>1560</v>
      </c>
      <c r="L58" s="20">
        <v>5.534614444E9</v>
      </c>
      <c r="M58" s="18"/>
      <c r="N58" s="18"/>
      <c r="O58" s="18"/>
      <c r="P58" s="20">
        <v>29.0</v>
      </c>
      <c r="Q58" s="22">
        <v>46047.96640046296</v>
      </c>
      <c r="R58" s="15" t="s">
        <v>107</v>
      </c>
      <c r="S58" s="15" t="s">
        <v>125</v>
      </c>
      <c r="T58" s="15" t="s">
        <v>204</v>
      </c>
      <c r="U58" s="15" t="s">
        <v>205</v>
      </c>
      <c r="V58" s="15" t="s">
        <v>206</v>
      </c>
      <c r="W58" s="15" t="s">
        <v>207</v>
      </c>
      <c r="X58" s="15" t="s">
        <v>120</v>
      </c>
      <c r="Y58" s="18"/>
      <c r="Z58" s="15" t="s">
        <v>120</v>
      </c>
      <c r="AA58" s="18"/>
      <c r="AB58" s="15" t="s">
        <v>120</v>
      </c>
      <c r="AC58" s="18"/>
      <c r="AD58" s="18"/>
      <c r="AE58" s="15" t="s">
        <v>120</v>
      </c>
      <c r="AF58" s="18"/>
      <c r="AG58" s="15" t="s">
        <v>120</v>
      </c>
      <c r="AH58" s="18"/>
      <c r="AI58" s="15" t="s">
        <v>120</v>
      </c>
      <c r="AJ58" s="18"/>
      <c r="AK58" s="18"/>
      <c r="AL58" s="15" t="s">
        <v>138</v>
      </c>
      <c r="AM58" s="15" t="s">
        <v>242</v>
      </c>
      <c r="AN58" s="15" t="s">
        <v>216</v>
      </c>
      <c r="AO58" s="15" t="s">
        <v>185</v>
      </c>
      <c r="AP58" s="15"/>
    </row>
    <row r="59" ht="22.5" customHeight="1">
      <c r="A59" s="15" t="s">
        <v>1567</v>
      </c>
      <c r="B59" s="15" t="s">
        <v>1568</v>
      </c>
      <c r="C59" s="15" t="s">
        <v>1569</v>
      </c>
      <c r="D59" s="41">
        <v>37286.0</v>
      </c>
      <c r="E59" s="15" t="s">
        <v>98</v>
      </c>
      <c r="F59" s="15">
        <v>5.652432265E9</v>
      </c>
      <c r="G59" s="15" t="s">
        <v>1570</v>
      </c>
      <c r="H59" s="15" t="s">
        <v>110</v>
      </c>
      <c r="I59" s="18"/>
      <c r="J59" s="15" t="s">
        <v>1571</v>
      </c>
      <c r="K59" s="15" t="s">
        <v>1573</v>
      </c>
      <c r="L59" s="20">
        <v>5.524065879E9</v>
      </c>
      <c r="M59" s="18"/>
      <c r="N59" s="18"/>
      <c r="O59" s="18"/>
      <c r="P59" s="20">
        <v>24.0</v>
      </c>
      <c r="Q59" s="22">
        <v>46026.403078703705</v>
      </c>
      <c r="R59" s="15" t="s">
        <v>107</v>
      </c>
      <c r="S59" s="15" t="s">
        <v>125</v>
      </c>
      <c r="T59" s="15" t="s">
        <v>208</v>
      </c>
      <c r="U59" s="15" t="s">
        <v>428</v>
      </c>
      <c r="V59" s="15" t="s">
        <v>429</v>
      </c>
      <c r="W59" s="15" t="s">
        <v>430</v>
      </c>
      <c r="X59" s="15" t="s">
        <v>120</v>
      </c>
      <c r="Y59" s="18"/>
      <c r="Z59" s="15" t="s">
        <v>117</v>
      </c>
      <c r="AA59" s="52" t="s">
        <v>1582</v>
      </c>
      <c r="AB59" s="15" t="s">
        <v>120</v>
      </c>
      <c r="AC59" s="18"/>
      <c r="AD59" s="18"/>
      <c r="AE59" s="15" t="s">
        <v>117</v>
      </c>
      <c r="AF59" s="15" t="s">
        <v>366</v>
      </c>
      <c r="AG59" s="15" t="s">
        <v>120</v>
      </c>
      <c r="AH59" s="18"/>
      <c r="AI59" s="15" t="s">
        <v>120</v>
      </c>
      <c r="AJ59" s="18"/>
      <c r="AK59" s="18"/>
      <c r="AL59" s="15" t="s">
        <v>126</v>
      </c>
      <c r="AM59" s="15" t="s">
        <v>129</v>
      </c>
      <c r="AN59" s="15" t="s">
        <v>242</v>
      </c>
      <c r="AO59" s="15" t="s">
        <v>156</v>
      </c>
      <c r="AP59" s="15"/>
    </row>
    <row r="60" ht="22.5" customHeight="1">
      <c r="A60" s="15" t="s">
        <v>1591</v>
      </c>
      <c r="B60" s="15" t="s">
        <v>1592</v>
      </c>
      <c r="C60" s="15" t="s">
        <v>1593</v>
      </c>
      <c r="D60" s="41">
        <v>38697.0</v>
      </c>
      <c r="E60" s="15" t="s">
        <v>98</v>
      </c>
      <c r="F60" s="15" t="s">
        <v>1594</v>
      </c>
      <c r="G60" s="15" t="s">
        <v>1595</v>
      </c>
      <c r="H60" s="15" t="s">
        <v>101</v>
      </c>
      <c r="I60" s="18"/>
      <c r="J60" s="15" t="s">
        <v>1596</v>
      </c>
      <c r="K60" s="15" t="s">
        <v>1597</v>
      </c>
      <c r="L60" s="20">
        <v>9.995012304E9</v>
      </c>
      <c r="M60" s="18"/>
      <c r="N60" s="18"/>
      <c r="O60" s="18"/>
      <c r="P60" s="20">
        <v>20.0</v>
      </c>
      <c r="Q60" s="22">
        <v>46040.90099537037</v>
      </c>
      <c r="R60" s="15" t="s">
        <v>231</v>
      </c>
      <c r="S60" s="15" t="s">
        <v>125</v>
      </c>
      <c r="T60" s="15" t="s">
        <v>208</v>
      </c>
      <c r="U60" s="15" t="s">
        <v>1599</v>
      </c>
      <c r="V60" s="15" t="s">
        <v>1600</v>
      </c>
      <c r="W60" s="15" t="s">
        <v>1602</v>
      </c>
      <c r="X60" s="15" t="s">
        <v>120</v>
      </c>
      <c r="Y60" s="15" t="s">
        <v>525</v>
      </c>
      <c r="Z60" s="15" t="s">
        <v>120</v>
      </c>
      <c r="AA60" s="15" t="s">
        <v>525</v>
      </c>
      <c r="AB60" s="15" t="s">
        <v>120</v>
      </c>
      <c r="AC60" s="15" t="s">
        <v>120</v>
      </c>
      <c r="AD60" s="15" t="s">
        <v>525</v>
      </c>
      <c r="AE60" s="15" t="s">
        <v>120</v>
      </c>
      <c r="AF60" s="15" t="s">
        <v>525</v>
      </c>
      <c r="AG60" s="15" t="s">
        <v>120</v>
      </c>
      <c r="AH60" s="15" t="s">
        <v>525</v>
      </c>
      <c r="AI60" s="15" t="s">
        <v>120</v>
      </c>
      <c r="AJ60" s="15" t="s">
        <v>525</v>
      </c>
      <c r="AK60" s="15" t="s">
        <v>525</v>
      </c>
      <c r="AL60" s="15" t="s">
        <v>138</v>
      </c>
      <c r="AM60" s="15" t="s">
        <v>242</v>
      </c>
      <c r="AN60" s="15" t="s">
        <v>129</v>
      </c>
      <c r="AO60" s="15" t="s">
        <v>128</v>
      </c>
      <c r="AP60" s="15"/>
    </row>
    <row r="61" ht="22.5" customHeight="1">
      <c r="A61" s="15" t="s">
        <v>1611</v>
      </c>
      <c r="B61" s="15" t="s">
        <v>1612</v>
      </c>
      <c r="C61" s="15" t="s">
        <v>1614</v>
      </c>
      <c r="D61" s="41">
        <v>38229.0</v>
      </c>
      <c r="E61" s="15" t="s">
        <v>98</v>
      </c>
      <c r="F61" s="15" t="s">
        <v>1615</v>
      </c>
      <c r="G61" s="15" t="s">
        <v>1617</v>
      </c>
      <c r="H61" s="15" t="s">
        <v>382</v>
      </c>
      <c r="I61" s="18"/>
      <c r="J61" s="15" t="s">
        <v>1618</v>
      </c>
      <c r="K61" s="15" t="s">
        <v>1619</v>
      </c>
      <c r="L61" s="20">
        <v>5.548164759E9</v>
      </c>
      <c r="M61" s="18"/>
      <c r="N61" s="18"/>
      <c r="O61" s="18"/>
      <c r="P61" s="20">
        <v>21.0</v>
      </c>
      <c r="Q61" s="22">
        <v>46026.40175925926</v>
      </c>
      <c r="R61" s="15" t="s">
        <v>107</v>
      </c>
      <c r="S61" s="15" t="s">
        <v>125</v>
      </c>
      <c r="T61" s="15" t="s">
        <v>127</v>
      </c>
      <c r="U61" s="15" t="s">
        <v>531</v>
      </c>
      <c r="V61" s="15" t="s">
        <v>532</v>
      </c>
      <c r="W61" s="15" t="s">
        <v>534</v>
      </c>
      <c r="X61" s="15" t="s">
        <v>120</v>
      </c>
      <c r="Y61" s="18"/>
      <c r="Z61" s="15" t="s">
        <v>117</v>
      </c>
      <c r="AA61" s="58" t="s">
        <v>1624</v>
      </c>
      <c r="AB61" s="15" t="s">
        <v>120</v>
      </c>
      <c r="AC61" s="15" t="s">
        <v>120</v>
      </c>
      <c r="AD61" s="18"/>
      <c r="AE61" s="15" t="s">
        <v>120</v>
      </c>
      <c r="AF61" s="18"/>
      <c r="AG61" s="15" t="s">
        <v>120</v>
      </c>
      <c r="AH61" s="18"/>
      <c r="AI61" s="15" t="s">
        <v>120</v>
      </c>
      <c r="AJ61" s="18"/>
      <c r="AK61" s="18"/>
      <c r="AL61" s="15" t="s">
        <v>128</v>
      </c>
      <c r="AM61" s="15" t="s">
        <v>216</v>
      </c>
      <c r="AN61" s="15" t="s">
        <v>185</v>
      </c>
      <c r="AO61" s="15" t="s">
        <v>242</v>
      </c>
      <c r="AP61" s="15"/>
    </row>
    <row r="62" ht="22.5" customHeight="1">
      <c r="A62" s="15" t="s">
        <v>1632</v>
      </c>
      <c r="B62" s="15" t="s">
        <v>1633</v>
      </c>
      <c r="C62" s="15" t="s">
        <v>1635</v>
      </c>
      <c r="D62" s="41">
        <v>35692.0</v>
      </c>
      <c r="E62" s="15" t="s">
        <v>177</v>
      </c>
      <c r="F62" s="15">
        <v>5.625165064E9</v>
      </c>
      <c r="G62" s="15" t="s">
        <v>1467</v>
      </c>
      <c r="H62" s="15" t="s">
        <v>150</v>
      </c>
      <c r="I62" s="15" t="s">
        <v>1636</v>
      </c>
      <c r="J62" s="15" t="s">
        <v>1637</v>
      </c>
      <c r="K62" s="15" t="s">
        <v>1470</v>
      </c>
      <c r="L62" s="20">
        <v>5.514126075E9</v>
      </c>
      <c r="M62" s="18"/>
      <c r="N62" s="18"/>
      <c r="O62" s="18"/>
      <c r="P62" s="20">
        <v>28.0</v>
      </c>
      <c r="Q62" s="22">
        <v>46040.51008101852</v>
      </c>
      <c r="R62" s="15" t="s">
        <v>107</v>
      </c>
      <c r="S62" s="15" t="s">
        <v>125</v>
      </c>
      <c r="T62" s="15" t="s">
        <v>111</v>
      </c>
      <c r="U62" s="15" t="s">
        <v>657</v>
      </c>
      <c r="V62" s="15" t="s">
        <v>659</v>
      </c>
      <c r="W62" s="15" t="s">
        <v>662</v>
      </c>
      <c r="X62" s="15" t="s">
        <v>120</v>
      </c>
      <c r="Y62" s="18"/>
      <c r="Z62" s="15" t="s">
        <v>117</v>
      </c>
      <c r="AA62" s="52" t="s">
        <v>1641</v>
      </c>
      <c r="AB62" s="15" t="s">
        <v>117</v>
      </c>
      <c r="AC62" s="15" t="s">
        <v>117</v>
      </c>
      <c r="AD62" s="15" t="s">
        <v>1644</v>
      </c>
      <c r="AE62" s="15" t="s">
        <v>117</v>
      </c>
      <c r="AF62" s="15" t="s">
        <v>366</v>
      </c>
      <c r="AG62" s="15" t="s">
        <v>120</v>
      </c>
      <c r="AH62" s="18"/>
      <c r="AI62" s="15" t="s">
        <v>120</v>
      </c>
      <c r="AJ62" s="18"/>
      <c r="AK62" s="18"/>
      <c r="AL62" s="15" t="s">
        <v>141</v>
      </c>
      <c r="AM62" s="15" t="s">
        <v>138</v>
      </c>
      <c r="AN62" s="15" t="s">
        <v>129</v>
      </c>
      <c r="AO62" s="15" t="s">
        <v>124</v>
      </c>
      <c r="AP62" s="15"/>
    </row>
    <row r="63" ht="22.5" customHeight="1">
      <c r="A63" s="15" t="s">
        <v>1650</v>
      </c>
      <c r="B63" s="15" t="s">
        <v>1651</v>
      </c>
      <c r="C63" s="15" t="s">
        <v>1653</v>
      </c>
      <c r="D63" s="41">
        <v>35211.0</v>
      </c>
      <c r="E63" s="15" t="s">
        <v>98</v>
      </c>
      <c r="F63" s="15">
        <v>5.577562938E9</v>
      </c>
      <c r="G63" s="15" t="s">
        <v>1656</v>
      </c>
      <c r="H63" s="15" t="s">
        <v>140</v>
      </c>
      <c r="I63" s="18"/>
      <c r="J63" s="15" t="s">
        <v>1659</v>
      </c>
      <c r="K63" s="15" t="s">
        <v>1660</v>
      </c>
      <c r="L63" s="20">
        <v>5.57544131E9</v>
      </c>
      <c r="M63" s="18"/>
      <c r="N63" s="18"/>
      <c r="O63" s="18"/>
      <c r="P63" s="20">
        <v>29.0</v>
      </c>
      <c r="Q63" s="22">
        <v>46033.58751157407</v>
      </c>
      <c r="R63" s="15" t="s">
        <v>107</v>
      </c>
      <c r="S63" s="15" t="s">
        <v>125</v>
      </c>
      <c r="T63" s="15" t="s">
        <v>127</v>
      </c>
      <c r="U63" s="15" t="s">
        <v>531</v>
      </c>
      <c r="V63" s="15" t="s">
        <v>532</v>
      </c>
      <c r="W63" s="15" t="s">
        <v>534</v>
      </c>
      <c r="X63" s="15" t="s">
        <v>120</v>
      </c>
      <c r="Y63" s="18"/>
      <c r="Z63" s="15" t="s">
        <v>117</v>
      </c>
      <c r="AA63" s="52" t="s">
        <v>1582</v>
      </c>
      <c r="AB63" s="15" t="s">
        <v>117</v>
      </c>
      <c r="AC63" s="15" t="s">
        <v>117</v>
      </c>
      <c r="AD63" s="15" t="s">
        <v>1053</v>
      </c>
      <c r="AE63" s="15" t="s">
        <v>117</v>
      </c>
      <c r="AF63" s="15" t="s">
        <v>1665</v>
      </c>
      <c r="AG63" s="15" t="s">
        <v>117</v>
      </c>
      <c r="AH63" s="15" t="s">
        <v>1667</v>
      </c>
      <c r="AI63" s="15" t="s">
        <v>120</v>
      </c>
      <c r="AJ63" s="18"/>
      <c r="AK63" s="18"/>
      <c r="AL63" s="15" t="s">
        <v>129</v>
      </c>
      <c r="AM63" s="15" t="s">
        <v>138</v>
      </c>
      <c r="AN63" s="15" t="s">
        <v>242</v>
      </c>
      <c r="AO63" s="15" t="s">
        <v>216</v>
      </c>
      <c r="AP63" s="15"/>
    </row>
    <row r="64" ht="22.5" customHeight="1">
      <c r="A64" s="15" t="s">
        <v>1672</v>
      </c>
      <c r="B64" s="15" t="s">
        <v>1674</v>
      </c>
      <c r="C64" s="15" t="s">
        <v>1675</v>
      </c>
      <c r="D64" s="41">
        <v>36147.0</v>
      </c>
      <c r="E64" s="15" t="s">
        <v>177</v>
      </c>
      <c r="F64" s="15">
        <v>5.633326209E9</v>
      </c>
      <c r="G64" s="15" t="s">
        <v>1681</v>
      </c>
      <c r="H64" s="15" t="s">
        <v>150</v>
      </c>
      <c r="I64" s="18"/>
      <c r="J64" s="15" t="s">
        <v>1683</v>
      </c>
      <c r="K64" s="15" t="s">
        <v>1686</v>
      </c>
      <c r="L64" s="77" t="str">
        <f>+52 55 1070 9578</f>
        <v>#ERROR!</v>
      </c>
      <c r="M64" s="18"/>
      <c r="N64" s="18"/>
      <c r="O64" s="18"/>
      <c r="P64" s="20">
        <v>27.0</v>
      </c>
      <c r="Q64" s="22">
        <v>46041.86274305556</v>
      </c>
      <c r="R64" s="15" t="s">
        <v>260</v>
      </c>
      <c r="S64" s="15" t="s">
        <v>125</v>
      </c>
      <c r="T64" s="15" t="s">
        <v>171</v>
      </c>
      <c r="U64" s="15" t="s">
        <v>262</v>
      </c>
      <c r="V64" s="15" t="s">
        <v>263</v>
      </c>
      <c r="W64" s="15" t="s">
        <v>264</v>
      </c>
      <c r="X64" s="15" t="s">
        <v>120</v>
      </c>
      <c r="Y64" s="18"/>
      <c r="Z64" s="15" t="s">
        <v>120</v>
      </c>
      <c r="AA64" s="18"/>
      <c r="AB64" s="15" t="s">
        <v>120</v>
      </c>
      <c r="AC64" s="18"/>
      <c r="AD64" s="18"/>
      <c r="AE64" s="15" t="s">
        <v>120</v>
      </c>
      <c r="AF64" s="18"/>
      <c r="AG64" s="15" t="s">
        <v>120</v>
      </c>
      <c r="AH64" s="18"/>
      <c r="AI64" s="15" t="s">
        <v>120</v>
      </c>
      <c r="AJ64" s="18"/>
      <c r="AK64" s="18"/>
      <c r="AL64" s="15" t="s">
        <v>138</v>
      </c>
      <c r="AM64" s="15" t="s">
        <v>128</v>
      </c>
      <c r="AN64" s="15" t="s">
        <v>242</v>
      </c>
      <c r="AO64" s="15" t="s">
        <v>156</v>
      </c>
      <c r="AP64" s="15"/>
    </row>
    <row r="65" ht="22.5" customHeight="1">
      <c r="A65" s="15" t="s">
        <v>1704</v>
      </c>
      <c r="B65" s="15" t="s">
        <v>1705</v>
      </c>
      <c r="C65" s="15" t="s">
        <v>1706</v>
      </c>
      <c r="D65" s="41">
        <v>36981.0</v>
      </c>
      <c r="E65" s="15" t="s">
        <v>98</v>
      </c>
      <c r="F65" s="15">
        <v>5.549377108E9</v>
      </c>
      <c r="G65" s="15" t="s">
        <v>1707</v>
      </c>
      <c r="H65" s="15" t="s">
        <v>101</v>
      </c>
      <c r="I65" s="18"/>
      <c r="J65" s="15" t="s">
        <v>1709</v>
      </c>
      <c r="K65" s="15" t="s">
        <v>532</v>
      </c>
      <c r="L65" s="20" t="s">
        <v>1710</v>
      </c>
      <c r="M65" s="18"/>
      <c r="N65" s="18"/>
      <c r="O65" s="18"/>
      <c r="P65" s="20">
        <v>24.0</v>
      </c>
      <c r="Q65" s="22">
        <v>46033.818032407406</v>
      </c>
      <c r="R65" s="15" t="s">
        <v>107</v>
      </c>
      <c r="S65" s="15" t="s">
        <v>125</v>
      </c>
      <c r="T65" s="15" t="s">
        <v>127</v>
      </c>
      <c r="U65" s="15" t="s">
        <v>531</v>
      </c>
      <c r="V65" s="15" t="s">
        <v>532</v>
      </c>
      <c r="W65" s="15" t="s">
        <v>534</v>
      </c>
      <c r="X65" s="15" t="s">
        <v>120</v>
      </c>
      <c r="Y65" s="18"/>
      <c r="Z65" s="15" t="s">
        <v>120</v>
      </c>
      <c r="AA65" s="18"/>
      <c r="AB65" s="15" t="s">
        <v>120</v>
      </c>
      <c r="AC65" s="18"/>
      <c r="AD65" s="18"/>
      <c r="AE65" s="15" t="s">
        <v>120</v>
      </c>
      <c r="AF65" s="18"/>
      <c r="AG65" s="15" t="s">
        <v>120</v>
      </c>
      <c r="AH65" s="18"/>
      <c r="AI65" s="15" t="s">
        <v>120</v>
      </c>
      <c r="AJ65" s="18"/>
      <c r="AK65" s="18"/>
      <c r="AL65" s="15" t="s">
        <v>126</v>
      </c>
      <c r="AM65" s="15" t="s">
        <v>128</v>
      </c>
      <c r="AN65" s="15" t="s">
        <v>242</v>
      </c>
      <c r="AO65" s="15" t="s">
        <v>216</v>
      </c>
      <c r="AP65" s="15"/>
    </row>
    <row r="66" ht="22.5" customHeight="1">
      <c r="A66" s="15" t="s">
        <v>1722</v>
      </c>
      <c r="B66" s="15" t="s">
        <v>1724</v>
      </c>
      <c r="C66" s="15" t="s">
        <v>1725</v>
      </c>
      <c r="D66" s="41">
        <v>38046.0</v>
      </c>
      <c r="E66" s="15" t="s">
        <v>177</v>
      </c>
      <c r="F66" s="15">
        <v>5.571213116E9</v>
      </c>
      <c r="G66" s="15" t="s">
        <v>1728</v>
      </c>
      <c r="H66" s="15" t="s">
        <v>101</v>
      </c>
      <c r="I66" s="18"/>
      <c r="J66" s="15" t="s">
        <v>1732</v>
      </c>
      <c r="K66" s="15" t="s">
        <v>1734</v>
      </c>
      <c r="L66" s="20">
        <v>5.610302552E9</v>
      </c>
      <c r="M66" s="18"/>
      <c r="N66" s="18"/>
      <c r="O66" s="18"/>
      <c r="P66" s="20">
        <v>22.0</v>
      </c>
      <c r="Q66" s="22">
        <v>46019.83116898148</v>
      </c>
      <c r="R66" s="15" t="s">
        <v>107</v>
      </c>
      <c r="S66" s="15" t="s">
        <v>125</v>
      </c>
      <c r="T66" s="15" t="s">
        <v>204</v>
      </c>
      <c r="U66" s="15" t="s">
        <v>1738</v>
      </c>
      <c r="V66" s="15" t="s">
        <v>700</v>
      </c>
      <c r="W66" s="15" t="s">
        <v>702</v>
      </c>
      <c r="X66" s="15" t="s">
        <v>120</v>
      </c>
      <c r="Y66" s="18"/>
      <c r="Z66" s="15" t="s">
        <v>120</v>
      </c>
      <c r="AA66" s="18"/>
      <c r="AB66" s="15" t="s">
        <v>120</v>
      </c>
      <c r="AC66" s="18"/>
      <c r="AD66" s="18"/>
      <c r="AE66" s="15" t="s">
        <v>120</v>
      </c>
      <c r="AF66" s="18"/>
      <c r="AG66" s="15" t="s">
        <v>120</v>
      </c>
      <c r="AH66" s="18"/>
      <c r="AI66" s="15" t="s">
        <v>120</v>
      </c>
      <c r="AJ66" s="18"/>
      <c r="AK66" s="18"/>
      <c r="AL66" s="15" t="s">
        <v>242</v>
      </c>
      <c r="AM66" s="15" t="s">
        <v>216</v>
      </c>
      <c r="AN66" s="15" t="s">
        <v>126</v>
      </c>
      <c r="AO66" s="15" t="s">
        <v>141</v>
      </c>
      <c r="AP66" s="15"/>
    </row>
    <row r="67" ht="22.5" customHeight="1">
      <c r="A67" s="15" t="s">
        <v>1744</v>
      </c>
      <c r="B67" s="15" t="s">
        <v>1745</v>
      </c>
      <c r="C67" s="15" t="s">
        <v>1746</v>
      </c>
      <c r="D67" s="41">
        <v>39141.0</v>
      </c>
      <c r="E67" s="15" t="s">
        <v>98</v>
      </c>
      <c r="F67" s="15">
        <v>5.529066847E9</v>
      </c>
      <c r="G67" s="15" t="s">
        <v>1747</v>
      </c>
      <c r="H67" s="15" t="s">
        <v>101</v>
      </c>
      <c r="I67" s="18"/>
      <c r="J67" s="15" t="s">
        <v>1748</v>
      </c>
      <c r="K67" s="15" t="s">
        <v>1750</v>
      </c>
      <c r="L67" s="20">
        <v>5.624167967E9</v>
      </c>
      <c r="M67" s="18"/>
      <c r="N67" s="18"/>
      <c r="O67" s="18"/>
      <c r="P67" s="20">
        <v>19.0</v>
      </c>
      <c r="Q67" s="22">
        <v>46040.988587962966</v>
      </c>
      <c r="R67" s="15" t="s">
        <v>231</v>
      </c>
      <c r="S67" s="15" t="s">
        <v>125</v>
      </c>
      <c r="T67" s="15" t="s">
        <v>208</v>
      </c>
      <c r="U67" s="15" t="s">
        <v>1599</v>
      </c>
      <c r="V67" s="15" t="s">
        <v>1600</v>
      </c>
      <c r="W67" s="15" t="s">
        <v>1602</v>
      </c>
      <c r="X67" s="15" t="s">
        <v>120</v>
      </c>
      <c r="Y67" s="18"/>
      <c r="Z67" s="15" t="s">
        <v>120</v>
      </c>
      <c r="AA67" s="18"/>
      <c r="AB67" s="15" t="s">
        <v>120</v>
      </c>
      <c r="AC67" s="15" t="s">
        <v>120</v>
      </c>
      <c r="AD67" s="18"/>
      <c r="AE67" s="15" t="s">
        <v>120</v>
      </c>
      <c r="AF67" s="18"/>
      <c r="AG67" s="15" t="s">
        <v>120</v>
      </c>
      <c r="AH67" s="18"/>
      <c r="AI67" s="15" t="s">
        <v>120</v>
      </c>
      <c r="AJ67" s="18"/>
      <c r="AK67" s="18"/>
      <c r="AL67" s="15" t="s">
        <v>185</v>
      </c>
      <c r="AM67" s="15" t="s">
        <v>240</v>
      </c>
      <c r="AN67" s="15" t="s">
        <v>124</v>
      </c>
      <c r="AO67" s="15" t="s">
        <v>156</v>
      </c>
      <c r="AP67" s="15"/>
    </row>
    <row r="68" ht="22.5" customHeight="1">
      <c r="A68" s="15" t="s">
        <v>1771</v>
      </c>
      <c r="B68" s="15" t="s">
        <v>1772</v>
      </c>
      <c r="C68" s="18"/>
      <c r="D68" s="41">
        <v>39399.0</v>
      </c>
      <c r="E68" s="15" t="s">
        <v>98</v>
      </c>
      <c r="F68" s="15">
        <v>5.5832508E9</v>
      </c>
      <c r="G68" s="15" t="s">
        <v>1774</v>
      </c>
      <c r="H68" s="15" t="s">
        <v>101</v>
      </c>
      <c r="I68" s="18"/>
      <c r="J68" s="15" t="s">
        <v>1775</v>
      </c>
      <c r="K68" s="15" t="s">
        <v>1776</v>
      </c>
      <c r="L68" s="20">
        <v>5.623930955E9</v>
      </c>
      <c r="M68" s="18"/>
      <c r="N68" s="18"/>
      <c r="O68" s="18"/>
      <c r="P68" s="20">
        <v>18.0</v>
      </c>
      <c r="Q68" s="22">
        <v>46041.39333333333</v>
      </c>
      <c r="R68" s="15" t="s">
        <v>231</v>
      </c>
      <c r="S68" s="15" t="s">
        <v>125</v>
      </c>
      <c r="T68" s="15" t="s">
        <v>208</v>
      </c>
      <c r="U68" s="15" t="s">
        <v>1599</v>
      </c>
      <c r="V68" s="15" t="s">
        <v>1600</v>
      </c>
      <c r="W68" s="15" t="s">
        <v>1602</v>
      </c>
      <c r="X68" s="15" t="s">
        <v>120</v>
      </c>
      <c r="Y68" s="18"/>
      <c r="Z68" s="15" t="s">
        <v>120</v>
      </c>
      <c r="AA68" s="18"/>
      <c r="AB68" s="15" t="s">
        <v>120</v>
      </c>
      <c r="AC68" s="18"/>
      <c r="AD68" s="18"/>
      <c r="AE68" s="15" t="s">
        <v>120</v>
      </c>
      <c r="AF68" s="18"/>
      <c r="AG68" s="15" t="s">
        <v>117</v>
      </c>
      <c r="AH68" s="15" t="s">
        <v>1781</v>
      </c>
      <c r="AI68" s="15" t="s">
        <v>120</v>
      </c>
      <c r="AJ68" s="18"/>
      <c r="AK68" s="18"/>
      <c r="AL68" s="15" t="s">
        <v>185</v>
      </c>
      <c r="AM68" s="15" t="s">
        <v>216</v>
      </c>
      <c r="AN68" s="15" t="s">
        <v>129</v>
      </c>
      <c r="AO68" s="15" t="s">
        <v>124</v>
      </c>
      <c r="AP68" s="15"/>
    </row>
    <row r="69" ht="22.5" customHeight="1">
      <c r="A69" s="15" t="s">
        <v>1784</v>
      </c>
      <c r="B69" s="15" t="s">
        <v>1785</v>
      </c>
      <c r="C69" s="15" t="s">
        <v>1787</v>
      </c>
      <c r="D69" s="41">
        <v>37288.0</v>
      </c>
      <c r="E69" s="15" t="s">
        <v>98</v>
      </c>
      <c r="F69" s="15">
        <v>5.532925326E9</v>
      </c>
      <c r="G69" s="15" t="s">
        <v>1791</v>
      </c>
      <c r="H69" s="15" t="s">
        <v>150</v>
      </c>
      <c r="I69" s="18"/>
      <c r="J69" s="15" t="s">
        <v>1793</v>
      </c>
      <c r="K69" s="15" t="s">
        <v>1791</v>
      </c>
      <c r="L69" s="20">
        <v>5.546535198E9</v>
      </c>
      <c r="M69" s="18"/>
      <c r="N69" s="18"/>
      <c r="O69" s="18"/>
      <c r="P69" s="20">
        <v>24.0</v>
      </c>
      <c r="Q69" s="22">
        <v>46033.49414351852</v>
      </c>
      <c r="R69" s="15" t="s">
        <v>107</v>
      </c>
      <c r="S69" s="15" t="s">
        <v>125</v>
      </c>
      <c r="T69" s="15" t="s">
        <v>192</v>
      </c>
      <c r="U69" s="15" t="s">
        <v>609</v>
      </c>
      <c r="V69" s="15" t="s">
        <v>611</v>
      </c>
      <c r="W69" s="15" t="s">
        <v>612</v>
      </c>
      <c r="X69" s="15" t="s">
        <v>120</v>
      </c>
      <c r="Y69" s="18"/>
      <c r="Z69" s="15" t="s">
        <v>117</v>
      </c>
      <c r="AA69" s="18"/>
      <c r="AB69" s="15" t="s">
        <v>120</v>
      </c>
      <c r="AC69" s="18"/>
      <c r="AD69" s="18"/>
      <c r="AE69" s="15" t="s">
        <v>120</v>
      </c>
      <c r="AF69" s="18"/>
      <c r="AG69" s="15" t="s">
        <v>120</v>
      </c>
      <c r="AH69" s="18"/>
      <c r="AI69" s="15" t="s">
        <v>120</v>
      </c>
      <c r="AJ69" s="18"/>
      <c r="AK69" s="18"/>
      <c r="AL69" s="15" t="s">
        <v>141</v>
      </c>
      <c r="AM69" s="15" t="s">
        <v>156</v>
      </c>
      <c r="AN69" s="15" t="s">
        <v>129</v>
      </c>
      <c r="AO69" s="15" t="s">
        <v>128</v>
      </c>
      <c r="AP69" s="15"/>
    </row>
    <row r="70" ht="22.5" customHeight="1">
      <c r="A70" s="15" t="s">
        <v>1807</v>
      </c>
      <c r="B70" s="15" t="s">
        <v>1808</v>
      </c>
      <c r="C70" s="15" t="s">
        <v>1809</v>
      </c>
      <c r="D70" s="41">
        <v>36157.0</v>
      </c>
      <c r="E70" s="15" t="s">
        <v>98</v>
      </c>
      <c r="F70" s="15">
        <v>5.5137558E9</v>
      </c>
      <c r="G70" s="15" t="s">
        <v>1811</v>
      </c>
      <c r="H70" s="15" t="s">
        <v>101</v>
      </c>
      <c r="I70" s="18"/>
      <c r="J70" s="15" t="s">
        <v>1814</v>
      </c>
      <c r="K70" s="15" t="s">
        <v>1815</v>
      </c>
      <c r="L70" s="20">
        <v>5.560447055E9</v>
      </c>
      <c r="M70" s="18"/>
      <c r="N70" s="18"/>
      <c r="O70" s="18"/>
      <c r="P70" s="20">
        <v>27.0</v>
      </c>
      <c r="Q70" s="22">
        <v>46026.72221064815</v>
      </c>
      <c r="R70" s="15" t="s">
        <v>107</v>
      </c>
      <c r="S70" s="15" t="s">
        <v>125</v>
      </c>
      <c r="T70" s="15" t="s">
        <v>208</v>
      </c>
      <c r="U70" s="15" t="s">
        <v>601</v>
      </c>
      <c r="V70" s="15" t="s">
        <v>602</v>
      </c>
      <c r="W70" s="15" t="s">
        <v>603</v>
      </c>
      <c r="X70" s="15" t="s">
        <v>120</v>
      </c>
      <c r="Y70" s="18"/>
      <c r="Z70" s="15" t="s">
        <v>120</v>
      </c>
      <c r="AA70" s="18"/>
      <c r="AB70" s="15" t="s">
        <v>120</v>
      </c>
      <c r="AC70" s="15" t="s">
        <v>120</v>
      </c>
      <c r="AD70" s="18"/>
      <c r="AE70" s="15" t="s">
        <v>120</v>
      </c>
      <c r="AF70" s="18"/>
      <c r="AG70" s="15" t="s">
        <v>117</v>
      </c>
      <c r="AH70" s="15" t="s">
        <v>1828</v>
      </c>
      <c r="AI70" s="15" t="s">
        <v>120</v>
      </c>
      <c r="AJ70" s="18"/>
      <c r="AK70" s="18"/>
      <c r="AL70" s="15" t="s">
        <v>138</v>
      </c>
      <c r="AM70" s="15" t="s">
        <v>128</v>
      </c>
      <c r="AN70" s="15" t="s">
        <v>242</v>
      </c>
      <c r="AO70" s="15" t="s">
        <v>156</v>
      </c>
      <c r="AP70" s="15"/>
    </row>
    <row r="71" ht="22.5" customHeight="1">
      <c r="A71" s="15" t="s">
        <v>1832</v>
      </c>
      <c r="B71" s="15" t="s">
        <v>1833</v>
      </c>
      <c r="C71" s="15" t="s">
        <v>1834</v>
      </c>
      <c r="D71" s="41">
        <v>36714.0</v>
      </c>
      <c r="E71" s="15" t="s">
        <v>98</v>
      </c>
      <c r="F71" s="15">
        <v>5.515011847E9</v>
      </c>
      <c r="G71" s="15" t="s">
        <v>1835</v>
      </c>
      <c r="H71" s="15" t="s">
        <v>140</v>
      </c>
      <c r="I71" s="18"/>
      <c r="J71" s="15" t="s">
        <v>1838</v>
      </c>
      <c r="K71" s="15" t="s">
        <v>1840</v>
      </c>
      <c r="L71" s="20">
        <v>5.5797069E9</v>
      </c>
      <c r="M71" s="18"/>
      <c r="N71" s="18"/>
      <c r="O71" s="18"/>
      <c r="P71" s="20">
        <v>25.0</v>
      </c>
      <c r="Q71" s="22">
        <v>46026.48333333333</v>
      </c>
      <c r="R71" s="15" t="s">
        <v>107</v>
      </c>
      <c r="S71" s="15" t="s">
        <v>125</v>
      </c>
      <c r="T71" s="15" t="s">
        <v>208</v>
      </c>
      <c r="U71" s="15" t="s">
        <v>228</v>
      </c>
      <c r="V71" s="15" t="s">
        <v>229</v>
      </c>
      <c r="W71" s="15" t="s">
        <v>230</v>
      </c>
      <c r="X71" s="15" t="s">
        <v>120</v>
      </c>
      <c r="Y71" s="18"/>
      <c r="Z71" s="15" t="s">
        <v>120</v>
      </c>
      <c r="AA71" s="18"/>
      <c r="AB71" s="15" t="s">
        <v>120</v>
      </c>
      <c r="AC71" s="18"/>
      <c r="AD71" s="18"/>
      <c r="AE71" s="15" t="s">
        <v>120</v>
      </c>
      <c r="AF71" s="18"/>
      <c r="AG71" s="15" t="s">
        <v>120</v>
      </c>
      <c r="AH71" s="18"/>
      <c r="AI71" s="15" t="s">
        <v>120</v>
      </c>
      <c r="AJ71" s="18"/>
      <c r="AK71" s="18"/>
      <c r="AL71" s="15" t="s">
        <v>138</v>
      </c>
      <c r="AM71" s="15" t="s">
        <v>156</v>
      </c>
      <c r="AN71" s="15" t="s">
        <v>126</v>
      </c>
      <c r="AO71" s="15" t="s">
        <v>129</v>
      </c>
      <c r="AP71" s="15"/>
    </row>
    <row r="72" ht="22.5" customHeight="1">
      <c r="A72" s="15" t="s">
        <v>1857</v>
      </c>
      <c r="B72" s="15" t="s">
        <v>1858</v>
      </c>
      <c r="C72" s="15" t="s">
        <v>1859</v>
      </c>
      <c r="D72" s="41">
        <v>38406.0</v>
      </c>
      <c r="E72" s="15" t="s">
        <v>177</v>
      </c>
      <c r="F72" s="15">
        <v>5.573262504E9</v>
      </c>
      <c r="G72" s="15" t="s">
        <v>1862</v>
      </c>
      <c r="H72" s="15" t="s">
        <v>101</v>
      </c>
      <c r="I72" s="18"/>
      <c r="J72" s="15" t="s">
        <v>1866</v>
      </c>
      <c r="K72" s="15" t="s">
        <v>1869</v>
      </c>
      <c r="L72" s="77" t="str">
        <f>+52 55 4339 0562</f>
        <v>#ERROR!</v>
      </c>
      <c r="M72" s="18"/>
      <c r="N72" s="18"/>
      <c r="O72" s="18"/>
      <c r="P72" s="20">
        <v>21.0</v>
      </c>
      <c r="Q72" s="22">
        <v>46034.5000462963</v>
      </c>
      <c r="R72" s="15" t="s">
        <v>107</v>
      </c>
      <c r="S72" s="15" t="s">
        <v>125</v>
      </c>
      <c r="T72" s="15" t="s">
        <v>208</v>
      </c>
      <c r="U72" s="15" t="s">
        <v>478</v>
      </c>
      <c r="V72" s="15" t="s">
        <v>480</v>
      </c>
      <c r="W72" s="15" t="s">
        <v>481</v>
      </c>
      <c r="X72" s="15" t="s">
        <v>120</v>
      </c>
      <c r="Y72" s="18"/>
      <c r="Z72" s="15" t="s">
        <v>117</v>
      </c>
      <c r="AA72" s="52" t="s">
        <v>1877</v>
      </c>
      <c r="AB72" s="15" t="s">
        <v>120</v>
      </c>
      <c r="AC72" s="15" t="s">
        <v>120</v>
      </c>
      <c r="AD72" s="18"/>
      <c r="AE72" s="15" t="s">
        <v>120</v>
      </c>
      <c r="AF72" s="18"/>
      <c r="AG72" s="15" t="s">
        <v>120</v>
      </c>
      <c r="AH72" s="18"/>
      <c r="AI72" s="15" t="s">
        <v>120</v>
      </c>
      <c r="AJ72" s="18"/>
      <c r="AK72" s="18"/>
      <c r="AL72" s="15" t="s">
        <v>240</v>
      </c>
      <c r="AM72" s="15" t="s">
        <v>141</v>
      </c>
      <c r="AN72" s="15" t="s">
        <v>242</v>
      </c>
      <c r="AO72" s="15" t="s">
        <v>185</v>
      </c>
      <c r="AP72" s="15"/>
    </row>
    <row r="73" ht="22.5" customHeight="1">
      <c r="A73" s="15" t="s">
        <v>1887</v>
      </c>
      <c r="B73" s="15" t="s">
        <v>1888</v>
      </c>
      <c r="C73" s="15" t="s">
        <v>1890</v>
      </c>
      <c r="D73" s="41">
        <v>38239.0</v>
      </c>
      <c r="E73" s="15" t="s">
        <v>177</v>
      </c>
      <c r="F73" s="15">
        <v>3.223206065E9</v>
      </c>
      <c r="G73" s="15" t="s">
        <v>1895</v>
      </c>
      <c r="H73" s="15" t="s">
        <v>101</v>
      </c>
      <c r="I73" s="18"/>
      <c r="J73" s="15" t="s">
        <v>1899</v>
      </c>
      <c r="K73" s="15" t="s">
        <v>1900</v>
      </c>
      <c r="L73" s="20">
        <v>3.221900617E9</v>
      </c>
      <c r="M73" s="18"/>
      <c r="N73" s="18"/>
      <c r="O73" s="18"/>
      <c r="P73" s="20">
        <v>21.0</v>
      </c>
      <c r="Q73" s="22">
        <v>46040.906875</v>
      </c>
      <c r="R73" s="15" t="s">
        <v>107</v>
      </c>
      <c r="S73" s="15" t="s">
        <v>125</v>
      </c>
      <c r="T73" s="15" t="s">
        <v>1906</v>
      </c>
      <c r="U73" s="15" t="s">
        <v>1907</v>
      </c>
      <c r="V73" s="15" t="s">
        <v>1908</v>
      </c>
      <c r="W73" s="15" t="s">
        <v>1909</v>
      </c>
      <c r="X73" s="15" t="s">
        <v>120</v>
      </c>
      <c r="Y73" s="18"/>
      <c r="Z73" s="15" t="s">
        <v>120</v>
      </c>
      <c r="AA73" s="18"/>
      <c r="AB73" s="15" t="s">
        <v>120</v>
      </c>
      <c r="AC73" s="15" t="s">
        <v>117</v>
      </c>
      <c r="AD73" s="18"/>
      <c r="AE73" s="15" t="s">
        <v>120</v>
      </c>
      <c r="AF73" s="18"/>
      <c r="AG73" s="15" t="s">
        <v>120</v>
      </c>
      <c r="AH73" s="18"/>
      <c r="AI73" s="15" t="s">
        <v>120</v>
      </c>
      <c r="AJ73" s="18"/>
      <c r="AK73" s="18"/>
      <c r="AL73" s="15" t="s">
        <v>156</v>
      </c>
      <c r="AM73" s="15" t="s">
        <v>129</v>
      </c>
      <c r="AN73" s="15" t="s">
        <v>128</v>
      </c>
      <c r="AO73" s="15" t="s">
        <v>216</v>
      </c>
      <c r="AP73" s="15"/>
    </row>
    <row r="74" ht="22.5" customHeight="1">
      <c r="A74" s="15" t="s">
        <v>1911</v>
      </c>
      <c r="B74" s="15" t="s">
        <v>581</v>
      </c>
      <c r="C74" s="15" t="s">
        <v>1915</v>
      </c>
      <c r="D74" s="41">
        <v>38026.0</v>
      </c>
      <c r="E74" s="15" t="s">
        <v>98</v>
      </c>
      <c r="F74" s="15" t="s">
        <v>1918</v>
      </c>
      <c r="G74" s="15" t="s">
        <v>1919</v>
      </c>
      <c r="H74" s="15" t="s">
        <v>382</v>
      </c>
      <c r="I74" s="15" t="s">
        <v>135</v>
      </c>
      <c r="J74" s="15" t="s">
        <v>1922</v>
      </c>
      <c r="K74" s="15" t="s">
        <v>1923</v>
      </c>
      <c r="L74" s="20">
        <v>5.515055669E9</v>
      </c>
      <c r="M74" s="18"/>
      <c r="N74" s="18"/>
      <c r="O74" s="18"/>
      <c r="P74" s="20">
        <v>22.0</v>
      </c>
      <c r="Q74" s="22">
        <v>46026.58480324074</v>
      </c>
      <c r="R74" s="15" t="s">
        <v>107</v>
      </c>
      <c r="S74" s="15" t="s">
        <v>125</v>
      </c>
      <c r="T74" s="15" t="s">
        <v>204</v>
      </c>
      <c r="U74" s="15" t="s">
        <v>367</v>
      </c>
      <c r="V74" s="15" t="s">
        <v>368</v>
      </c>
      <c r="W74" s="15" t="s">
        <v>369</v>
      </c>
      <c r="X74" s="15" t="s">
        <v>120</v>
      </c>
      <c r="Y74" s="18"/>
      <c r="Z74" s="15" t="s">
        <v>120</v>
      </c>
      <c r="AA74" s="18"/>
      <c r="AB74" s="15" t="s">
        <v>120</v>
      </c>
      <c r="AC74" s="15" t="s">
        <v>117</v>
      </c>
      <c r="AD74" s="18"/>
      <c r="AE74" s="15" t="s">
        <v>120</v>
      </c>
      <c r="AF74" s="18"/>
      <c r="AG74" s="15" t="s">
        <v>120</v>
      </c>
      <c r="AH74" s="18"/>
      <c r="AI74" s="15" t="s">
        <v>120</v>
      </c>
      <c r="AJ74" s="18"/>
      <c r="AK74" s="18"/>
      <c r="AL74" s="15" t="s">
        <v>216</v>
      </c>
      <c r="AM74" s="15" t="s">
        <v>124</v>
      </c>
      <c r="AN74" s="15" t="s">
        <v>129</v>
      </c>
      <c r="AO74" s="15" t="s">
        <v>138</v>
      </c>
      <c r="AP74" s="15"/>
    </row>
    <row r="75" ht="22.5" customHeight="1">
      <c r="A75" s="15" t="s">
        <v>1933</v>
      </c>
      <c r="B75" s="15" t="s">
        <v>1935</v>
      </c>
      <c r="C75" s="15" t="s">
        <v>1936</v>
      </c>
      <c r="D75" s="41">
        <v>38384.0</v>
      </c>
      <c r="E75" s="15" t="s">
        <v>98</v>
      </c>
      <c r="F75" s="15">
        <v>9.931537513E9</v>
      </c>
      <c r="G75" s="15" t="s">
        <v>1938</v>
      </c>
      <c r="H75" s="15" t="s">
        <v>101</v>
      </c>
      <c r="I75" s="18"/>
      <c r="J75" s="15" t="s">
        <v>1939</v>
      </c>
      <c r="K75" s="15" t="s">
        <v>1938</v>
      </c>
      <c r="L75" s="20">
        <v>9.932239316E9</v>
      </c>
      <c r="M75" s="18"/>
      <c r="N75" s="18"/>
      <c r="O75" s="18"/>
      <c r="P75" s="20">
        <v>21.0</v>
      </c>
      <c r="Q75" s="22">
        <v>46038.67451388889</v>
      </c>
      <c r="R75" s="15" t="s">
        <v>107</v>
      </c>
      <c r="S75" s="15" t="s">
        <v>125</v>
      </c>
      <c r="T75" s="15" t="s">
        <v>1953</v>
      </c>
      <c r="U75" s="15" t="s">
        <v>1955</v>
      </c>
      <c r="V75" s="15" t="s">
        <v>1957</v>
      </c>
      <c r="W75" s="15" t="s">
        <v>1959</v>
      </c>
      <c r="X75" s="15" t="s">
        <v>120</v>
      </c>
      <c r="Y75" s="18"/>
      <c r="Z75" s="15" t="s">
        <v>120</v>
      </c>
      <c r="AA75" s="18"/>
      <c r="AB75" s="15" t="s">
        <v>120</v>
      </c>
      <c r="AC75" s="18"/>
      <c r="AD75" s="18"/>
      <c r="AE75" s="15" t="s">
        <v>120</v>
      </c>
      <c r="AF75" s="18"/>
      <c r="AG75" s="15" t="s">
        <v>120</v>
      </c>
      <c r="AH75" s="18"/>
      <c r="AI75" s="15" t="s">
        <v>120</v>
      </c>
      <c r="AJ75" s="18"/>
      <c r="AK75" s="18"/>
      <c r="AL75" s="15" t="s">
        <v>156</v>
      </c>
      <c r="AM75" s="15" t="s">
        <v>216</v>
      </c>
      <c r="AN75" s="15" t="s">
        <v>242</v>
      </c>
      <c r="AO75" s="15" t="s">
        <v>124</v>
      </c>
      <c r="AP75" s="15"/>
    </row>
    <row r="76" ht="22.5" customHeight="1">
      <c r="A76" s="15" t="s">
        <v>1966</v>
      </c>
      <c r="B76" s="15" t="s">
        <v>1967</v>
      </c>
      <c r="C76" s="15" t="s">
        <v>1968</v>
      </c>
      <c r="D76" s="41">
        <v>38649.0</v>
      </c>
      <c r="E76" s="15" t="s">
        <v>98</v>
      </c>
      <c r="F76" s="15">
        <v>5.634567145E9</v>
      </c>
      <c r="G76" s="15" t="s">
        <v>1971</v>
      </c>
      <c r="H76" s="15" t="s">
        <v>101</v>
      </c>
      <c r="I76" s="15" t="s">
        <v>135</v>
      </c>
      <c r="J76" s="15" t="s">
        <v>1973</v>
      </c>
      <c r="K76" s="15" t="s">
        <v>1971</v>
      </c>
      <c r="L76" s="20">
        <v>5.52116911E9</v>
      </c>
      <c r="M76" s="18"/>
      <c r="N76" s="18"/>
      <c r="O76" s="18"/>
      <c r="P76" s="20">
        <v>20.0</v>
      </c>
      <c r="Q76" s="22">
        <v>46040.55924768518</v>
      </c>
      <c r="R76" s="15" t="s">
        <v>231</v>
      </c>
      <c r="S76" s="15" t="s">
        <v>125</v>
      </c>
      <c r="T76" s="15" t="s">
        <v>111</v>
      </c>
      <c r="U76" s="15" t="s">
        <v>112</v>
      </c>
      <c r="V76" s="15" t="s">
        <v>114</v>
      </c>
      <c r="W76" s="15" t="s">
        <v>115</v>
      </c>
      <c r="X76" s="15" t="s">
        <v>120</v>
      </c>
      <c r="Y76" s="18"/>
      <c r="Z76" s="15" t="s">
        <v>120</v>
      </c>
      <c r="AA76" s="18"/>
      <c r="AB76" s="15" t="s">
        <v>120</v>
      </c>
      <c r="AC76" s="18"/>
      <c r="AD76" s="18"/>
      <c r="AE76" s="15" t="s">
        <v>120</v>
      </c>
      <c r="AF76" s="18"/>
      <c r="AG76" s="15" t="s">
        <v>120</v>
      </c>
      <c r="AH76" s="18"/>
      <c r="AI76" s="15" t="s">
        <v>120</v>
      </c>
      <c r="AJ76" s="18"/>
      <c r="AK76" s="18"/>
      <c r="AL76" s="15" t="s">
        <v>141</v>
      </c>
      <c r="AM76" s="15" t="s">
        <v>156</v>
      </c>
      <c r="AN76" s="15" t="s">
        <v>124</v>
      </c>
      <c r="AO76" s="15" t="s">
        <v>240</v>
      </c>
      <c r="AP76" s="15"/>
    </row>
    <row r="77" ht="22.5" customHeight="1">
      <c r="A77" s="15" t="s">
        <v>1983</v>
      </c>
      <c r="B77" s="15" t="s">
        <v>1984</v>
      </c>
      <c r="C77" s="15" t="s">
        <v>1985</v>
      </c>
      <c r="D77" s="41">
        <v>37603.0</v>
      </c>
      <c r="E77" s="15" t="s">
        <v>98</v>
      </c>
      <c r="F77" s="15">
        <v>5.648385404E9</v>
      </c>
      <c r="G77" s="15" t="s">
        <v>1986</v>
      </c>
      <c r="H77" s="15" t="s">
        <v>101</v>
      </c>
      <c r="I77" s="18"/>
      <c r="J77" s="15" t="s">
        <v>1988</v>
      </c>
      <c r="K77" s="15" t="s">
        <v>1989</v>
      </c>
      <c r="L77" s="20">
        <v>5.532498116E9</v>
      </c>
      <c r="M77" s="18"/>
      <c r="N77" s="18"/>
      <c r="O77" s="18"/>
      <c r="P77" s="20">
        <v>23.0</v>
      </c>
      <c r="Q77" s="22">
        <v>46020.71965277778</v>
      </c>
      <c r="R77" s="15" t="s">
        <v>107</v>
      </c>
      <c r="S77" s="15" t="s">
        <v>125</v>
      </c>
      <c r="T77" s="15" t="s">
        <v>204</v>
      </c>
      <c r="U77" s="15" t="s">
        <v>205</v>
      </c>
      <c r="V77" s="15" t="s">
        <v>206</v>
      </c>
      <c r="W77" s="15" t="s">
        <v>207</v>
      </c>
      <c r="X77" s="15" t="s">
        <v>120</v>
      </c>
      <c r="Y77" s="18"/>
      <c r="Z77" s="15" t="s">
        <v>120</v>
      </c>
      <c r="AA77" s="18"/>
      <c r="AB77" s="15" t="s">
        <v>120</v>
      </c>
      <c r="AC77" s="18"/>
      <c r="AD77" s="18"/>
      <c r="AE77" s="15" t="s">
        <v>120</v>
      </c>
      <c r="AF77" s="18"/>
      <c r="AG77" s="15" t="s">
        <v>120</v>
      </c>
      <c r="AH77" s="18"/>
      <c r="AI77" s="15" t="s">
        <v>120</v>
      </c>
      <c r="AJ77" s="18"/>
      <c r="AK77" s="18"/>
      <c r="AL77" s="15" t="s">
        <v>185</v>
      </c>
      <c r="AM77" s="15" t="s">
        <v>124</v>
      </c>
      <c r="AN77" s="15" t="s">
        <v>138</v>
      </c>
      <c r="AO77" s="15" t="s">
        <v>156</v>
      </c>
      <c r="AP77" s="15"/>
    </row>
    <row r="78" ht="22.5" customHeight="1">
      <c r="A78" s="15" t="s">
        <v>1999</v>
      </c>
      <c r="B78" s="15" t="s">
        <v>2000</v>
      </c>
      <c r="C78" s="15" t="s">
        <v>2002</v>
      </c>
      <c r="D78" s="41">
        <v>38578.0</v>
      </c>
      <c r="E78" s="15" t="s">
        <v>177</v>
      </c>
      <c r="F78" s="15">
        <v>5.548772614E9</v>
      </c>
      <c r="G78" s="15" t="s">
        <v>2007</v>
      </c>
      <c r="H78" s="15" t="s">
        <v>101</v>
      </c>
      <c r="I78" s="18"/>
      <c r="J78" s="15" t="s">
        <v>2010</v>
      </c>
      <c r="K78" s="15" t="s">
        <v>2011</v>
      </c>
      <c r="L78" s="20">
        <v>5.548772614E9</v>
      </c>
      <c r="M78" s="18"/>
      <c r="N78" s="18"/>
      <c r="O78" s="18"/>
      <c r="P78" s="20">
        <v>20.0</v>
      </c>
      <c r="Q78" s="22">
        <v>46041.58310185185</v>
      </c>
      <c r="R78" s="15" t="s">
        <v>107</v>
      </c>
      <c r="S78" s="15" t="s">
        <v>125</v>
      </c>
      <c r="T78" s="15" t="s">
        <v>192</v>
      </c>
      <c r="U78" s="15" t="s">
        <v>749</v>
      </c>
      <c r="V78" s="15" t="s">
        <v>750</v>
      </c>
      <c r="W78" s="15" t="s">
        <v>751</v>
      </c>
      <c r="X78" s="15" t="s">
        <v>120</v>
      </c>
      <c r="Y78" s="18"/>
      <c r="Z78" s="15" t="s">
        <v>120</v>
      </c>
      <c r="AA78" s="18"/>
      <c r="AB78" s="15" t="s">
        <v>120</v>
      </c>
      <c r="AC78" s="15" t="s">
        <v>120</v>
      </c>
      <c r="AD78" s="18"/>
      <c r="AE78" s="15" t="s">
        <v>120</v>
      </c>
      <c r="AF78" s="18"/>
      <c r="AG78" s="15" t="s">
        <v>120</v>
      </c>
      <c r="AH78" s="18"/>
      <c r="AI78" s="15" t="s">
        <v>120</v>
      </c>
      <c r="AJ78" s="18"/>
      <c r="AK78" s="18"/>
      <c r="AL78" s="15" t="s">
        <v>185</v>
      </c>
      <c r="AM78" s="15" t="s">
        <v>124</v>
      </c>
      <c r="AN78" s="15" t="s">
        <v>138</v>
      </c>
      <c r="AO78" s="15" t="s">
        <v>242</v>
      </c>
      <c r="AP78" s="15"/>
    </row>
    <row r="79" ht="22.5" customHeight="1">
      <c r="A79" s="15" t="s">
        <v>2028</v>
      </c>
      <c r="B79" s="15" t="s">
        <v>2029</v>
      </c>
      <c r="C79" s="15" t="s">
        <v>2030</v>
      </c>
      <c r="D79" s="41">
        <v>37650.0</v>
      </c>
      <c r="E79" s="15" t="s">
        <v>177</v>
      </c>
      <c r="F79" s="15">
        <v>5.565253053E9</v>
      </c>
      <c r="G79" s="15" t="s">
        <v>2033</v>
      </c>
      <c r="H79" s="15" t="s">
        <v>140</v>
      </c>
      <c r="I79" s="18"/>
      <c r="J79" s="15" t="s">
        <v>2037</v>
      </c>
      <c r="K79" s="15" t="s">
        <v>2038</v>
      </c>
      <c r="L79" s="20">
        <v>5.526927012E9</v>
      </c>
      <c r="M79" s="18"/>
      <c r="N79" s="18"/>
      <c r="O79" s="18"/>
      <c r="P79" s="20">
        <v>23.0</v>
      </c>
      <c r="Q79" s="22">
        <v>46040.52894675926</v>
      </c>
      <c r="R79" s="15" t="s">
        <v>107</v>
      </c>
      <c r="S79" s="15" t="s">
        <v>125</v>
      </c>
      <c r="T79" s="15" t="s">
        <v>192</v>
      </c>
      <c r="U79" s="15" t="s">
        <v>609</v>
      </c>
      <c r="V79" s="15" t="s">
        <v>611</v>
      </c>
      <c r="W79" s="15" t="s">
        <v>612</v>
      </c>
      <c r="X79" s="15" t="s">
        <v>120</v>
      </c>
      <c r="Y79" s="18"/>
      <c r="Z79" s="15" t="s">
        <v>120</v>
      </c>
      <c r="AA79" s="18"/>
      <c r="AB79" s="15" t="s">
        <v>117</v>
      </c>
      <c r="AC79" s="15" t="s">
        <v>117</v>
      </c>
      <c r="AD79" s="15" t="s">
        <v>365</v>
      </c>
      <c r="AE79" s="15" t="s">
        <v>117</v>
      </c>
      <c r="AF79" s="15" t="s">
        <v>366</v>
      </c>
      <c r="AG79" s="15" t="s">
        <v>120</v>
      </c>
      <c r="AH79" s="18"/>
      <c r="AI79" s="15" t="s">
        <v>120</v>
      </c>
      <c r="AJ79" s="18"/>
      <c r="AK79" s="18"/>
      <c r="AL79" s="15" t="s">
        <v>240</v>
      </c>
      <c r="AM79" s="15" t="s">
        <v>185</v>
      </c>
      <c r="AN79" s="15" t="s">
        <v>242</v>
      </c>
      <c r="AO79" s="15" t="s">
        <v>141</v>
      </c>
      <c r="AP79" s="15"/>
    </row>
    <row r="80" ht="22.5" customHeight="1">
      <c r="A80" s="15" t="s">
        <v>2053</v>
      </c>
      <c r="B80" s="15" t="s">
        <v>2054</v>
      </c>
      <c r="C80" s="15" t="s">
        <v>2055</v>
      </c>
      <c r="D80" s="41">
        <v>38015.0</v>
      </c>
      <c r="E80" s="15" t="s">
        <v>177</v>
      </c>
      <c r="F80" s="15">
        <v>5.621115603E9</v>
      </c>
      <c r="G80" s="15" t="s">
        <v>2056</v>
      </c>
      <c r="H80" s="15" t="s">
        <v>140</v>
      </c>
      <c r="I80" s="15" t="s">
        <v>135</v>
      </c>
      <c r="J80" s="15" t="s">
        <v>2060</v>
      </c>
      <c r="K80" s="15" t="s">
        <v>2063</v>
      </c>
      <c r="L80" s="20">
        <v>5.563040449E9</v>
      </c>
      <c r="M80" s="18"/>
      <c r="N80" s="18"/>
      <c r="O80" s="18"/>
      <c r="P80" s="20">
        <v>22.0</v>
      </c>
      <c r="Q80" s="22">
        <v>46037.5240625</v>
      </c>
      <c r="R80" s="15" t="s">
        <v>107</v>
      </c>
      <c r="S80" s="15" t="s">
        <v>125</v>
      </c>
      <c r="T80" s="15" t="s">
        <v>171</v>
      </c>
      <c r="U80" s="15" t="s">
        <v>638</v>
      </c>
      <c r="V80" s="15" t="s">
        <v>639</v>
      </c>
      <c r="W80" s="15" t="s">
        <v>641</v>
      </c>
      <c r="X80" s="15" t="s">
        <v>120</v>
      </c>
      <c r="Y80" s="18"/>
      <c r="Z80" s="15" t="s">
        <v>120</v>
      </c>
      <c r="AA80" s="18"/>
      <c r="AB80" s="15" t="s">
        <v>120</v>
      </c>
      <c r="AC80" s="18"/>
      <c r="AD80" s="18"/>
      <c r="AE80" s="15" t="s">
        <v>120</v>
      </c>
      <c r="AF80" s="18"/>
      <c r="AG80" s="15" t="s">
        <v>120</v>
      </c>
      <c r="AH80" s="18"/>
      <c r="AI80" s="15" t="s">
        <v>120</v>
      </c>
      <c r="AJ80" s="18"/>
      <c r="AK80" s="18"/>
      <c r="AL80" s="15" t="s">
        <v>138</v>
      </c>
      <c r="AM80" s="15" t="s">
        <v>156</v>
      </c>
      <c r="AN80" s="15" t="s">
        <v>124</v>
      </c>
      <c r="AO80" s="15" t="s">
        <v>128</v>
      </c>
      <c r="AP80" s="15"/>
    </row>
    <row r="81" ht="22.5" customHeight="1">
      <c r="A81" s="15" t="s">
        <v>2073</v>
      </c>
      <c r="B81" s="15" t="s">
        <v>712</v>
      </c>
      <c r="C81" s="15" t="s">
        <v>2074</v>
      </c>
      <c r="D81" s="41">
        <v>37941.0</v>
      </c>
      <c r="E81" s="15" t="s">
        <v>177</v>
      </c>
      <c r="F81" s="15" t="s">
        <v>2076</v>
      </c>
      <c r="G81" s="15" t="s">
        <v>2078</v>
      </c>
      <c r="H81" s="15" t="s">
        <v>110</v>
      </c>
      <c r="I81" s="18"/>
      <c r="J81" s="15" t="s">
        <v>2080</v>
      </c>
      <c r="K81" s="15" t="s">
        <v>2081</v>
      </c>
      <c r="L81" s="20">
        <v>5.513813704E9</v>
      </c>
      <c r="M81" s="18"/>
      <c r="N81" s="18"/>
      <c r="O81" s="18"/>
      <c r="P81" s="20">
        <v>22.0</v>
      </c>
      <c r="Q81" s="22">
        <v>46044.944016203706</v>
      </c>
      <c r="R81" s="15" t="s">
        <v>260</v>
      </c>
      <c r="S81" s="15" t="s">
        <v>125</v>
      </c>
      <c r="T81" s="15" t="s">
        <v>192</v>
      </c>
      <c r="U81" s="15" t="s">
        <v>485</v>
      </c>
      <c r="V81" s="15" t="s">
        <v>486</v>
      </c>
      <c r="W81" s="15" t="s">
        <v>487</v>
      </c>
      <c r="X81" s="15" t="s">
        <v>120</v>
      </c>
      <c r="Y81" s="18"/>
      <c r="Z81" s="15" t="s">
        <v>120</v>
      </c>
      <c r="AA81" s="18"/>
      <c r="AB81" s="15" t="s">
        <v>120</v>
      </c>
      <c r="AC81" s="18"/>
      <c r="AD81" s="18"/>
      <c r="AE81" s="15" t="s">
        <v>120</v>
      </c>
      <c r="AF81" s="18"/>
      <c r="AG81" s="15" t="s">
        <v>120</v>
      </c>
      <c r="AH81" s="18"/>
      <c r="AI81" s="15" t="s">
        <v>120</v>
      </c>
      <c r="AJ81" s="18"/>
      <c r="AK81" s="18"/>
      <c r="AL81" s="15" t="s">
        <v>138</v>
      </c>
      <c r="AM81" s="15" t="s">
        <v>129</v>
      </c>
      <c r="AN81" s="15" t="s">
        <v>124</v>
      </c>
      <c r="AO81" s="15" t="s">
        <v>141</v>
      </c>
      <c r="AP81" s="15"/>
    </row>
    <row r="82" ht="22.5" customHeight="1">
      <c r="A82" s="15" t="s">
        <v>2096</v>
      </c>
      <c r="B82" s="15" t="s">
        <v>2097</v>
      </c>
      <c r="C82" s="15" t="s">
        <v>2098</v>
      </c>
      <c r="D82" s="41">
        <v>34686.0</v>
      </c>
      <c r="E82" s="15" t="s">
        <v>177</v>
      </c>
      <c r="F82" s="15">
        <v>5.517713497E9</v>
      </c>
      <c r="G82" s="15" t="s">
        <v>2099</v>
      </c>
      <c r="H82" s="15" t="s">
        <v>150</v>
      </c>
      <c r="I82" s="15" t="s">
        <v>2100</v>
      </c>
      <c r="J82" s="15" t="s">
        <v>2101</v>
      </c>
      <c r="K82" s="15" t="s">
        <v>2102</v>
      </c>
      <c r="L82" s="20">
        <v>5.534506975E9</v>
      </c>
      <c r="M82" s="18"/>
      <c r="N82" s="18"/>
      <c r="O82" s="18"/>
      <c r="P82" s="20">
        <v>31.0</v>
      </c>
      <c r="Q82" s="22">
        <v>46039.58877314815</v>
      </c>
      <c r="R82" s="15" t="s">
        <v>107</v>
      </c>
      <c r="S82" s="15" t="s">
        <v>125</v>
      </c>
      <c r="T82" s="15" t="s">
        <v>208</v>
      </c>
      <c r="U82" s="15" t="s">
        <v>601</v>
      </c>
      <c r="V82" s="15" t="s">
        <v>602</v>
      </c>
      <c r="W82" s="15" t="s">
        <v>603</v>
      </c>
      <c r="X82" s="15" t="s">
        <v>120</v>
      </c>
      <c r="Y82" s="18"/>
      <c r="Z82" s="15" t="s">
        <v>120</v>
      </c>
      <c r="AA82" s="18"/>
      <c r="AB82" s="15" t="s">
        <v>120</v>
      </c>
      <c r="AC82" s="15" t="s">
        <v>120</v>
      </c>
      <c r="AD82" s="18"/>
      <c r="AE82" s="15" t="s">
        <v>120</v>
      </c>
      <c r="AF82" s="18"/>
      <c r="AG82" s="15" t="s">
        <v>120</v>
      </c>
      <c r="AH82" s="18"/>
      <c r="AI82" s="15" t="s">
        <v>120</v>
      </c>
      <c r="AJ82" s="18"/>
      <c r="AK82" s="18"/>
      <c r="AL82" s="15" t="s">
        <v>138</v>
      </c>
      <c r="AM82" s="15" t="s">
        <v>126</v>
      </c>
      <c r="AN82" s="15" t="s">
        <v>242</v>
      </c>
      <c r="AO82" s="15" t="s">
        <v>216</v>
      </c>
      <c r="AP82" s="15"/>
    </row>
    <row r="83" ht="22.5" customHeight="1">
      <c r="A83" s="15" t="s">
        <v>2115</v>
      </c>
      <c r="B83" s="15" t="s">
        <v>2116</v>
      </c>
      <c r="C83" s="15" t="s">
        <v>2117</v>
      </c>
      <c r="D83" s="41">
        <v>37192.0</v>
      </c>
      <c r="E83" s="15" t="s">
        <v>177</v>
      </c>
      <c r="F83" s="15">
        <v>5.549323227E9</v>
      </c>
      <c r="G83" s="15" t="s">
        <v>2118</v>
      </c>
      <c r="H83" s="15" t="s">
        <v>101</v>
      </c>
      <c r="I83" s="18"/>
      <c r="J83" s="15" t="s">
        <v>2119</v>
      </c>
      <c r="K83" s="15" t="s">
        <v>750</v>
      </c>
      <c r="L83" s="20">
        <v>5.518810516E9</v>
      </c>
      <c r="M83" s="18"/>
      <c r="N83" s="18"/>
      <c r="O83" s="18"/>
      <c r="P83" s="20">
        <v>24.0</v>
      </c>
      <c r="Q83" s="22">
        <v>46026.749189814815</v>
      </c>
      <c r="R83" s="15" t="s">
        <v>107</v>
      </c>
      <c r="S83" s="15" t="s">
        <v>125</v>
      </c>
      <c r="T83" s="15" t="s">
        <v>192</v>
      </c>
      <c r="U83" s="15" t="s">
        <v>749</v>
      </c>
      <c r="V83" s="15" t="s">
        <v>750</v>
      </c>
      <c r="W83" s="15" t="s">
        <v>751</v>
      </c>
      <c r="X83" s="15" t="s">
        <v>120</v>
      </c>
      <c r="Y83" s="18"/>
      <c r="Z83" s="15" t="s">
        <v>117</v>
      </c>
      <c r="AA83" s="58" t="s">
        <v>2126</v>
      </c>
      <c r="AB83" s="15" t="s">
        <v>120</v>
      </c>
      <c r="AC83" s="18"/>
      <c r="AD83" s="18"/>
      <c r="AE83" s="15" t="s">
        <v>120</v>
      </c>
      <c r="AF83" s="18"/>
      <c r="AG83" s="15" t="s">
        <v>120</v>
      </c>
      <c r="AH83" s="18"/>
      <c r="AI83" s="15" t="s">
        <v>120</v>
      </c>
      <c r="AJ83" s="18"/>
      <c r="AK83" s="18"/>
      <c r="AL83" s="15" t="s">
        <v>240</v>
      </c>
      <c r="AM83" s="15" t="s">
        <v>138</v>
      </c>
      <c r="AN83" s="15" t="s">
        <v>128</v>
      </c>
      <c r="AO83" s="15" t="s">
        <v>129</v>
      </c>
      <c r="AP83" s="15"/>
    </row>
    <row r="84" ht="22.5" customHeight="1">
      <c r="A84" s="15" t="s">
        <v>2131</v>
      </c>
      <c r="B84" s="15" t="s">
        <v>2133</v>
      </c>
      <c r="C84" s="15" t="s">
        <v>2134</v>
      </c>
      <c r="D84" s="41">
        <v>38532.0</v>
      </c>
      <c r="E84" s="15" t="s">
        <v>177</v>
      </c>
      <c r="F84" s="15">
        <v>5.565066989E9</v>
      </c>
      <c r="G84" s="15" t="s">
        <v>2137</v>
      </c>
      <c r="H84" s="15" t="s">
        <v>101</v>
      </c>
      <c r="I84" s="18"/>
      <c r="J84" s="15" t="s">
        <v>2139</v>
      </c>
      <c r="K84" s="15" t="s">
        <v>2141</v>
      </c>
      <c r="L84" s="20">
        <v>5.565066989E9</v>
      </c>
      <c r="M84" s="18"/>
      <c r="N84" s="18"/>
      <c r="O84" s="18"/>
      <c r="P84" s="20">
        <v>20.0</v>
      </c>
      <c r="Q84" s="22">
        <v>46030.96766203704</v>
      </c>
      <c r="R84" s="15" t="s">
        <v>107</v>
      </c>
      <c r="S84" s="15" t="s">
        <v>125</v>
      </c>
      <c r="T84" s="15" t="s">
        <v>171</v>
      </c>
      <c r="U84" s="15" t="s">
        <v>2149</v>
      </c>
      <c r="V84" s="15" t="s">
        <v>2141</v>
      </c>
      <c r="W84" s="15" t="s">
        <v>2151</v>
      </c>
      <c r="X84" s="15" t="s">
        <v>120</v>
      </c>
      <c r="Y84" s="15" t="s">
        <v>120</v>
      </c>
      <c r="Z84" s="15" t="s">
        <v>120</v>
      </c>
      <c r="AA84" s="18"/>
      <c r="AB84" s="15" t="s">
        <v>120</v>
      </c>
      <c r="AC84" s="15" t="s">
        <v>120</v>
      </c>
      <c r="AD84" s="18"/>
      <c r="AE84" s="15" t="s">
        <v>120</v>
      </c>
      <c r="AF84" s="18"/>
      <c r="AG84" s="15" t="s">
        <v>120</v>
      </c>
      <c r="AH84" s="18"/>
      <c r="AI84" s="15" t="s">
        <v>120</v>
      </c>
      <c r="AJ84" s="18"/>
      <c r="AK84" s="15" t="s">
        <v>135</v>
      </c>
      <c r="AL84" s="15" t="s">
        <v>129</v>
      </c>
      <c r="AM84" s="15" t="s">
        <v>126</v>
      </c>
      <c r="AN84" s="15" t="s">
        <v>138</v>
      </c>
      <c r="AO84" s="15" t="s">
        <v>138</v>
      </c>
      <c r="AP84" s="15"/>
    </row>
    <row r="85" ht="22.5" customHeight="1">
      <c r="A85" s="15" t="s">
        <v>2154</v>
      </c>
      <c r="B85" s="15" t="s">
        <v>2155</v>
      </c>
      <c r="C85" s="15" t="s">
        <v>2156</v>
      </c>
      <c r="D85" s="41">
        <v>37886.0</v>
      </c>
      <c r="E85" s="15" t="s">
        <v>98</v>
      </c>
      <c r="F85" s="15">
        <v>9.935612182E9</v>
      </c>
      <c r="G85" s="15" t="s">
        <v>2157</v>
      </c>
      <c r="H85" s="15" t="s">
        <v>140</v>
      </c>
      <c r="I85" s="18"/>
      <c r="J85" s="15" t="s">
        <v>2158</v>
      </c>
      <c r="K85" s="15" t="s">
        <v>2159</v>
      </c>
      <c r="L85" s="20">
        <v>9.931779898E9</v>
      </c>
      <c r="M85" s="15" t="s">
        <v>2160</v>
      </c>
      <c r="N85" s="15" t="s">
        <v>2161</v>
      </c>
      <c r="O85" s="15">
        <v>9.933112769E9</v>
      </c>
      <c r="P85" s="20">
        <v>22.0</v>
      </c>
      <c r="Q85" s="22">
        <v>45970.05950231481</v>
      </c>
      <c r="R85" s="15" t="s">
        <v>546</v>
      </c>
      <c r="S85" s="15" t="s">
        <v>125</v>
      </c>
      <c r="T85" s="15" t="s">
        <v>1953</v>
      </c>
      <c r="U85" s="15" t="s">
        <v>2166</v>
      </c>
      <c r="V85" s="15" t="s">
        <v>2161</v>
      </c>
      <c r="W85" s="15" t="s">
        <v>2170</v>
      </c>
      <c r="X85" s="15" t="s">
        <v>120</v>
      </c>
      <c r="Y85" s="18"/>
      <c r="Z85" s="15" t="s">
        <v>120</v>
      </c>
      <c r="AA85" s="18"/>
      <c r="AB85" s="15" t="s">
        <v>120</v>
      </c>
      <c r="AC85" s="15" t="s">
        <v>120</v>
      </c>
      <c r="AD85" s="18"/>
      <c r="AE85" s="15" t="s">
        <v>120</v>
      </c>
      <c r="AF85" s="18"/>
      <c r="AG85" s="15" t="s">
        <v>120</v>
      </c>
      <c r="AH85" s="18"/>
      <c r="AI85" s="15" t="s">
        <v>117</v>
      </c>
      <c r="AJ85" s="15" t="s">
        <v>2181</v>
      </c>
      <c r="AK85" s="18"/>
      <c r="AL85" s="15" t="s">
        <v>129</v>
      </c>
      <c r="AM85" s="15" t="s">
        <v>138</v>
      </c>
      <c r="AN85" s="15" t="s">
        <v>128</v>
      </c>
      <c r="AO85" s="15" t="s">
        <v>240</v>
      </c>
      <c r="AP85" s="15"/>
    </row>
    <row r="86" ht="22.5" customHeight="1">
      <c r="A86" s="15" t="s">
        <v>2183</v>
      </c>
      <c r="B86" s="15" t="s">
        <v>2184</v>
      </c>
      <c r="C86" s="15" t="s">
        <v>2185</v>
      </c>
      <c r="D86" s="41">
        <v>38569.0</v>
      </c>
      <c r="E86" s="15" t="s">
        <v>177</v>
      </c>
      <c r="F86" s="15">
        <v>5.514176978E9</v>
      </c>
      <c r="G86" s="15" t="s">
        <v>2188</v>
      </c>
      <c r="H86" s="15" t="s">
        <v>101</v>
      </c>
      <c r="I86" s="18"/>
      <c r="J86" s="15" t="s">
        <v>2191</v>
      </c>
      <c r="K86" s="15" t="s">
        <v>2188</v>
      </c>
      <c r="L86" s="20">
        <v>5.531244347E9</v>
      </c>
      <c r="M86" s="18"/>
      <c r="N86" s="18"/>
      <c r="O86" s="18"/>
      <c r="P86" s="20">
        <v>20.0</v>
      </c>
      <c r="Q86" s="22">
        <v>46039.48369212963</v>
      </c>
      <c r="R86" s="15" t="s">
        <v>107</v>
      </c>
      <c r="S86" s="15" t="s">
        <v>125</v>
      </c>
      <c r="T86" s="15" t="s">
        <v>160</v>
      </c>
      <c r="U86" s="15" t="s">
        <v>308</v>
      </c>
      <c r="V86" s="15" t="s">
        <v>309</v>
      </c>
      <c r="W86" s="15" t="s">
        <v>310</v>
      </c>
      <c r="X86" s="15" t="s">
        <v>120</v>
      </c>
      <c r="Y86" s="18"/>
      <c r="Z86" s="15" t="s">
        <v>120</v>
      </c>
      <c r="AA86" s="18"/>
      <c r="AB86" s="15" t="s">
        <v>120</v>
      </c>
      <c r="AC86" s="15" t="s">
        <v>120</v>
      </c>
      <c r="AD86" s="18"/>
      <c r="AE86" s="15" t="s">
        <v>120</v>
      </c>
      <c r="AF86" s="18"/>
      <c r="AG86" s="15" t="s">
        <v>120</v>
      </c>
      <c r="AH86" s="18"/>
      <c r="AI86" s="15" t="s">
        <v>120</v>
      </c>
      <c r="AJ86" s="18"/>
      <c r="AK86" s="18"/>
      <c r="AL86" s="15" t="s">
        <v>242</v>
      </c>
      <c r="AM86" s="15" t="s">
        <v>185</v>
      </c>
      <c r="AN86" s="15" t="s">
        <v>129</v>
      </c>
      <c r="AO86" s="15" t="s">
        <v>156</v>
      </c>
      <c r="AP86" s="15"/>
    </row>
    <row r="87" ht="22.5" customHeight="1">
      <c r="A87" s="15" t="s">
        <v>2211</v>
      </c>
      <c r="B87" s="15" t="s">
        <v>2212</v>
      </c>
      <c r="C87" s="15" t="s">
        <v>2214</v>
      </c>
      <c r="D87" s="41">
        <v>36403.0</v>
      </c>
      <c r="E87" s="15" t="s">
        <v>177</v>
      </c>
      <c r="F87" s="15">
        <v>5.6113834E9</v>
      </c>
      <c r="G87" s="15" t="s">
        <v>2216</v>
      </c>
      <c r="H87" s="15" t="s">
        <v>110</v>
      </c>
      <c r="I87" s="18"/>
      <c r="J87" s="15" t="s">
        <v>2217</v>
      </c>
      <c r="K87" s="15" t="s">
        <v>2218</v>
      </c>
      <c r="L87" s="20">
        <v>5.521419973E9</v>
      </c>
      <c r="M87" s="18"/>
      <c r="N87" s="18"/>
      <c r="O87" s="18"/>
      <c r="P87" s="20">
        <v>26.0</v>
      </c>
      <c r="Q87" s="22">
        <v>46040.971180555556</v>
      </c>
      <c r="R87" s="15" t="s">
        <v>107</v>
      </c>
      <c r="S87" s="15" t="s">
        <v>125</v>
      </c>
      <c r="T87" s="15" t="s">
        <v>208</v>
      </c>
      <c r="U87" s="15" t="s">
        <v>1599</v>
      </c>
      <c r="V87" s="15" t="s">
        <v>1600</v>
      </c>
      <c r="W87" s="15" t="s">
        <v>1602</v>
      </c>
      <c r="X87" s="15" t="s">
        <v>120</v>
      </c>
      <c r="Y87" s="18"/>
      <c r="Z87" s="15" t="s">
        <v>120</v>
      </c>
      <c r="AA87" s="18"/>
      <c r="AB87" s="15" t="s">
        <v>120</v>
      </c>
      <c r="AC87" s="15" t="s">
        <v>120</v>
      </c>
      <c r="AD87" s="18"/>
      <c r="AE87" s="15" t="s">
        <v>120</v>
      </c>
      <c r="AF87" s="18"/>
      <c r="AG87" s="15" t="s">
        <v>120</v>
      </c>
      <c r="AH87" s="18"/>
      <c r="AI87" s="15" t="s">
        <v>120</v>
      </c>
      <c r="AJ87" s="18"/>
      <c r="AK87" s="18"/>
      <c r="AL87" s="15" t="s">
        <v>141</v>
      </c>
      <c r="AM87" s="15" t="s">
        <v>129</v>
      </c>
      <c r="AN87" s="15" t="s">
        <v>138</v>
      </c>
      <c r="AO87" s="15" t="s">
        <v>242</v>
      </c>
      <c r="AP87" s="15"/>
    </row>
    <row r="88" ht="22.5" customHeight="1">
      <c r="A88" s="15" t="s">
        <v>2236</v>
      </c>
      <c r="B88" s="15" t="s">
        <v>2237</v>
      </c>
      <c r="C88" s="15" t="s">
        <v>2238</v>
      </c>
      <c r="D88" s="41">
        <v>37826.0</v>
      </c>
      <c r="E88" s="15" t="s">
        <v>177</v>
      </c>
      <c r="F88" s="15">
        <v>2.882191693E9</v>
      </c>
      <c r="G88" s="15" t="s">
        <v>2239</v>
      </c>
      <c r="H88" s="15" t="s">
        <v>150</v>
      </c>
      <c r="I88" s="18"/>
      <c r="J88" s="15" t="s">
        <v>2240</v>
      </c>
      <c r="K88" s="15" t="s">
        <v>2242</v>
      </c>
      <c r="L88" s="20">
        <v>2.881068656E9</v>
      </c>
      <c r="M88" s="18"/>
      <c r="N88" s="18"/>
      <c r="O88" s="18"/>
      <c r="P88" s="20">
        <v>22.0</v>
      </c>
      <c r="Q88" s="22">
        <v>45975.76122685185</v>
      </c>
      <c r="R88" s="15" t="s">
        <v>546</v>
      </c>
      <c r="S88" s="15" t="s">
        <v>125</v>
      </c>
      <c r="T88" s="15" t="s">
        <v>2247</v>
      </c>
      <c r="U88" s="15" t="s">
        <v>2248</v>
      </c>
      <c r="V88" s="15" t="s">
        <v>2249</v>
      </c>
      <c r="W88" s="15" t="s">
        <v>2251</v>
      </c>
      <c r="X88" s="15" t="s">
        <v>120</v>
      </c>
      <c r="Y88" s="18"/>
      <c r="Z88" s="15" t="s">
        <v>120</v>
      </c>
      <c r="AA88" s="18"/>
      <c r="AB88" s="15" t="s">
        <v>120</v>
      </c>
      <c r="AC88" s="15" t="s">
        <v>120</v>
      </c>
      <c r="AD88" s="18"/>
      <c r="AE88" s="15" t="s">
        <v>117</v>
      </c>
      <c r="AF88" s="15" t="s">
        <v>2257</v>
      </c>
      <c r="AG88" s="15" t="s">
        <v>120</v>
      </c>
      <c r="AH88" s="18"/>
      <c r="AI88" s="15" t="s">
        <v>117</v>
      </c>
      <c r="AJ88" s="15" t="s">
        <v>2260</v>
      </c>
      <c r="AK88" s="18"/>
      <c r="AL88" s="15" t="s">
        <v>124</v>
      </c>
      <c r="AM88" s="15" t="s">
        <v>242</v>
      </c>
      <c r="AN88" s="15" t="s">
        <v>156</v>
      </c>
      <c r="AO88" s="15" t="s">
        <v>185</v>
      </c>
      <c r="AP88" s="15"/>
    </row>
    <row r="89" ht="22.5" customHeight="1">
      <c r="A89" s="15" t="s">
        <v>1857</v>
      </c>
      <c r="B89" s="15" t="s">
        <v>2263</v>
      </c>
      <c r="C89" s="15" t="s">
        <v>2264</v>
      </c>
      <c r="D89" s="41">
        <v>37293.0</v>
      </c>
      <c r="E89" s="15" t="s">
        <v>177</v>
      </c>
      <c r="F89" s="15" t="s">
        <v>2265</v>
      </c>
      <c r="G89" s="15" t="s">
        <v>2266</v>
      </c>
      <c r="H89" s="15" t="s">
        <v>101</v>
      </c>
      <c r="I89" s="18"/>
      <c r="J89" s="15" t="s">
        <v>2267</v>
      </c>
      <c r="K89" s="15" t="s">
        <v>2268</v>
      </c>
      <c r="L89" s="20">
        <v>5.518338232E9</v>
      </c>
      <c r="M89" s="18"/>
      <c r="N89" s="18"/>
      <c r="O89" s="18"/>
      <c r="P89" s="20">
        <v>24.0</v>
      </c>
      <c r="Q89" s="22">
        <v>46040.761967592596</v>
      </c>
      <c r="R89" s="15" t="s">
        <v>107</v>
      </c>
      <c r="S89" s="15" t="s">
        <v>125</v>
      </c>
      <c r="T89" s="15" t="s">
        <v>111</v>
      </c>
      <c r="U89" s="15" t="s">
        <v>1979</v>
      </c>
      <c r="V89" s="15" t="s">
        <v>1980</v>
      </c>
      <c r="W89" s="15" t="s">
        <v>1981</v>
      </c>
      <c r="X89" s="15" t="s">
        <v>120</v>
      </c>
      <c r="Y89" s="18"/>
      <c r="Z89" s="15" t="s">
        <v>120</v>
      </c>
      <c r="AA89" s="18"/>
      <c r="AB89" s="15" t="s">
        <v>120</v>
      </c>
      <c r="AC89" s="18"/>
      <c r="AD89" s="18"/>
      <c r="AE89" s="15" t="s">
        <v>120</v>
      </c>
      <c r="AF89" s="18"/>
      <c r="AG89" s="15" t="s">
        <v>120</v>
      </c>
      <c r="AH89" s="18"/>
      <c r="AI89" s="15" t="s">
        <v>120</v>
      </c>
      <c r="AJ89" s="18"/>
      <c r="AK89" s="18"/>
      <c r="AL89" s="15" t="s">
        <v>138</v>
      </c>
      <c r="AM89" s="15" t="s">
        <v>128</v>
      </c>
      <c r="AN89" s="15" t="s">
        <v>124</v>
      </c>
      <c r="AO89" s="15" t="s">
        <v>185</v>
      </c>
      <c r="AP89" s="15"/>
    </row>
    <row r="90" ht="22.5" customHeight="1">
      <c r="A90" s="15" t="s">
        <v>2282</v>
      </c>
      <c r="B90" s="18"/>
      <c r="C90" s="15" t="s">
        <v>2282</v>
      </c>
      <c r="D90" s="41">
        <v>38117.0</v>
      </c>
      <c r="E90" s="15" t="s">
        <v>98</v>
      </c>
      <c r="F90" s="15">
        <v>5.512895279E9</v>
      </c>
      <c r="G90" s="15" t="s">
        <v>2284</v>
      </c>
      <c r="H90" s="15" t="s">
        <v>150</v>
      </c>
      <c r="I90" s="18"/>
      <c r="J90" s="15" t="s">
        <v>2287</v>
      </c>
      <c r="K90" s="15" t="s">
        <v>2288</v>
      </c>
      <c r="L90" s="20">
        <v>5.639585915E9</v>
      </c>
      <c r="M90" s="18"/>
      <c r="N90" s="18"/>
      <c r="O90" s="18"/>
      <c r="P90" s="20">
        <v>21.0</v>
      </c>
      <c r="Q90" s="22">
        <v>46034.82329861111</v>
      </c>
      <c r="R90" s="15" t="s">
        <v>107</v>
      </c>
      <c r="S90" s="15" t="s">
        <v>125</v>
      </c>
      <c r="T90" s="15" t="s">
        <v>127</v>
      </c>
      <c r="U90" s="15" t="s">
        <v>130</v>
      </c>
      <c r="V90" s="15" t="s">
        <v>131</v>
      </c>
      <c r="W90" s="15" t="s">
        <v>132</v>
      </c>
      <c r="X90" s="15" t="s">
        <v>120</v>
      </c>
      <c r="Y90" s="18"/>
      <c r="Z90" s="15" t="s">
        <v>120</v>
      </c>
      <c r="AA90" s="18"/>
      <c r="AB90" s="15" t="s">
        <v>120</v>
      </c>
      <c r="AC90" s="15" t="s">
        <v>117</v>
      </c>
      <c r="AD90" s="18"/>
      <c r="AE90" s="15" t="s">
        <v>120</v>
      </c>
      <c r="AF90" s="18"/>
      <c r="AG90" s="15" t="s">
        <v>120</v>
      </c>
      <c r="AH90" s="18"/>
      <c r="AI90" s="15" t="s">
        <v>120</v>
      </c>
      <c r="AJ90" s="18"/>
      <c r="AK90" s="18"/>
      <c r="AL90" s="15" t="s">
        <v>124</v>
      </c>
      <c r="AM90" s="15" t="s">
        <v>242</v>
      </c>
      <c r="AN90" s="15" t="s">
        <v>156</v>
      </c>
      <c r="AO90" s="15" t="s">
        <v>129</v>
      </c>
      <c r="AP90" s="15"/>
    </row>
    <row r="91" ht="22.5" customHeight="1">
      <c r="A91" s="15" t="s">
        <v>2301</v>
      </c>
      <c r="B91" s="15" t="s">
        <v>2304</v>
      </c>
      <c r="C91" s="15" t="s">
        <v>2305</v>
      </c>
      <c r="D91" s="41">
        <v>37310.0</v>
      </c>
      <c r="E91" s="15" t="s">
        <v>177</v>
      </c>
      <c r="F91" s="15">
        <v>5.583939271E9</v>
      </c>
      <c r="G91" s="15" t="s">
        <v>2308</v>
      </c>
      <c r="H91" s="15" t="s">
        <v>101</v>
      </c>
      <c r="I91" s="18"/>
      <c r="J91" s="15" t="s">
        <v>2305</v>
      </c>
      <c r="K91" s="15" t="s">
        <v>2308</v>
      </c>
      <c r="L91" s="20">
        <v>5.583939571E9</v>
      </c>
      <c r="M91" s="18"/>
      <c r="N91" s="18"/>
      <c r="O91" s="18"/>
      <c r="P91" s="20">
        <v>24.0</v>
      </c>
      <c r="Q91" s="22">
        <v>46037.94712962963</v>
      </c>
      <c r="R91" s="15" t="s">
        <v>107</v>
      </c>
      <c r="S91" s="15" t="s">
        <v>125</v>
      </c>
      <c r="T91" s="15" t="s">
        <v>2309</v>
      </c>
      <c r="U91" s="15" t="s">
        <v>2310</v>
      </c>
      <c r="V91" s="15" t="s">
        <v>2311</v>
      </c>
      <c r="W91" s="15" t="s">
        <v>2312</v>
      </c>
      <c r="X91" s="15" t="s">
        <v>120</v>
      </c>
      <c r="Y91" s="18"/>
      <c r="Z91" s="15" t="s">
        <v>120</v>
      </c>
      <c r="AA91" s="18"/>
      <c r="AB91" s="15" t="s">
        <v>120</v>
      </c>
      <c r="AC91" s="15" t="s">
        <v>120</v>
      </c>
      <c r="AD91" s="18"/>
      <c r="AE91" s="15" t="s">
        <v>120</v>
      </c>
      <c r="AF91" s="18"/>
      <c r="AG91" s="15" t="s">
        <v>120</v>
      </c>
      <c r="AH91" s="18"/>
      <c r="AI91" s="15" t="s">
        <v>120</v>
      </c>
      <c r="AJ91" s="18"/>
      <c r="AK91" s="18"/>
      <c r="AL91" s="15" t="s">
        <v>240</v>
      </c>
      <c r="AM91" s="15" t="s">
        <v>128</v>
      </c>
      <c r="AN91" s="15" t="s">
        <v>156</v>
      </c>
      <c r="AO91" s="15" t="s">
        <v>128</v>
      </c>
      <c r="AP91" s="15"/>
    </row>
    <row r="92" ht="22.5" customHeight="1">
      <c r="A92" s="15" t="s">
        <v>2319</v>
      </c>
      <c r="B92" s="15" t="s">
        <v>2321</v>
      </c>
      <c r="C92" s="15" t="s">
        <v>2323</v>
      </c>
      <c r="D92" s="41">
        <v>38537.0</v>
      </c>
      <c r="E92" s="15" t="s">
        <v>98</v>
      </c>
      <c r="F92" s="15">
        <v>5.629086743E9</v>
      </c>
      <c r="G92" s="15" t="s">
        <v>2325</v>
      </c>
      <c r="H92" s="15" t="s">
        <v>101</v>
      </c>
      <c r="I92" s="18"/>
      <c r="J92" s="15" t="s">
        <v>674</v>
      </c>
      <c r="K92" s="15" t="s">
        <v>673</v>
      </c>
      <c r="L92" s="20">
        <v>5.512799675E9</v>
      </c>
      <c r="M92" s="18"/>
      <c r="N92" s="18"/>
      <c r="O92" s="18"/>
      <c r="P92" s="20">
        <v>20.0</v>
      </c>
      <c r="Q92" s="22">
        <v>46032.4559375</v>
      </c>
      <c r="R92" s="15" t="s">
        <v>107</v>
      </c>
      <c r="S92" s="15" t="s">
        <v>125</v>
      </c>
      <c r="T92" s="15" t="s">
        <v>127</v>
      </c>
      <c r="U92" s="15" t="s">
        <v>672</v>
      </c>
      <c r="V92" s="15" t="s">
        <v>673</v>
      </c>
      <c r="W92" s="15" t="s">
        <v>674</v>
      </c>
      <c r="X92" s="15" t="s">
        <v>120</v>
      </c>
      <c r="Y92" s="18"/>
      <c r="Z92" s="15" t="s">
        <v>120</v>
      </c>
      <c r="AA92" s="18"/>
      <c r="AB92" s="15" t="s">
        <v>120</v>
      </c>
      <c r="AC92" s="18"/>
      <c r="AD92" s="18"/>
      <c r="AE92" s="15" t="s">
        <v>120</v>
      </c>
      <c r="AF92" s="18"/>
      <c r="AG92" s="15" t="s">
        <v>120</v>
      </c>
      <c r="AH92" s="18"/>
      <c r="AI92" s="15" t="s">
        <v>120</v>
      </c>
      <c r="AJ92" s="18"/>
      <c r="AK92" s="18"/>
      <c r="AL92" s="15" t="s">
        <v>138</v>
      </c>
      <c r="AM92" s="15" t="s">
        <v>126</v>
      </c>
      <c r="AN92" s="15" t="s">
        <v>156</v>
      </c>
      <c r="AO92" s="15" t="s">
        <v>216</v>
      </c>
      <c r="AP92" s="15"/>
    </row>
    <row r="93" ht="22.5" customHeight="1">
      <c r="A93" s="15" t="s">
        <v>2335</v>
      </c>
      <c r="B93" s="15" t="s">
        <v>2336</v>
      </c>
      <c r="C93" s="15" t="s">
        <v>2337</v>
      </c>
      <c r="D93" s="41">
        <v>37835.0</v>
      </c>
      <c r="E93" s="15" t="s">
        <v>177</v>
      </c>
      <c r="F93" s="15">
        <v>5.618471516E9</v>
      </c>
      <c r="G93" s="15" t="s">
        <v>2338</v>
      </c>
      <c r="H93" s="15" t="s">
        <v>140</v>
      </c>
      <c r="I93" s="15" t="s">
        <v>2339</v>
      </c>
      <c r="J93" s="15" t="s">
        <v>2340</v>
      </c>
      <c r="K93" s="15" t="s">
        <v>2341</v>
      </c>
      <c r="L93" s="20">
        <v>5.549768828E9</v>
      </c>
      <c r="M93" s="18"/>
      <c r="N93" s="18"/>
      <c r="O93" s="18"/>
      <c r="P93" s="20">
        <v>22.0</v>
      </c>
      <c r="Q93" s="22">
        <v>46026.49533564815</v>
      </c>
      <c r="R93" s="15" t="s">
        <v>107</v>
      </c>
      <c r="S93" s="15" t="s">
        <v>125</v>
      </c>
      <c r="T93" s="15" t="s">
        <v>208</v>
      </c>
      <c r="U93" s="15" t="s">
        <v>788</v>
      </c>
      <c r="V93" s="15" t="s">
        <v>789</v>
      </c>
      <c r="W93" s="15" t="s">
        <v>790</v>
      </c>
      <c r="X93" s="15" t="s">
        <v>120</v>
      </c>
      <c r="Y93" s="15" t="s">
        <v>2343</v>
      </c>
      <c r="Z93" s="15" t="s">
        <v>120</v>
      </c>
      <c r="AA93" s="18"/>
      <c r="AB93" s="15" t="s">
        <v>120</v>
      </c>
      <c r="AC93" s="15" t="s">
        <v>120</v>
      </c>
      <c r="AD93" s="18"/>
      <c r="AE93" s="15" t="s">
        <v>120</v>
      </c>
      <c r="AF93" s="18"/>
      <c r="AG93" s="15" t="s">
        <v>120</v>
      </c>
      <c r="AH93" s="18"/>
      <c r="AI93" s="15" t="s">
        <v>120</v>
      </c>
      <c r="AJ93" s="18"/>
      <c r="AK93" s="18"/>
      <c r="AL93" s="15" t="s">
        <v>185</v>
      </c>
      <c r="AM93" s="15" t="s">
        <v>141</v>
      </c>
      <c r="AN93" s="15" t="s">
        <v>124</v>
      </c>
      <c r="AO93" s="15" t="s">
        <v>216</v>
      </c>
      <c r="AP93" s="15"/>
    </row>
    <row r="94" ht="22.5" customHeight="1">
      <c r="A94" s="15" t="s">
        <v>2349</v>
      </c>
      <c r="B94" s="15" t="s">
        <v>2109</v>
      </c>
      <c r="C94" s="15" t="s">
        <v>2352</v>
      </c>
      <c r="D94" s="41">
        <v>38678.0</v>
      </c>
      <c r="E94" s="15" t="s">
        <v>98</v>
      </c>
      <c r="F94" s="15" t="s">
        <v>2353</v>
      </c>
      <c r="G94" s="15" t="s">
        <v>2354</v>
      </c>
      <c r="H94" s="15" t="s">
        <v>140</v>
      </c>
      <c r="I94" s="18"/>
      <c r="J94" s="15" t="s">
        <v>2355</v>
      </c>
      <c r="K94" s="15" t="s">
        <v>2356</v>
      </c>
      <c r="L94" s="20">
        <v>5.542708889E9</v>
      </c>
      <c r="M94" s="15" t="s">
        <v>2357</v>
      </c>
      <c r="N94" s="15" t="s">
        <v>2354</v>
      </c>
      <c r="O94" s="15">
        <v>5.531576562E9</v>
      </c>
      <c r="P94" s="20">
        <v>20.0</v>
      </c>
      <c r="Q94" s="22">
        <v>46033.51939814815</v>
      </c>
      <c r="R94" s="15" t="s">
        <v>107</v>
      </c>
      <c r="S94" s="15" t="s">
        <v>125</v>
      </c>
      <c r="T94" s="15" t="s">
        <v>127</v>
      </c>
      <c r="U94" s="15" t="s">
        <v>130</v>
      </c>
      <c r="V94" s="15" t="s">
        <v>131</v>
      </c>
      <c r="W94" s="15" t="s">
        <v>132</v>
      </c>
      <c r="X94" s="15" t="s">
        <v>120</v>
      </c>
      <c r="Y94" s="18"/>
      <c r="Z94" s="15" t="s">
        <v>120</v>
      </c>
      <c r="AA94" s="18"/>
      <c r="AB94" s="15" t="s">
        <v>120</v>
      </c>
      <c r="AC94" s="15" t="s">
        <v>120</v>
      </c>
      <c r="AD94" s="18"/>
      <c r="AE94" s="15" t="s">
        <v>120</v>
      </c>
      <c r="AF94" s="18"/>
      <c r="AG94" s="15" t="s">
        <v>120</v>
      </c>
      <c r="AH94" s="18"/>
      <c r="AI94" s="15" t="s">
        <v>120</v>
      </c>
      <c r="AJ94" s="18"/>
      <c r="AK94" s="18"/>
      <c r="AL94" s="15" t="s">
        <v>138</v>
      </c>
      <c r="AM94" s="15" t="s">
        <v>240</v>
      </c>
      <c r="AN94" s="15" t="s">
        <v>126</v>
      </c>
      <c r="AO94" s="15" t="s">
        <v>185</v>
      </c>
      <c r="AP94" s="15"/>
    </row>
    <row r="95" ht="22.5" customHeight="1">
      <c r="A95" s="15" t="s">
        <v>2367</v>
      </c>
      <c r="B95" s="15" t="s">
        <v>2368</v>
      </c>
      <c r="C95" s="15" t="s">
        <v>2369</v>
      </c>
      <c r="D95" s="41">
        <v>36843.0</v>
      </c>
      <c r="E95" s="15" t="s">
        <v>177</v>
      </c>
      <c r="F95" s="15">
        <v>5.638916506E9</v>
      </c>
      <c r="G95" s="15" t="s">
        <v>2370</v>
      </c>
      <c r="H95" s="15" t="s">
        <v>382</v>
      </c>
      <c r="I95" s="18"/>
      <c r="J95" s="15" t="s">
        <v>2371</v>
      </c>
      <c r="K95" s="15" t="s">
        <v>2372</v>
      </c>
      <c r="L95" s="20">
        <v>7.296435018E9</v>
      </c>
      <c r="M95" s="18"/>
      <c r="N95" s="18"/>
      <c r="O95" s="18"/>
      <c r="P95" s="20">
        <v>25.0</v>
      </c>
      <c r="Q95" s="22">
        <v>46033.51553240741</v>
      </c>
      <c r="R95" s="15" t="s">
        <v>107</v>
      </c>
      <c r="S95" s="15" t="s">
        <v>125</v>
      </c>
      <c r="T95" s="15" t="s">
        <v>171</v>
      </c>
      <c r="U95" s="15" t="s">
        <v>444</v>
      </c>
      <c r="V95" s="15" t="s">
        <v>445</v>
      </c>
      <c r="W95" s="15" t="s">
        <v>446</v>
      </c>
      <c r="X95" s="15" t="s">
        <v>120</v>
      </c>
      <c r="Y95" s="15" t="s">
        <v>1537</v>
      </c>
      <c r="Z95" s="15" t="s">
        <v>120</v>
      </c>
      <c r="AA95" s="15" t="s">
        <v>1537</v>
      </c>
      <c r="AB95" s="15" t="s">
        <v>120</v>
      </c>
      <c r="AC95" s="18"/>
      <c r="AD95" s="15" t="s">
        <v>1537</v>
      </c>
      <c r="AE95" s="15" t="s">
        <v>120</v>
      </c>
      <c r="AF95" s="15" t="s">
        <v>1537</v>
      </c>
      <c r="AG95" s="15" t="s">
        <v>120</v>
      </c>
      <c r="AH95" s="15" t="s">
        <v>1537</v>
      </c>
      <c r="AI95" s="15" t="s">
        <v>120</v>
      </c>
      <c r="AJ95" s="15" t="s">
        <v>1537</v>
      </c>
      <c r="AK95" s="15" t="s">
        <v>1537</v>
      </c>
      <c r="AL95" s="15" t="s">
        <v>129</v>
      </c>
      <c r="AM95" s="15" t="s">
        <v>141</v>
      </c>
      <c r="AN95" s="15" t="s">
        <v>138</v>
      </c>
      <c r="AO95" s="15" t="s">
        <v>128</v>
      </c>
      <c r="AP95" s="15"/>
    </row>
    <row r="96" ht="22.5" customHeight="1">
      <c r="A96" s="15" t="s">
        <v>2373</v>
      </c>
      <c r="B96" s="15" t="s">
        <v>2374</v>
      </c>
      <c r="C96" s="15" t="s">
        <v>2375</v>
      </c>
      <c r="D96" s="41">
        <v>36104.0</v>
      </c>
      <c r="E96" s="15" t="s">
        <v>98</v>
      </c>
      <c r="F96" s="15">
        <v>7.226715531E9</v>
      </c>
      <c r="G96" s="15" t="s">
        <v>2376</v>
      </c>
      <c r="H96" s="15" t="s">
        <v>382</v>
      </c>
      <c r="I96" s="18"/>
      <c r="J96" s="15" t="s">
        <v>2377</v>
      </c>
      <c r="K96" s="15" t="s">
        <v>2378</v>
      </c>
      <c r="L96" s="77">
        <f>+525534613306</f>
        <v>525534613306</v>
      </c>
      <c r="M96" s="18"/>
      <c r="N96" s="18"/>
      <c r="O96" s="18"/>
      <c r="P96" s="20">
        <v>27.0</v>
      </c>
      <c r="Q96" s="22">
        <v>45970.73678240741</v>
      </c>
      <c r="R96" s="15" t="s">
        <v>260</v>
      </c>
      <c r="S96" s="15" t="s">
        <v>125</v>
      </c>
      <c r="T96" s="15" t="s">
        <v>2379</v>
      </c>
      <c r="U96" s="15" t="s">
        <v>2380</v>
      </c>
      <c r="V96" s="15" t="s">
        <v>2381</v>
      </c>
      <c r="W96" s="15" t="s">
        <v>2382</v>
      </c>
      <c r="X96" s="15" t="s">
        <v>120</v>
      </c>
      <c r="Y96" s="18"/>
      <c r="Z96" s="15" t="s">
        <v>120</v>
      </c>
      <c r="AA96" s="18"/>
      <c r="AB96" s="15" t="s">
        <v>120</v>
      </c>
      <c r="AC96" s="18"/>
      <c r="AD96" s="18"/>
      <c r="AE96" s="15" t="s">
        <v>120</v>
      </c>
      <c r="AF96" s="18"/>
      <c r="AG96" s="15" t="s">
        <v>120</v>
      </c>
      <c r="AH96" s="18"/>
      <c r="AI96" s="15" t="s">
        <v>120</v>
      </c>
      <c r="AJ96" s="18"/>
      <c r="AK96" s="18"/>
      <c r="AL96" s="15" t="s">
        <v>126</v>
      </c>
      <c r="AM96" s="15" t="s">
        <v>138</v>
      </c>
      <c r="AN96" s="15" t="s">
        <v>242</v>
      </c>
      <c r="AO96" s="15" t="s">
        <v>185</v>
      </c>
      <c r="AP96" s="15"/>
    </row>
    <row r="97" ht="22.5" customHeight="1">
      <c r="A97" s="15" t="s">
        <v>2388</v>
      </c>
      <c r="B97" s="15" t="s">
        <v>2389</v>
      </c>
      <c r="C97" s="15" t="s">
        <v>2390</v>
      </c>
      <c r="D97" s="41">
        <v>38632.0</v>
      </c>
      <c r="E97" s="15" t="s">
        <v>177</v>
      </c>
      <c r="F97" s="15">
        <v>5.649333565E9</v>
      </c>
      <c r="G97" s="15" t="s">
        <v>2391</v>
      </c>
      <c r="H97" s="15" t="s">
        <v>101</v>
      </c>
      <c r="I97" s="18"/>
      <c r="J97" s="15" t="s">
        <v>2392</v>
      </c>
      <c r="K97" s="15" t="s">
        <v>1600</v>
      </c>
      <c r="L97" s="20">
        <v>5.626696557E9</v>
      </c>
      <c r="M97" s="18"/>
      <c r="N97" s="18"/>
      <c r="O97" s="18"/>
      <c r="P97" s="20">
        <v>20.0</v>
      </c>
      <c r="Q97" s="22">
        <v>46040.98600694445</v>
      </c>
      <c r="R97" s="15" t="s">
        <v>107</v>
      </c>
      <c r="S97" s="15" t="s">
        <v>125</v>
      </c>
      <c r="T97" s="15" t="s">
        <v>208</v>
      </c>
      <c r="U97" s="15" t="s">
        <v>1599</v>
      </c>
      <c r="V97" s="15" t="s">
        <v>1600</v>
      </c>
      <c r="W97" s="15" t="s">
        <v>1602</v>
      </c>
      <c r="X97" s="15" t="s">
        <v>120</v>
      </c>
      <c r="Y97" s="18"/>
      <c r="Z97" s="15" t="s">
        <v>120</v>
      </c>
      <c r="AA97" s="18"/>
      <c r="AB97" s="15" t="s">
        <v>120</v>
      </c>
      <c r="AC97" s="15" t="s">
        <v>120</v>
      </c>
      <c r="AD97" s="18"/>
      <c r="AE97" s="15" t="s">
        <v>120</v>
      </c>
      <c r="AF97" s="18"/>
      <c r="AG97" s="15" t="s">
        <v>120</v>
      </c>
      <c r="AH97" s="18"/>
      <c r="AI97" s="15" t="s">
        <v>120</v>
      </c>
      <c r="AJ97" s="18"/>
      <c r="AK97" s="18"/>
      <c r="AL97" s="15" t="s">
        <v>242</v>
      </c>
      <c r="AM97" s="15" t="s">
        <v>185</v>
      </c>
      <c r="AN97" s="15" t="s">
        <v>156</v>
      </c>
      <c r="AO97" s="15" t="s">
        <v>138</v>
      </c>
      <c r="AP97" s="15"/>
    </row>
    <row r="98" ht="22.5" customHeight="1">
      <c r="A98" s="15" t="s">
        <v>2393</v>
      </c>
      <c r="B98" s="15" t="s">
        <v>2394</v>
      </c>
      <c r="C98" s="15" t="s">
        <v>2395</v>
      </c>
      <c r="D98" s="41">
        <v>37457.0</v>
      </c>
      <c r="E98" s="15" t="s">
        <v>98</v>
      </c>
      <c r="F98" s="15">
        <v>5.537924168E9</v>
      </c>
      <c r="G98" s="15" t="s">
        <v>2396</v>
      </c>
      <c r="H98" s="15" t="s">
        <v>382</v>
      </c>
      <c r="I98" s="15" t="s">
        <v>2397</v>
      </c>
      <c r="J98" s="15" t="s">
        <v>2398</v>
      </c>
      <c r="K98" s="15" t="s">
        <v>2399</v>
      </c>
      <c r="L98" s="20">
        <v>5.522060036E9</v>
      </c>
      <c r="M98" s="15" t="s">
        <v>2400</v>
      </c>
      <c r="N98" s="15" t="s">
        <v>2401</v>
      </c>
      <c r="O98" s="15">
        <v>5.51190073E9</v>
      </c>
      <c r="P98" s="20">
        <v>23.0</v>
      </c>
      <c r="Q98" s="22">
        <v>46023.47871527778</v>
      </c>
      <c r="R98" s="15" t="s">
        <v>107</v>
      </c>
      <c r="S98" s="15" t="s">
        <v>125</v>
      </c>
      <c r="T98" s="15" t="s">
        <v>111</v>
      </c>
      <c r="U98" s="15" t="s">
        <v>398</v>
      </c>
      <c r="V98" s="15" t="s">
        <v>399</v>
      </c>
      <c r="W98" s="15" t="s">
        <v>400</v>
      </c>
      <c r="X98" s="15" t="s">
        <v>120</v>
      </c>
      <c r="Y98" s="15" t="s">
        <v>2397</v>
      </c>
      <c r="Z98" s="15" t="s">
        <v>120</v>
      </c>
      <c r="AA98" s="15" t="s">
        <v>2397</v>
      </c>
      <c r="AB98" s="15" t="s">
        <v>120</v>
      </c>
      <c r="AC98" s="15" t="s">
        <v>120</v>
      </c>
      <c r="AD98" s="15" t="s">
        <v>2397</v>
      </c>
      <c r="AE98" s="15" t="s">
        <v>120</v>
      </c>
      <c r="AF98" s="15" t="s">
        <v>2397</v>
      </c>
      <c r="AG98" s="15" t="s">
        <v>120</v>
      </c>
      <c r="AH98" s="15" t="s">
        <v>2397</v>
      </c>
      <c r="AI98" s="15" t="s">
        <v>120</v>
      </c>
      <c r="AJ98" s="15" t="s">
        <v>2397</v>
      </c>
      <c r="AK98" s="15" t="s">
        <v>2397</v>
      </c>
      <c r="AL98" s="15" t="s">
        <v>242</v>
      </c>
      <c r="AM98" s="15" t="s">
        <v>138</v>
      </c>
      <c r="AN98" s="15" t="s">
        <v>216</v>
      </c>
      <c r="AO98" s="15" t="s">
        <v>124</v>
      </c>
      <c r="AP98" s="15"/>
    </row>
    <row r="99" ht="22.5" customHeight="1">
      <c r="A99" s="15" t="s">
        <v>2413</v>
      </c>
      <c r="B99" s="15" t="s">
        <v>2414</v>
      </c>
      <c r="C99" s="15" t="s">
        <v>2415</v>
      </c>
      <c r="D99" s="41">
        <v>35914.0</v>
      </c>
      <c r="E99" s="15" t="s">
        <v>98</v>
      </c>
      <c r="F99" s="15">
        <v>5.549139182E9</v>
      </c>
      <c r="G99" s="15" t="s">
        <v>2416</v>
      </c>
      <c r="H99" s="15" t="s">
        <v>140</v>
      </c>
      <c r="I99" s="15" t="s">
        <v>135</v>
      </c>
      <c r="J99" s="15" t="s">
        <v>2417</v>
      </c>
      <c r="K99" s="15" t="s">
        <v>2418</v>
      </c>
      <c r="L99" s="20">
        <v>5.535002853E9</v>
      </c>
      <c r="M99" s="18"/>
      <c r="N99" s="18"/>
      <c r="O99" s="18"/>
      <c r="P99" s="20">
        <v>27.0</v>
      </c>
      <c r="Q99" s="22">
        <v>46040.41475694445</v>
      </c>
      <c r="R99" s="15" t="s">
        <v>231</v>
      </c>
      <c r="S99" s="15" t="s">
        <v>125</v>
      </c>
      <c r="T99" s="15" t="s">
        <v>192</v>
      </c>
      <c r="U99" s="15" t="s">
        <v>505</v>
      </c>
      <c r="V99" s="15" t="s">
        <v>506</v>
      </c>
      <c r="W99" s="15" t="s">
        <v>507</v>
      </c>
      <c r="X99" s="15" t="s">
        <v>120</v>
      </c>
      <c r="Y99" s="18"/>
      <c r="Z99" s="15" t="s">
        <v>120</v>
      </c>
      <c r="AA99" s="18"/>
      <c r="AB99" s="15" t="s">
        <v>117</v>
      </c>
      <c r="AC99" s="15" t="s">
        <v>117</v>
      </c>
      <c r="AD99" s="15" t="s">
        <v>2423</v>
      </c>
      <c r="AE99" s="15" t="s">
        <v>120</v>
      </c>
      <c r="AF99" s="18"/>
      <c r="AG99" s="15" t="s">
        <v>120</v>
      </c>
      <c r="AH99" s="18"/>
      <c r="AI99" s="15" t="s">
        <v>117</v>
      </c>
      <c r="AJ99" s="15" t="s">
        <v>2427</v>
      </c>
      <c r="AK99" s="18"/>
      <c r="AL99" s="15" t="s">
        <v>138</v>
      </c>
      <c r="AM99" s="15" t="s">
        <v>124</v>
      </c>
      <c r="AN99" s="15" t="s">
        <v>129</v>
      </c>
      <c r="AO99" s="15" t="s">
        <v>242</v>
      </c>
      <c r="AP99" s="15"/>
    </row>
    <row r="100" ht="22.5" customHeight="1">
      <c r="A100" s="15" t="s">
        <v>2432</v>
      </c>
      <c r="B100" s="15" t="s">
        <v>2433</v>
      </c>
      <c r="C100" s="15" t="s">
        <v>2435</v>
      </c>
      <c r="D100" s="41">
        <v>37079.0</v>
      </c>
      <c r="E100" s="15" t="s">
        <v>98</v>
      </c>
      <c r="F100" s="15">
        <v>5.630865467E9</v>
      </c>
      <c r="G100" s="15" t="s">
        <v>2439</v>
      </c>
      <c r="H100" s="15" t="s">
        <v>101</v>
      </c>
      <c r="I100" s="18"/>
      <c r="J100" s="15" t="s">
        <v>2440</v>
      </c>
      <c r="K100" s="15" t="s">
        <v>2441</v>
      </c>
      <c r="L100" s="20">
        <v>5.525591383E9</v>
      </c>
      <c r="M100" s="18"/>
      <c r="N100" s="18"/>
      <c r="O100" s="18"/>
      <c r="P100" s="20">
        <v>24.0</v>
      </c>
      <c r="Q100" s="22">
        <v>46026.30451388889</v>
      </c>
      <c r="R100" s="15" t="s">
        <v>107</v>
      </c>
      <c r="S100" s="15" t="s">
        <v>125</v>
      </c>
      <c r="T100" s="15" t="s">
        <v>171</v>
      </c>
      <c r="U100" s="15" t="s">
        <v>638</v>
      </c>
      <c r="V100" s="15" t="s">
        <v>639</v>
      </c>
      <c r="W100" s="15" t="s">
        <v>641</v>
      </c>
      <c r="X100" s="15" t="s">
        <v>120</v>
      </c>
      <c r="Y100" s="18"/>
      <c r="Z100" s="15" t="s">
        <v>120</v>
      </c>
      <c r="AA100" s="18"/>
      <c r="AB100" s="15" t="s">
        <v>120</v>
      </c>
      <c r="AC100" s="15" t="s">
        <v>120</v>
      </c>
      <c r="AD100" s="18"/>
      <c r="AE100" s="15" t="s">
        <v>120</v>
      </c>
      <c r="AF100" s="18"/>
      <c r="AG100" s="15" t="s">
        <v>120</v>
      </c>
      <c r="AH100" s="18"/>
      <c r="AI100" s="15" t="s">
        <v>120</v>
      </c>
      <c r="AJ100" s="18"/>
      <c r="AK100" s="18"/>
      <c r="AL100" s="15" t="s">
        <v>138</v>
      </c>
      <c r="AM100" s="15" t="s">
        <v>240</v>
      </c>
      <c r="AN100" s="15" t="s">
        <v>141</v>
      </c>
      <c r="AO100" s="15" t="s">
        <v>128</v>
      </c>
      <c r="AP100" s="15"/>
    </row>
    <row r="101" ht="22.5" customHeight="1">
      <c r="A101" s="15" t="s">
        <v>2450</v>
      </c>
      <c r="B101" s="15" t="s">
        <v>2452</v>
      </c>
      <c r="C101" s="15" t="s">
        <v>61</v>
      </c>
      <c r="D101" s="41">
        <v>38182.0</v>
      </c>
      <c r="E101" s="15" t="s">
        <v>177</v>
      </c>
      <c r="F101" s="15">
        <v>5.52342538E9</v>
      </c>
      <c r="G101" s="15" t="s">
        <v>2454</v>
      </c>
      <c r="H101" s="15" t="s">
        <v>382</v>
      </c>
      <c r="I101" s="18"/>
      <c r="J101" s="15" t="s">
        <v>2456</v>
      </c>
      <c r="K101" s="15" t="s">
        <v>2458</v>
      </c>
      <c r="L101" s="20">
        <v>5.554355822E9</v>
      </c>
      <c r="M101" s="18"/>
      <c r="N101" s="18"/>
      <c r="O101" s="18"/>
      <c r="P101" s="20">
        <v>21.0</v>
      </c>
      <c r="Q101" s="22">
        <v>46026.388287037036</v>
      </c>
      <c r="R101" s="15" t="s">
        <v>107</v>
      </c>
      <c r="S101" s="15" t="s">
        <v>125</v>
      </c>
      <c r="T101" s="15" t="s">
        <v>192</v>
      </c>
      <c r="U101" s="15" t="s">
        <v>195</v>
      </c>
      <c r="V101" s="15" t="s">
        <v>198</v>
      </c>
      <c r="W101" s="15" t="s">
        <v>200</v>
      </c>
      <c r="X101" s="15" t="s">
        <v>120</v>
      </c>
      <c r="Y101" s="18"/>
      <c r="Z101" s="15" t="s">
        <v>120</v>
      </c>
      <c r="AA101" s="18"/>
      <c r="AB101" s="15" t="s">
        <v>117</v>
      </c>
      <c r="AC101" s="15" t="s">
        <v>117</v>
      </c>
      <c r="AD101" s="18"/>
      <c r="AE101" s="15" t="s">
        <v>120</v>
      </c>
      <c r="AF101" s="18"/>
      <c r="AG101" s="15" t="s">
        <v>120</v>
      </c>
      <c r="AH101" s="18"/>
      <c r="AI101" s="15" t="s">
        <v>120</v>
      </c>
      <c r="AJ101" s="18"/>
      <c r="AK101" s="18"/>
      <c r="AL101" s="15" t="s">
        <v>129</v>
      </c>
      <c r="AM101" s="15" t="s">
        <v>156</v>
      </c>
      <c r="AN101" s="15" t="s">
        <v>138</v>
      </c>
      <c r="AO101" s="15" t="s">
        <v>128</v>
      </c>
      <c r="AP101" s="15"/>
    </row>
    <row r="102" ht="22.5" customHeight="1">
      <c r="A102" s="15" t="s">
        <v>2466</v>
      </c>
      <c r="B102" s="15" t="s">
        <v>2467</v>
      </c>
      <c r="C102" s="15" t="s">
        <v>2468</v>
      </c>
      <c r="D102" s="41">
        <v>38296.0</v>
      </c>
      <c r="E102" s="15" t="s">
        <v>177</v>
      </c>
      <c r="F102" s="15">
        <v>5.586106934E9</v>
      </c>
      <c r="G102" s="15" t="s">
        <v>2469</v>
      </c>
      <c r="H102" s="15" t="s">
        <v>150</v>
      </c>
      <c r="I102" s="18"/>
      <c r="J102" s="15" t="s">
        <v>2470</v>
      </c>
      <c r="K102" s="15" t="s">
        <v>2471</v>
      </c>
      <c r="L102" s="20">
        <v>5.581739741E9</v>
      </c>
      <c r="M102" s="18"/>
      <c r="N102" s="18"/>
      <c r="O102" s="18"/>
      <c r="P102" s="20">
        <v>21.0</v>
      </c>
      <c r="Q102" s="22">
        <v>46040.56043981481</v>
      </c>
      <c r="R102" s="15" t="s">
        <v>107</v>
      </c>
      <c r="S102" s="15" t="s">
        <v>125</v>
      </c>
      <c r="T102" s="15" t="s">
        <v>208</v>
      </c>
      <c r="U102" s="15" t="s">
        <v>601</v>
      </c>
      <c r="V102" s="15" t="s">
        <v>602</v>
      </c>
      <c r="W102" s="15" t="s">
        <v>603</v>
      </c>
      <c r="X102" s="15" t="s">
        <v>120</v>
      </c>
      <c r="Y102" s="18"/>
      <c r="Z102" s="15" t="s">
        <v>120</v>
      </c>
      <c r="AA102" s="18"/>
      <c r="AB102" s="15" t="s">
        <v>120</v>
      </c>
      <c r="AC102" s="18"/>
      <c r="AD102" s="18"/>
      <c r="AE102" s="15" t="s">
        <v>120</v>
      </c>
      <c r="AF102" s="18"/>
      <c r="AG102" s="15" t="s">
        <v>120</v>
      </c>
      <c r="AH102" s="18"/>
      <c r="AI102" s="15" t="s">
        <v>120</v>
      </c>
      <c r="AJ102" s="18"/>
      <c r="AK102" s="18"/>
      <c r="AL102" s="15" t="s">
        <v>138</v>
      </c>
      <c r="AM102" s="15" t="s">
        <v>126</v>
      </c>
      <c r="AN102" s="15" t="s">
        <v>128</v>
      </c>
      <c r="AO102" s="15" t="s">
        <v>242</v>
      </c>
      <c r="AP102" s="15"/>
    </row>
    <row r="103" ht="22.5" customHeight="1">
      <c r="A103" s="15" t="s">
        <v>2479</v>
      </c>
      <c r="B103" s="15" t="s">
        <v>2480</v>
      </c>
      <c r="C103" s="15" t="s">
        <v>2481</v>
      </c>
      <c r="D103" s="41">
        <v>38879.0</v>
      </c>
      <c r="E103" s="15" t="s">
        <v>177</v>
      </c>
      <c r="F103" s="15">
        <v>5.530796041E9</v>
      </c>
      <c r="G103" s="15" t="s">
        <v>2482</v>
      </c>
      <c r="H103" s="15" t="s">
        <v>101</v>
      </c>
      <c r="I103" s="18"/>
      <c r="J103" s="15" t="s">
        <v>2484</v>
      </c>
      <c r="K103" s="15" t="s">
        <v>2486</v>
      </c>
      <c r="L103" s="77" t="str">
        <f>+52 55 3473 0638</f>
        <v>#ERROR!</v>
      </c>
      <c r="M103" s="18"/>
      <c r="N103" s="18"/>
      <c r="O103" s="18"/>
      <c r="P103" s="20">
        <v>19.0</v>
      </c>
      <c r="Q103" s="22">
        <v>46038.36105324074</v>
      </c>
      <c r="R103" s="15" t="s">
        <v>107</v>
      </c>
      <c r="S103" s="15" t="s">
        <v>125</v>
      </c>
      <c r="T103" s="15" t="s">
        <v>160</v>
      </c>
      <c r="U103" s="15" t="s">
        <v>308</v>
      </c>
      <c r="V103" s="15" t="s">
        <v>309</v>
      </c>
      <c r="W103" s="15" t="s">
        <v>310</v>
      </c>
      <c r="X103" s="15" t="s">
        <v>120</v>
      </c>
      <c r="Y103" s="18"/>
      <c r="Z103" s="15" t="s">
        <v>120</v>
      </c>
      <c r="AA103" s="18"/>
      <c r="AB103" s="15" t="s">
        <v>120</v>
      </c>
      <c r="AC103" s="15" t="s">
        <v>117</v>
      </c>
      <c r="AD103" s="18"/>
      <c r="AE103" s="15" t="s">
        <v>120</v>
      </c>
      <c r="AF103" s="18"/>
      <c r="AG103" s="15" t="s">
        <v>120</v>
      </c>
      <c r="AH103" s="18"/>
      <c r="AI103" s="15" t="s">
        <v>120</v>
      </c>
      <c r="AJ103" s="18"/>
      <c r="AK103" s="18"/>
      <c r="AL103" s="15" t="s">
        <v>240</v>
      </c>
      <c r="AM103" s="15" t="s">
        <v>138</v>
      </c>
      <c r="AN103" s="15" t="s">
        <v>126</v>
      </c>
      <c r="AO103" s="15" t="s">
        <v>240</v>
      </c>
      <c r="AP103" s="15"/>
    </row>
    <row r="104" ht="22.5" customHeight="1">
      <c r="A104" s="15" t="s">
        <v>2492</v>
      </c>
      <c r="B104" s="15" t="s">
        <v>2493</v>
      </c>
      <c r="C104" s="15" t="s">
        <v>8</v>
      </c>
      <c r="D104" s="41">
        <v>37814.0</v>
      </c>
      <c r="E104" s="15" t="s">
        <v>177</v>
      </c>
      <c r="F104" s="15">
        <v>6.461348195E9</v>
      </c>
      <c r="G104" s="15" t="s">
        <v>2494</v>
      </c>
      <c r="H104" s="15" t="s">
        <v>382</v>
      </c>
      <c r="I104" s="18"/>
      <c r="J104" s="15" t="s">
        <v>2495</v>
      </c>
      <c r="K104" s="15" t="s">
        <v>2496</v>
      </c>
      <c r="L104" s="20">
        <v>6.461272654E9</v>
      </c>
      <c r="M104" s="18"/>
      <c r="N104" s="18"/>
      <c r="O104" s="18"/>
      <c r="P104" s="20">
        <v>22.0</v>
      </c>
      <c r="Q104" s="22">
        <v>46005.53560185185</v>
      </c>
      <c r="R104" s="15" t="s">
        <v>260</v>
      </c>
      <c r="S104" s="15" t="s">
        <v>125</v>
      </c>
      <c r="T104" s="15" t="s">
        <v>2498</v>
      </c>
      <c r="U104" s="15" t="s">
        <v>2499</v>
      </c>
      <c r="V104" s="15" t="s">
        <v>2500</v>
      </c>
      <c r="W104" s="15" t="s">
        <v>2501</v>
      </c>
      <c r="X104" s="15" t="s">
        <v>120</v>
      </c>
      <c r="Y104" s="18"/>
      <c r="Z104" s="15" t="s">
        <v>120</v>
      </c>
      <c r="AA104" s="18"/>
      <c r="AB104" s="15" t="s">
        <v>120</v>
      </c>
      <c r="AC104" s="18"/>
      <c r="AD104" s="18"/>
      <c r="AE104" s="15" t="s">
        <v>120</v>
      </c>
      <c r="AF104" s="18"/>
      <c r="AG104" s="15" t="s">
        <v>120</v>
      </c>
      <c r="AH104" s="18"/>
      <c r="AI104" s="15" t="s">
        <v>120</v>
      </c>
      <c r="AJ104" s="18"/>
      <c r="AK104" s="18"/>
      <c r="AL104" s="15" t="s">
        <v>156</v>
      </c>
      <c r="AM104" s="15" t="s">
        <v>242</v>
      </c>
      <c r="AN104" s="15" t="s">
        <v>129</v>
      </c>
      <c r="AO104" s="15" t="s">
        <v>185</v>
      </c>
      <c r="AP104" s="15"/>
    </row>
    <row r="105" ht="22.5" customHeight="1">
      <c r="A105" s="15" t="s">
        <v>2508</v>
      </c>
      <c r="B105" s="15" t="s">
        <v>2510</v>
      </c>
      <c r="C105" s="15" t="s">
        <v>2511</v>
      </c>
      <c r="D105" s="41">
        <v>39158.0</v>
      </c>
      <c r="E105" s="15" t="s">
        <v>177</v>
      </c>
      <c r="F105" s="15">
        <v>5.563381959E9</v>
      </c>
      <c r="G105" s="15" t="s">
        <v>2512</v>
      </c>
      <c r="H105" s="15" t="s">
        <v>101</v>
      </c>
      <c r="I105" s="15" t="s">
        <v>2513</v>
      </c>
      <c r="J105" s="15" t="s">
        <v>2514</v>
      </c>
      <c r="K105" s="15" t="s">
        <v>2515</v>
      </c>
      <c r="L105" s="20">
        <v>5.527229124E9</v>
      </c>
      <c r="M105" s="18"/>
      <c r="N105" s="18"/>
      <c r="O105" s="18"/>
      <c r="P105" s="20">
        <v>18.0</v>
      </c>
      <c r="Q105" s="22">
        <v>46033.870358796295</v>
      </c>
      <c r="R105" s="15" t="s">
        <v>260</v>
      </c>
      <c r="S105" s="15" t="s">
        <v>125</v>
      </c>
      <c r="T105" s="15" t="s">
        <v>111</v>
      </c>
      <c r="U105" s="15" t="s">
        <v>657</v>
      </c>
      <c r="V105" s="15" t="s">
        <v>659</v>
      </c>
      <c r="W105" s="15" t="s">
        <v>662</v>
      </c>
      <c r="X105" s="15" t="s">
        <v>120</v>
      </c>
      <c r="Y105" s="18"/>
      <c r="Z105" s="15" t="s">
        <v>120</v>
      </c>
      <c r="AA105" s="18"/>
      <c r="AB105" s="15" t="s">
        <v>120</v>
      </c>
      <c r="AC105" s="18"/>
      <c r="AD105" s="18"/>
      <c r="AE105" s="15" t="s">
        <v>120</v>
      </c>
      <c r="AF105" s="18"/>
      <c r="AG105" s="15" t="s">
        <v>120</v>
      </c>
      <c r="AH105" s="18"/>
      <c r="AI105" s="15" t="s">
        <v>120</v>
      </c>
      <c r="AJ105" s="18"/>
      <c r="AK105" s="18"/>
      <c r="AL105" s="15" t="s">
        <v>126</v>
      </c>
      <c r="AM105" s="15" t="s">
        <v>185</v>
      </c>
      <c r="AN105" s="15" t="s">
        <v>129</v>
      </c>
      <c r="AO105" s="15" t="s">
        <v>128</v>
      </c>
      <c r="AP105" s="15"/>
    </row>
    <row r="106" ht="22.5" customHeight="1">
      <c r="A106" s="15" t="s">
        <v>2525</v>
      </c>
      <c r="B106" s="15" t="s">
        <v>774</v>
      </c>
      <c r="C106" s="15" t="s">
        <v>2526</v>
      </c>
      <c r="D106" s="41">
        <v>37416.0</v>
      </c>
      <c r="E106" s="15" t="s">
        <v>98</v>
      </c>
      <c r="F106" s="15">
        <v>5.564432766E9</v>
      </c>
      <c r="G106" s="15" t="s">
        <v>2527</v>
      </c>
      <c r="H106" s="15" t="s">
        <v>140</v>
      </c>
      <c r="I106" s="18"/>
      <c r="J106" s="15" t="s">
        <v>2528</v>
      </c>
      <c r="K106" s="15" t="s">
        <v>900</v>
      </c>
      <c r="L106" s="20">
        <v>5.511540472E9</v>
      </c>
      <c r="M106" s="18"/>
      <c r="N106" s="18"/>
      <c r="O106" s="18"/>
      <c r="P106" s="20">
        <v>23.0</v>
      </c>
      <c r="Q106" s="22">
        <v>46038.77082175926</v>
      </c>
      <c r="R106" s="15" t="s">
        <v>107</v>
      </c>
      <c r="S106" s="15" t="s">
        <v>125</v>
      </c>
      <c r="T106" s="15" t="s">
        <v>111</v>
      </c>
      <c r="U106" s="15" t="s">
        <v>407</v>
      </c>
      <c r="V106" s="15" t="s">
        <v>408</v>
      </c>
      <c r="W106" s="15" t="s">
        <v>409</v>
      </c>
      <c r="X106" s="15" t="s">
        <v>120</v>
      </c>
      <c r="Y106" s="18"/>
      <c r="Z106" s="15" t="s">
        <v>120</v>
      </c>
      <c r="AA106" s="18"/>
      <c r="AB106" s="15" t="s">
        <v>120</v>
      </c>
      <c r="AC106" s="15" t="s">
        <v>120</v>
      </c>
      <c r="AD106" s="18"/>
      <c r="AE106" s="15" t="s">
        <v>120</v>
      </c>
      <c r="AF106" s="18"/>
      <c r="AG106" s="15" t="s">
        <v>120</v>
      </c>
      <c r="AH106" s="18"/>
      <c r="AI106" s="15" t="s">
        <v>120</v>
      </c>
      <c r="AJ106" s="18"/>
      <c r="AK106" s="18"/>
      <c r="AL106" s="15" t="s">
        <v>242</v>
      </c>
      <c r="AM106" s="15" t="s">
        <v>128</v>
      </c>
      <c r="AN106" s="15" t="s">
        <v>156</v>
      </c>
      <c r="AO106" s="15" t="s">
        <v>138</v>
      </c>
      <c r="AP106" s="15"/>
    </row>
    <row r="107" ht="22.5" customHeight="1">
      <c r="A107" s="15" t="s">
        <v>2544</v>
      </c>
      <c r="B107" s="15" t="s">
        <v>103</v>
      </c>
      <c r="C107" s="15" t="s">
        <v>121</v>
      </c>
      <c r="D107" s="41">
        <v>38594.0</v>
      </c>
      <c r="E107" s="15" t="s">
        <v>98</v>
      </c>
      <c r="F107" s="15">
        <v>5.616129315E9</v>
      </c>
      <c r="G107" s="15" t="s">
        <v>2546</v>
      </c>
      <c r="H107" s="15" t="s">
        <v>101</v>
      </c>
      <c r="I107" s="18"/>
      <c r="J107" s="15" t="s">
        <v>2549</v>
      </c>
      <c r="K107" s="15" t="s">
        <v>118</v>
      </c>
      <c r="L107" s="20">
        <v>5.518897341E9</v>
      </c>
      <c r="M107" s="15" t="s">
        <v>2554</v>
      </c>
      <c r="N107" s="15" t="s">
        <v>834</v>
      </c>
      <c r="O107" s="15">
        <v>5.53040827E9</v>
      </c>
      <c r="P107" s="20">
        <v>20.0</v>
      </c>
      <c r="Q107" s="22">
        <v>46033.90505787037</v>
      </c>
      <c r="R107" s="15" t="s">
        <v>107</v>
      </c>
      <c r="S107" s="15" t="s">
        <v>125</v>
      </c>
      <c r="T107" s="15" t="s">
        <v>127</v>
      </c>
      <c r="U107" s="15" t="s">
        <v>130</v>
      </c>
      <c r="V107" s="15" t="s">
        <v>131</v>
      </c>
      <c r="W107" s="15" t="s">
        <v>132</v>
      </c>
      <c r="X107" s="15" t="s">
        <v>120</v>
      </c>
      <c r="Y107" s="18"/>
      <c r="Z107" s="15" t="s">
        <v>117</v>
      </c>
      <c r="AA107" s="52" t="s">
        <v>2558</v>
      </c>
      <c r="AB107" s="15" t="s">
        <v>120</v>
      </c>
      <c r="AC107" s="15" t="s">
        <v>120</v>
      </c>
      <c r="AD107" s="18"/>
      <c r="AE107" s="15" t="s">
        <v>117</v>
      </c>
      <c r="AF107" s="15" t="s">
        <v>2559</v>
      </c>
      <c r="AG107" s="15" t="s">
        <v>120</v>
      </c>
      <c r="AH107" s="18"/>
      <c r="AI107" s="15" t="s">
        <v>120</v>
      </c>
      <c r="AJ107" s="18"/>
      <c r="AK107" s="18"/>
      <c r="AL107" s="15" t="s">
        <v>126</v>
      </c>
      <c r="AM107" s="15" t="s">
        <v>138</v>
      </c>
      <c r="AN107" s="15" t="s">
        <v>128</v>
      </c>
      <c r="AO107" s="15" t="s">
        <v>156</v>
      </c>
      <c r="AP107" s="15"/>
    </row>
    <row r="108" ht="22.5" customHeight="1">
      <c r="A108" s="15" t="s">
        <v>2564</v>
      </c>
      <c r="B108" s="15" t="s">
        <v>2566</v>
      </c>
      <c r="C108" s="15" t="s">
        <v>2568</v>
      </c>
      <c r="D108" s="41">
        <v>38726.0</v>
      </c>
      <c r="E108" s="15" t="s">
        <v>98</v>
      </c>
      <c r="F108" s="15">
        <v>5.648747442E9</v>
      </c>
      <c r="G108" s="15" t="s">
        <v>2570</v>
      </c>
      <c r="H108" s="15" t="s">
        <v>140</v>
      </c>
      <c r="I108" s="18"/>
      <c r="J108" s="15" t="s">
        <v>2572</v>
      </c>
      <c r="K108" s="15" t="s">
        <v>2574</v>
      </c>
      <c r="L108" s="20">
        <v>5.621647192E9</v>
      </c>
      <c r="M108" s="18"/>
      <c r="N108" s="18"/>
      <c r="O108" s="18"/>
      <c r="P108" s="20">
        <v>20.0</v>
      </c>
      <c r="Q108" s="22">
        <v>45999.772210648145</v>
      </c>
      <c r="R108" s="15" t="s">
        <v>546</v>
      </c>
      <c r="S108" s="15" t="s">
        <v>125</v>
      </c>
      <c r="T108" s="15" t="s">
        <v>2579</v>
      </c>
      <c r="U108" s="15" t="s">
        <v>2581</v>
      </c>
      <c r="V108" s="15" t="s">
        <v>2582</v>
      </c>
      <c r="W108" s="15" t="s">
        <v>2583</v>
      </c>
      <c r="X108" s="15" t="s">
        <v>120</v>
      </c>
      <c r="Y108" s="18"/>
      <c r="Z108" s="15" t="s">
        <v>120</v>
      </c>
      <c r="AA108" s="18"/>
      <c r="AB108" s="15" t="s">
        <v>117</v>
      </c>
      <c r="AC108" s="15" t="s">
        <v>117</v>
      </c>
      <c r="AD108" s="15">
        <v>2.0</v>
      </c>
      <c r="AE108" s="15" t="s">
        <v>120</v>
      </c>
      <c r="AF108" s="18"/>
      <c r="AG108" s="15" t="s">
        <v>120</v>
      </c>
      <c r="AH108" s="18"/>
      <c r="AI108" s="15" t="s">
        <v>120</v>
      </c>
      <c r="AJ108" s="18"/>
      <c r="AK108" s="18"/>
      <c r="AL108" s="15" t="s">
        <v>156</v>
      </c>
      <c r="AM108" s="15" t="s">
        <v>124</v>
      </c>
      <c r="AN108" s="15" t="s">
        <v>185</v>
      </c>
      <c r="AO108" s="15" t="s">
        <v>216</v>
      </c>
      <c r="AP108" s="15"/>
    </row>
    <row r="109" ht="22.5" customHeight="1">
      <c r="A109" s="15" t="s">
        <v>2587</v>
      </c>
      <c r="B109" s="15" t="s">
        <v>2588</v>
      </c>
      <c r="C109" s="15" t="s">
        <v>2589</v>
      </c>
      <c r="D109" s="41">
        <v>37393.0</v>
      </c>
      <c r="E109" s="15" t="s">
        <v>98</v>
      </c>
      <c r="F109" s="15">
        <v>5.538793119E9</v>
      </c>
      <c r="G109" s="15" t="s">
        <v>2590</v>
      </c>
      <c r="H109" s="15" t="s">
        <v>382</v>
      </c>
      <c r="I109" s="18"/>
      <c r="J109" s="15" t="s">
        <v>2591</v>
      </c>
      <c r="K109" s="15" t="s">
        <v>2592</v>
      </c>
      <c r="L109" s="20">
        <v>5.532255001E9</v>
      </c>
      <c r="M109" s="18"/>
      <c r="N109" s="18"/>
      <c r="O109" s="18"/>
      <c r="P109" s="20">
        <v>23.0</v>
      </c>
      <c r="Q109" s="22">
        <v>46024.85403935185</v>
      </c>
      <c r="R109" s="15" t="s">
        <v>107</v>
      </c>
      <c r="S109" s="15" t="s">
        <v>125</v>
      </c>
      <c r="T109" s="15" t="s">
        <v>171</v>
      </c>
      <c r="U109" s="15" t="s">
        <v>526</v>
      </c>
      <c r="V109" s="15" t="s">
        <v>527</v>
      </c>
      <c r="W109" s="15" t="s">
        <v>528</v>
      </c>
      <c r="X109" s="15" t="s">
        <v>120</v>
      </c>
      <c r="Y109" s="18"/>
      <c r="Z109" s="15" t="s">
        <v>120</v>
      </c>
      <c r="AA109" s="18"/>
      <c r="AB109" s="15" t="s">
        <v>117</v>
      </c>
      <c r="AC109" s="15" t="s">
        <v>117</v>
      </c>
      <c r="AD109" s="15" t="s">
        <v>2600</v>
      </c>
      <c r="AE109" s="15" t="s">
        <v>120</v>
      </c>
      <c r="AF109" s="18"/>
      <c r="AG109" s="15" t="s">
        <v>120</v>
      </c>
      <c r="AH109" s="18"/>
      <c r="AI109" s="15" t="s">
        <v>120</v>
      </c>
      <c r="AJ109" s="18"/>
      <c r="AK109" s="18"/>
      <c r="AL109" s="15" t="s">
        <v>124</v>
      </c>
      <c r="AM109" s="15" t="s">
        <v>141</v>
      </c>
      <c r="AN109" s="15" t="s">
        <v>129</v>
      </c>
      <c r="AO109" s="15" t="s">
        <v>242</v>
      </c>
      <c r="AP109" s="15"/>
    </row>
    <row r="110" ht="22.5" customHeight="1">
      <c r="A110" s="15" t="s">
        <v>2517</v>
      </c>
      <c r="B110" s="15" t="s">
        <v>2518</v>
      </c>
      <c r="C110" s="15" t="s">
        <v>2519</v>
      </c>
      <c r="D110" s="41">
        <v>37686.0</v>
      </c>
      <c r="E110" s="15" t="s">
        <v>98</v>
      </c>
      <c r="F110" s="15">
        <v>5.550670823E9</v>
      </c>
      <c r="G110" s="15" t="s">
        <v>2522</v>
      </c>
      <c r="H110" s="15" t="s">
        <v>101</v>
      </c>
      <c r="I110" s="15" t="s">
        <v>135</v>
      </c>
      <c r="J110" s="15" t="s">
        <v>2524</v>
      </c>
      <c r="K110" s="15" t="s">
        <v>2522</v>
      </c>
      <c r="L110" s="20">
        <v>5.554240848E9</v>
      </c>
      <c r="M110" s="18"/>
      <c r="N110" s="18"/>
      <c r="O110" s="18"/>
      <c r="P110" s="20">
        <v>22.0</v>
      </c>
      <c r="Q110" s="22">
        <v>46033.51980324074</v>
      </c>
      <c r="R110" s="15" t="s">
        <v>107</v>
      </c>
      <c r="S110" s="15" t="s">
        <v>125</v>
      </c>
      <c r="T110" s="15" t="s">
        <v>171</v>
      </c>
      <c r="U110" s="15" t="s">
        <v>1474</v>
      </c>
      <c r="V110" s="15" t="s">
        <v>1475</v>
      </c>
      <c r="W110" s="15" t="s">
        <v>1476</v>
      </c>
      <c r="X110" s="15" t="s">
        <v>120</v>
      </c>
      <c r="Y110" s="18"/>
      <c r="Z110" s="15" t="s">
        <v>120</v>
      </c>
      <c r="AA110" s="18"/>
      <c r="AB110" s="15" t="s">
        <v>120</v>
      </c>
      <c r="AC110" s="18"/>
      <c r="AD110" s="18"/>
      <c r="AE110" s="15" t="s">
        <v>117</v>
      </c>
      <c r="AF110" s="15" t="s">
        <v>2529</v>
      </c>
      <c r="AG110" s="15" t="s">
        <v>120</v>
      </c>
      <c r="AH110" s="18"/>
      <c r="AI110" s="15" t="s">
        <v>117</v>
      </c>
      <c r="AJ110" s="15" t="s">
        <v>2530</v>
      </c>
      <c r="AK110" s="15" t="s">
        <v>2531</v>
      </c>
      <c r="AL110" s="15" t="s">
        <v>126</v>
      </c>
      <c r="AM110" s="15" t="s">
        <v>216</v>
      </c>
      <c r="AN110" s="15" t="s">
        <v>240</v>
      </c>
      <c r="AO110" s="15" t="s">
        <v>141</v>
      </c>
      <c r="AP110" s="15"/>
    </row>
    <row r="111" ht="22.5" customHeight="1">
      <c r="A111" s="15" t="s">
        <v>2610</v>
      </c>
      <c r="B111" s="15" t="s">
        <v>2611</v>
      </c>
      <c r="C111" s="15" t="s">
        <v>2612</v>
      </c>
      <c r="D111" s="41">
        <v>36962.0</v>
      </c>
      <c r="E111" s="15" t="s">
        <v>98</v>
      </c>
      <c r="F111" s="15">
        <v>4.442247241E9</v>
      </c>
      <c r="G111" s="15" t="s">
        <v>2613</v>
      </c>
      <c r="H111" s="15" t="s">
        <v>140</v>
      </c>
      <c r="I111" s="18"/>
      <c r="J111" s="15" t="s">
        <v>2616</v>
      </c>
      <c r="K111" s="15" t="s">
        <v>2618</v>
      </c>
      <c r="L111" s="20">
        <v>4.443000503E9</v>
      </c>
      <c r="M111" s="18"/>
      <c r="N111" s="18"/>
      <c r="O111" s="18"/>
      <c r="P111" s="20">
        <v>24.0</v>
      </c>
      <c r="Q111" s="22">
        <v>46046.57722222222</v>
      </c>
      <c r="R111" s="15" t="s">
        <v>231</v>
      </c>
      <c r="S111" s="15" t="s">
        <v>125</v>
      </c>
      <c r="T111" s="15" t="s">
        <v>2627</v>
      </c>
      <c r="U111" s="15" t="s">
        <v>2629</v>
      </c>
      <c r="V111" s="15" t="s">
        <v>2630</v>
      </c>
      <c r="W111" s="15" t="s">
        <v>2633</v>
      </c>
      <c r="X111" s="15" t="s">
        <v>120</v>
      </c>
      <c r="Y111" s="18"/>
      <c r="Z111" s="15" t="s">
        <v>120</v>
      </c>
      <c r="AA111" s="18"/>
      <c r="AB111" s="15" t="s">
        <v>120</v>
      </c>
      <c r="AC111" s="15" t="s">
        <v>120</v>
      </c>
      <c r="AD111" s="18"/>
      <c r="AE111" s="15" t="s">
        <v>120</v>
      </c>
      <c r="AF111" s="18"/>
      <c r="AG111" s="15" t="s">
        <v>120</v>
      </c>
      <c r="AH111" s="18"/>
      <c r="AI111" s="15" t="s">
        <v>120</v>
      </c>
      <c r="AJ111" s="18"/>
      <c r="AK111" s="18"/>
      <c r="AL111" s="15" t="s">
        <v>242</v>
      </c>
      <c r="AM111" s="15" t="s">
        <v>185</v>
      </c>
      <c r="AN111" s="15" t="s">
        <v>129</v>
      </c>
      <c r="AO111" s="15" t="s">
        <v>141</v>
      </c>
      <c r="AP111" s="15"/>
    </row>
    <row r="112" ht="22.5" customHeight="1">
      <c r="A112" s="15" t="s">
        <v>2635</v>
      </c>
      <c r="B112" s="15" t="s">
        <v>2636</v>
      </c>
      <c r="C112" s="15" t="s">
        <v>2637</v>
      </c>
      <c r="D112" s="41">
        <v>38722.0</v>
      </c>
      <c r="E112" s="15" t="s">
        <v>98</v>
      </c>
      <c r="F112" s="15">
        <v>5.568951569E9</v>
      </c>
      <c r="G112" s="15" t="s">
        <v>2639</v>
      </c>
      <c r="H112" s="15" t="s">
        <v>101</v>
      </c>
      <c r="I112" s="18"/>
      <c r="J112" s="15" t="s">
        <v>2642</v>
      </c>
      <c r="K112" s="15" t="s">
        <v>2644</v>
      </c>
      <c r="L112" s="77" t="str">
        <f>+52 55 6141 3469</f>
        <v>#ERROR!</v>
      </c>
      <c r="M112" s="18"/>
      <c r="N112" s="18"/>
      <c r="O112" s="18"/>
      <c r="P112" s="20">
        <v>20.0</v>
      </c>
      <c r="Q112" s="22">
        <v>46038.42502314815</v>
      </c>
      <c r="R112" s="15" t="s">
        <v>260</v>
      </c>
      <c r="S112" s="15" t="s">
        <v>125</v>
      </c>
      <c r="T112" s="15" t="s">
        <v>111</v>
      </c>
      <c r="U112" s="15" t="s">
        <v>2654</v>
      </c>
      <c r="V112" s="15" t="s">
        <v>2655</v>
      </c>
      <c r="W112" s="15" t="s">
        <v>2656</v>
      </c>
      <c r="X112" s="15" t="s">
        <v>120</v>
      </c>
      <c r="Y112" s="18"/>
      <c r="Z112" s="15" t="s">
        <v>120</v>
      </c>
      <c r="AA112" s="18"/>
      <c r="AB112" s="15" t="s">
        <v>120</v>
      </c>
      <c r="AC112" s="18"/>
      <c r="AD112" s="18"/>
      <c r="AE112" s="15" t="s">
        <v>120</v>
      </c>
      <c r="AF112" s="18"/>
      <c r="AG112" s="15" t="s">
        <v>120</v>
      </c>
      <c r="AH112" s="18"/>
      <c r="AI112" s="15" t="s">
        <v>120</v>
      </c>
      <c r="AJ112" s="18"/>
      <c r="AK112" s="18"/>
      <c r="AL112" s="15" t="s">
        <v>156</v>
      </c>
      <c r="AM112" s="15" t="s">
        <v>141</v>
      </c>
      <c r="AN112" s="15" t="s">
        <v>129</v>
      </c>
      <c r="AO112" s="15" t="s">
        <v>124</v>
      </c>
      <c r="AP112" s="15"/>
    </row>
    <row r="113" ht="22.5" customHeight="1">
      <c r="A113" s="15" t="s">
        <v>2658</v>
      </c>
      <c r="B113" s="15" t="s">
        <v>2660</v>
      </c>
      <c r="C113" s="15" t="s">
        <v>2661</v>
      </c>
      <c r="D113" s="41">
        <v>38447.0</v>
      </c>
      <c r="E113" s="15" t="s">
        <v>177</v>
      </c>
      <c r="F113" s="15">
        <v>5.572349561E9</v>
      </c>
      <c r="G113" s="15" t="s">
        <v>2663</v>
      </c>
      <c r="H113" s="15" t="s">
        <v>150</v>
      </c>
      <c r="I113" s="15" t="s">
        <v>135</v>
      </c>
      <c r="J113" s="15" t="s">
        <v>2665</v>
      </c>
      <c r="K113" s="15" t="s">
        <v>2667</v>
      </c>
      <c r="L113" s="20">
        <v>5.545673224E9</v>
      </c>
      <c r="M113" s="18"/>
      <c r="N113" s="18"/>
      <c r="O113" s="18"/>
      <c r="P113" s="20">
        <v>20.0</v>
      </c>
      <c r="Q113" s="22">
        <v>46026.47657407408</v>
      </c>
      <c r="R113" s="15" t="s">
        <v>107</v>
      </c>
      <c r="S113" s="15" t="s">
        <v>125</v>
      </c>
      <c r="T113" s="15" t="s">
        <v>208</v>
      </c>
      <c r="U113" s="15" t="s">
        <v>228</v>
      </c>
      <c r="V113" s="15" t="s">
        <v>229</v>
      </c>
      <c r="W113" s="15" t="s">
        <v>230</v>
      </c>
      <c r="X113" s="15" t="s">
        <v>120</v>
      </c>
      <c r="Y113" s="18"/>
      <c r="Z113" s="15" t="s">
        <v>117</v>
      </c>
      <c r="AA113" s="52" t="s">
        <v>2674</v>
      </c>
      <c r="AB113" s="15" t="s">
        <v>120</v>
      </c>
      <c r="AC113" s="15" t="s">
        <v>117</v>
      </c>
      <c r="AD113" s="18"/>
      <c r="AE113" s="15" t="s">
        <v>120</v>
      </c>
      <c r="AF113" s="18"/>
      <c r="AG113" s="15" t="s">
        <v>120</v>
      </c>
      <c r="AH113" s="18"/>
      <c r="AI113" s="15" t="s">
        <v>120</v>
      </c>
      <c r="AJ113" s="18"/>
      <c r="AK113" s="18"/>
      <c r="AL113" s="15" t="s">
        <v>185</v>
      </c>
      <c r="AM113" s="15" t="s">
        <v>138</v>
      </c>
      <c r="AN113" s="15" t="s">
        <v>156</v>
      </c>
      <c r="AO113" s="15" t="s">
        <v>216</v>
      </c>
      <c r="AP113" s="15"/>
    </row>
    <row r="114" ht="22.5" customHeight="1">
      <c r="A114" s="15" t="s">
        <v>2676</v>
      </c>
      <c r="B114" s="15" t="s">
        <v>2677</v>
      </c>
      <c r="C114" s="15" t="s">
        <v>2678</v>
      </c>
      <c r="D114" s="41">
        <v>37372.0</v>
      </c>
      <c r="E114" s="15" t="s">
        <v>177</v>
      </c>
      <c r="F114" s="18" t="str">
        <f>+52 56 3383 4128</f>
        <v>#ERROR!</v>
      </c>
      <c r="G114" s="15" t="s">
        <v>2680</v>
      </c>
      <c r="H114" s="15" t="s">
        <v>382</v>
      </c>
      <c r="I114" s="18"/>
      <c r="J114" s="15" t="s">
        <v>2681</v>
      </c>
      <c r="K114" s="15" t="s">
        <v>2682</v>
      </c>
      <c r="L114" s="77" t="str">
        <f>+52 56 3729 2071</f>
        <v>#ERROR!</v>
      </c>
      <c r="M114" s="18"/>
      <c r="N114" s="18"/>
      <c r="O114" s="18"/>
      <c r="P114" s="20">
        <v>23.0</v>
      </c>
      <c r="Q114" s="22">
        <v>46024.5721412037</v>
      </c>
      <c r="R114" s="15" t="s">
        <v>107</v>
      </c>
      <c r="S114" s="15" t="s">
        <v>125</v>
      </c>
      <c r="T114" s="15" t="s">
        <v>111</v>
      </c>
      <c r="U114" s="15" t="s">
        <v>1979</v>
      </c>
      <c r="V114" s="15" t="s">
        <v>1980</v>
      </c>
      <c r="W114" s="15" t="s">
        <v>1981</v>
      </c>
      <c r="X114" s="15" t="s">
        <v>120</v>
      </c>
      <c r="Y114" s="18"/>
      <c r="Z114" s="15" t="s">
        <v>117</v>
      </c>
      <c r="AA114" s="58" t="s">
        <v>2689</v>
      </c>
      <c r="AB114" s="15" t="s">
        <v>120</v>
      </c>
      <c r="AC114" s="15" t="s">
        <v>120</v>
      </c>
      <c r="AD114" s="18"/>
      <c r="AE114" s="15" t="s">
        <v>120</v>
      </c>
      <c r="AF114" s="18"/>
      <c r="AG114" s="15" t="s">
        <v>120</v>
      </c>
      <c r="AH114" s="18"/>
      <c r="AI114" s="15" t="s">
        <v>120</v>
      </c>
      <c r="AJ114" s="18"/>
      <c r="AK114" s="18"/>
      <c r="AL114" s="15" t="s">
        <v>156</v>
      </c>
      <c r="AM114" s="15" t="s">
        <v>216</v>
      </c>
      <c r="AN114" s="15" t="s">
        <v>124</v>
      </c>
      <c r="AO114" s="15" t="s">
        <v>128</v>
      </c>
      <c r="AP114" s="15"/>
    </row>
    <row r="115" ht="22.5" customHeight="1">
      <c r="A115" s="15" t="s">
        <v>2696</v>
      </c>
      <c r="B115" s="15" t="s">
        <v>2611</v>
      </c>
      <c r="C115" s="15" t="s">
        <v>2699</v>
      </c>
      <c r="D115" s="41">
        <v>38153.0</v>
      </c>
      <c r="E115" s="15" t="s">
        <v>98</v>
      </c>
      <c r="F115" s="15" t="s">
        <v>2700</v>
      </c>
      <c r="G115" s="15" t="s">
        <v>2618</v>
      </c>
      <c r="H115" s="15" t="s">
        <v>101</v>
      </c>
      <c r="I115" s="18"/>
      <c r="J115" s="15" t="s">
        <v>2701</v>
      </c>
      <c r="K115" s="15" t="s">
        <v>2702</v>
      </c>
      <c r="L115" s="20">
        <v>4.443179026E9</v>
      </c>
      <c r="M115" s="18"/>
      <c r="N115" s="18"/>
      <c r="O115" s="18"/>
      <c r="P115" s="20">
        <v>21.0</v>
      </c>
      <c r="Q115" s="22">
        <v>46046.59165509259</v>
      </c>
      <c r="R115" s="15" t="s">
        <v>231</v>
      </c>
      <c r="S115" s="15" t="s">
        <v>125</v>
      </c>
      <c r="T115" s="15" t="s">
        <v>2627</v>
      </c>
      <c r="U115" s="15" t="s">
        <v>2629</v>
      </c>
      <c r="V115" s="15" t="s">
        <v>2630</v>
      </c>
      <c r="W115" s="15" t="s">
        <v>2633</v>
      </c>
      <c r="X115" s="15" t="s">
        <v>120</v>
      </c>
      <c r="Y115" s="18"/>
      <c r="Z115" s="15" t="s">
        <v>120</v>
      </c>
      <c r="AA115" s="18"/>
      <c r="AB115" s="15" t="s">
        <v>120</v>
      </c>
      <c r="AC115" s="18"/>
      <c r="AD115" s="18"/>
      <c r="AE115" s="15" t="s">
        <v>120</v>
      </c>
      <c r="AF115" s="18"/>
      <c r="AG115" s="15" t="s">
        <v>120</v>
      </c>
      <c r="AH115" s="18"/>
      <c r="AI115" s="15" t="s">
        <v>120</v>
      </c>
      <c r="AJ115" s="18"/>
      <c r="AK115" s="18"/>
      <c r="AL115" s="15" t="s">
        <v>129</v>
      </c>
      <c r="AM115" s="15" t="s">
        <v>138</v>
      </c>
      <c r="AN115" s="15" t="s">
        <v>128</v>
      </c>
      <c r="AO115" s="15" t="s">
        <v>156</v>
      </c>
      <c r="AP115" s="15"/>
    </row>
    <row r="116" ht="22.5" customHeight="1">
      <c r="A116" s="15" t="s">
        <v>2712</v>
      </c>
      <c r="B116" s="15" t="s">
        <v>2713</v>
      </c>
      <c r="C116" s="15" t="s">
        <v>2714</v>
      </c>
      <c r="D116" s="41">
        <v>36990.0</v>
      </c>
      <c r="E116" s="15" t="s">
        <v>98</v>
      </c>
      <c r="F116" s="15">
        <v>5.511329795E9</v>
      </c>
      <c r="G116" s="15" t="s">
        <v>2715</v>
      </c>
      <c r="H116" s="15" t="s">
        <v>150</v>
      </c>
      <c r="I116" s="18"/>
      <c r="J116" s="15" t="s">
        <v>2716</v>
      </c>
      <c r="K116" s="15" t="s">
        <v>2717</v>
      </c>
      <c r="L116" s="20">
        <v>5.548108261E9</v>
      </c>
      <c r="M116" s="18"/>
      <c r="N116" s="18"/>
      <c r="O116" s="18"/>
      <c r="P116" s="20">
        <v>24.0</v>
      </c>
      <c r="Q116" s="22">
        <v>46029.8533912037</v>
      </c>
      <c r="R116" s="15" t="s">
        <v>107</v>
      </c>
      <c r="S116" s="15" t="s">
        <v>125</v>
      </c>
      <c r="T116" s="15" t="s">
        <v>208</v>
      </c>
      <c r="U116" s="15" t="s">
        <v>209</v>
      </c>
      <c r="V116" s="15" t="s">
        <v>210</v>
      </c>
      <c r="W116" s="15" t="s">
        <v>211</v>
      </c>
      <c r="X116" s="15" t="s">
        <v>120</v>
      </c>
      <c r="Y116" s="18"/>
      <c r="Z116" s="15" t="s">
        <v>120</v>
      </c>
      <c r="AA116" s="18"/>
      <c r="AB116" s="15" t="s">
        <v>120</v>
      </c>
      <c r="AC116" s="18"/>
      <c r="AD116" s="18"/>
      <c r="AE116" s="15" t="s">
        <v>120</v>
      </c>
      <c r="AF116" s="18"/>
      <c r="AG116" s="15" t="s">
        <v>120</v>
      </c>
      <c r="AH116" s="18"/>
      <c r="AI116" s="15" t="s">
        <v>120</v>
      </c>
      <c r="AJ116" s="18"/>
      <c r="AK116" s="18"/>
      <c r="AL116" s="15" t="s">
        <v>128</v>
      </c>
      <c r="AM116" s="15" t="s">
        <v>240</v>
      </c>
      <c r="AN116" s="15" t="s">
        <v>138</v>
      </c>
      <c r="AO116" s="15" t="s">
        <v>185</v>
      </c>
      <c r="AP116" s="15"/>
    </row>
    <row r="117" ht="22.5" customHeight="1">
      <c r="A117" s="15" t="s">
        <v>2727</v>
      </c>
      <c r="B117" s="15" t="s">
        <v>2728</v>
      </c>
      <c r="C117" s="15" t="s">
        <v>2729</v>
      </c>
      <c r="D117" s="41">
        <v>36628.0</v>
      </c>
      <c r="E117" s="15" t="s">
        <v>98</v>
      </c>
      <c r="F117" s="15">
        <v>5.534608152E9</v>
      </c>
      <c r="G117" s="15" t="s">
        <v>2731</v>
      </c>
      <c r="H117" s="15" t="s">
        <v>101</v>
      </c>
      <c r="I117" s="15" t="s">
        <v>525</v>
      </c>
      <c r="J117" s="15" t="s">
        <v>2733</v>
      </c>
      <c r="K117" s="15" t="s">
        <v>2734</v>
      </c>
      <c r="L117" s="20">
        <v>5.522652307E9</v>
      </c>
      <c r="M117" s="15" t="s">
        <v>2735</v>
      </c>
      <c r="N117" s="15" t="s">
        <v>2736</v>
      </c>
      <c r="O117" s="15">
        <v>5.555035049E9</v>
      </c>
      <c r="P117" s="20">
        <v>25.0</v>
      </c>
      <c r="Q117" s="22">
        <v>46039.07478009259</v>
      </c>
      <c r="R117" s="15" t="s">
        <v>107</v>
      </c>
      <c r="S117" s="15" t="s">
        <v>125</v>
      </c>
      <c r="T117" s="15" t="s">
        <v>208</v>
      </c>
      <c r="U117" s="15" t="s">
        <v>601</v>
      </c>
      <c r="V117" s="15" t="s">
        <v>602</v>
      </c>
      <c r="W117" s="15" t="s">
        <v>603</v>
      </c>
      <c r="X117" s="15" t="s">
        <v>120</v>
      </c>
      <c r="Y117" s="18"/>
      <c r="Z117" s="15" t="s">
        <v>117</v>
      </c>
      <c r="AA117" s="52" t="s">
        <v>1641</v>
      </c>
      <c r="AB117" s="15" t="s">
        <v>120</v>
      </c>
      <c r="AC117" s="15" t="s">
        <v>120</v>
      </c>
      <c r="AD117" s="18"/>
      <c r="AE117" s="15" t="s">
        <v>120</v>
      </c>
      <c r="AF117" s="18"/>
      <c r="AG117" s="15" t="s">
        <v>120</v>
      </c>
      <c r="AH117" s="18"/>
      <c r="AI117" s="15" t="s">
        <v>120</v>
      </c>
      <c r="AJ117" s="18"/>
      <c r="AK117" s="15" t="s">
        <v>502</v>
      </c>
      <c r="AL117" s="15" t="s">
        <v>129</v>
      </c>
      <c r="AM117" s="15" t="s">
        <v>138</v>
      </c>
      <c r="AN117" s="15" t="s">
        <v>242</v>
      </c>
      <c r="AO117" s="15" t="s">
        <v>216</v>
      </c>
      <c r="AP117" s="15"/>
    </row>
    <row r="118" ht="22.5" customHeight="1">
      <c r="A118" s="15" t="s">
        <v>2742</v>
      </c>
      <c r="B118" s="15" t="s">
        <v>2744</v>
      </c>
      <c r="C118" s="15" t="s">
        <v>2745</v>
      </c>
      <c r="D118" s="41">
        <v>33410.0</v>
      </c>
      <c r="E118" s="15" t="s">
        <v>177</v>
      </c>
      <c r="F118" s="15">
        <v>5.531935295E9</v>
      </c>
      <c r="G118" s="15" t="s">
        <v>2749</v>
      </c>
      <c r="H118" s="15" t="s">
        <v>382</v>
      </c>
      <c r="I118" s="18"/>
      <c r="J118" s="15" t="s">
        <v>2752</v>
      </c>
      <c r="K118" s="15" t="s">
        <v>2753</v>
      </c>
      <c r="L118" s="20">
        <v>5.583362458E9</v>
      </c>
      <c r="M118" s="18"/>
      <c r="N118" s="18"/>
      <c r="O118" s="18"/>
      <c r="P118" s="20">
        <v>34.0</v>
      </c>
      <c r="Q118" s="22">
        <v>46035.95578703703</v>
      </c>
      <c r="R118" s="15" t="s">
        <v>107</v>
      </c>
      <c r="S118" s="15" t="s">
        <v>125</v>
      </c>
      <c r="T118" s="15" t="s">
        <v>111</v>
      </c>
      <c r="U118" s="15" t="s">
        <v>112</v>
      </c>
      <c r="V118" s="15" t="s">
        <v>114</v>
      </c>
      <c r="W118" s="15" t="s">
        <v>115</v>
      </c>
      <c r="X118" s="15" t="s">
        <v>120</v>
      </c>
      <c r="Y118" s="18"/>
      <c r="Z118" s="15" t="s">
        <v>120</v>
      </c>
      <c r="AA118" s="18"/>
      <c r="AB118" s="15" t="s">
        <v>120</v>
      </c>
      <c r="AC118" s="15" t="s">
        <v>120</v>
      </c>
      <c r="AD118" s="18"/>
      <c r="AE118" s="15" t="s">
        <v>120</v>
      </c>
      <c r="AF118" s="18"/>
      <c r="AG118" s="15" t="s">
        <v>120</v>
      </c>
      <c r="AH118" s="18"/>
      <c r="AI118" s="15" t="s">
        <v>120</v>
      </c>
      <c r="AJ118" s="18"/>
      <c r="AK118" s="18"/>
      <c r="AL118" s="15" t="s">
        <v>129</v>
      </c>
      <c r="AM118" s="15" t="s">
        <v>138</v>
      </c>
      <c r="AN118" s="15" t="s">
        <v>216</v>
      </c>
      <c r="AO118" s="15" t="s">
        <v>128</v>
      </c>
      <c r="AP118" s="15"/>
    </row>
    <row r="119" ht="22.5" customHeight="1">
      <c r="A119" s="15" t="s">
        <v>2758</v>
      </c>
      <c r="B119" s="15" t="s">
        <v>2759</v>
      </c>
      <c r="C119" s="15" t="s">
        <v>2760</v>
      </c>
      <c r="D119" s="41">
        <v>36028.0</v>
      </c>
      <c r="E119" s="15" t="s">
        <v>177</v>
      </c>
      <c r="F119" s="15">
        <v>5.529143702E9</v>
      </c>
      <c r="G119" s="15" t="s">
        <v>2761</v>
      </c>
      <c r="H119" s="15" t="s">
        <v>382</v>
      </c>
      <c r="I119" s="18"/>
      <c r="J119" s="15" t="s">
        <v>2765</v>
      </c>
      <c r="K119" s="15" t="s">
        <v>2767</v>
      </c>
      <c r="L119" s="20">
        <v>5.529143702E9</v>
      </c>
      <c r="M119" s="18"/>
      <c r="N119" s="18"/>
      <c r="O119" s="18"/>
      <c r="P119" s="20">
        <v>27.0</v>
      </c>
      <c r="Q119" s="22">
        <v>46024.70091435185</v>
      </c>
      <c r="R119" s="15" t="s">
        <v>107</v>
      </c>
      <c r="S119" s="15" t="s">
        <v>125</v>
      </c>
      <c r="T119" s="15" t="s">
        <v>192</v>
      </c>
      <c r="U119" s="15" t="s">
        <v>749</v>
      </c>
      <c r="V119" s="15" t="s">
        <v>750</v>
      </c>
      <c r="W119" s="15" t="s">
        <v>751</v>
      </c>
      <c r="X119" s="15" t="s">
        <v>120</v>
      </c>
      <c r="Y119" s="18"/>
      <c r="Z119" s="15" t="s">
        <v>120</v>
      </c>
      <c r="AA119" s="18"/>
      <c r="AB119" s="15" t="s">
        <v>120</v>
      </c>
      <c r="AC119" s="15" t="s">
        <v>120</v>
      </c>
      <c r="AD119" s="18"/>
      <c r="AE119" s="15" t="s">
        <v>120</v>
      </c>
      <c r="AF119" s="18"/>
      <c r="AG119" s="15" t="s">
        <v>120</v>
      </c>
      <c r="AH119" s="18"/>
      <c r="AI119" s="15" t="s">
        <v>120</v>
      </c>
      <c r="AJ119" s="18"/>
      <c r="AK119" s="18"/>
      <c r="AL119" s="15" t="s">
        <v>141</v>
      </c>
      <c r="AM119" s="15" t="s">
        <v>124</v>
      </c>
      <c r="AN119" s="15" t="s">
        <v>138</v>
      </c>
      <c r="AO119" s="15" t="s">
        <v>128</v>
      </c>
      <c r="AP119" s="15"/>
    </row>
    <row r="120" ht="22.5" customHeight="1">
      <c r="A120" s="15" t="s">
        <v>2771</v>
      </c>
      <c r="B120" s="15" t="s">
        <v>2772</v>
      </c>
      <c r="C120" s="15" t="s">
        <v>2773</v>
      </c>
      <c r="D120" s="41">
        <v>38979.0</v>
      </c>
      <c r="E120" s="15" t="s">
        <v>98</v>
      </c>
      <c r="F120" s="15">
        <v>5.521977295E9</v>
      </c>
      <c r="G120" s="15" t="s">
        <v>2774</v>
      </c>
      <c r="H120" s="15" t="s">
        <v>101</v>
      </c>
      <c r="I120" s="18"/>
      <c r="J120" s="15" t="s">
        <v>2777</v>
      </c>
      <c r="K120" s="15" t="s">
        <v>2774</v>
      </c>
      <c r="L120" s="20">
        <v>5.56519193E9</v>
      </c>
      <c r="M120" s="18"/>
      <c r="N120" s="18"/>
      <c r="O120" s="18"/>
      <c r="P120" s="20">
        <v>19.0</v>
      </c>
      <c r="Q120" s="22">
        <v>46019.86304398148</v>
      </c>
      <c r="R120" s="15" t="s">
        <v>107</v>
      </c>
      <c r="S120" s="15" t="s">
        <v>125</v>
      </c>
      <c r="T120" s="15" t="s">
        <v>208</v>
      </c>
      <c r="U120" s="15" t="s">
        <v>209</v>
      </c>
      <c r="V120" s="15" t="s">
        <v>210</v>
      </c>
      <c r="W120" s="15" t="s">
        <v>211</v>
      </c>
      <c r="X120" s="15" t="s">
        <v>120</v>
      </c>
      <c r="Y120" s="18"/>
      <c r="Z120" s="15" t="s">
        <v>120</v>
      </c>
      <c r="AA120" s="18"/>
      <c r="AB120" s="15" t="s">
        <v>120</v>
      </c>
      <c r="AC120" s="18"/>
      <c r="AD120" s="18"/>
      <c r="AE120" s="15" t="s">
        <v>120</v>
      </c>
      <c r="AF120" s="18"/>
      <c r="AG120" s="15" t="s">
        <v>120</v>
      </c>
      <c r="AH120" s="18"/>
      <c r="AI120" s="15" t="s">
        <v>120</v>
      </c>
      <c r="AJ120" s="18"/>
      <c r="AK120" s="18"/>
      <c r="AL120" s="15" t="s">
        <v>240</v>
      </c>
      <c r="AM120" s="15" t="s">
        <v>124</v>
      </c>
      <c r="AN120" s="15" t="s">
        <v>129</v>
      </c>
      <c r="AO120" s="15" t="s">
        <v>141</v>
      </c>
      <c r="AP120" s="15"/>
    </row>
    <row r="121" ht="22.5" customHeight="1">
      <c r="A121" s="15" t="s">
        <v>2782</v>
      </c>
      <c r="B121" s="15" t="s">
        <v>2783</v>
      </c>
      <c r="C121" s="15" t="s">
        <v>2784</v>
      </c>
      <c r="D121" s="41">
        <v>37120.0</v>
      </c>
      <c r="E121" s="15" t="s">
        <v>98</v>
      </c>
      <c r="F121" s="15">
        <v>5.513963517E9</v>
      </c>
      <c r="G121" s="15" t="s">
        <v>2785</v>
      </c>
      <c r="H121" s="15" t="s">
        <v>150</v>
      </c>
      <c r="I121" s="15" t="s">
        <v>2786</v>
      </c>
      <c r="J121" s="15" t="s">
        <v>2787</v>
      </c>
      <c r="K121" s="15" t="s">
        <v>2788</v>
      </c>
      <c r="L121" s="20">
        <v>5.573481742E9</v>
      </c>
      <c r="M121" s="18"/>
      <c r="N121" s="18"/>
      <c r="O121" s="18"/>
      <c r="P121" s="20">
        <v>24.0</v>
      </c>
      <c r="Q121" s="22">
        <v>46026.67153935185</v>
      </c>
      <c r="R121" s="15" t="s">
        <v>107</v>
      </c>
      <c r="S121" s="15" t="s">
        <v>125</v>
      </c>
      <c r="T121" s="15" t="s">
        <v>192</v>
      </c>
      <c r="U121" s="15" t="s">
        <v>609</v>
      </c>
      <c r="V121" s="15" t="s">
        <v>611</v>
      </c>
      <c r="W121" s="15" t="s">
        <v>612</v>
      </c>
      <c r="X121" s="15" t="s">
        <v>120</v>
      </c>
      <c r="Y121" s="18"/>
      <c r="Z121" s="15" t="s">
        <v>117</v>
      </c>
      <c r="AA121" s="52" t="s">
        <v>2796</v>
      </c>
      <c r="AB121" s="15" t="s">
        <v>117</v>
      </c>
      <c r="AC121" s="15" t="s">
        <v>117</v>
      </c>
      <c r="AD121" s="18"/>
      <c r="AE121" s="15" t="s">
        <v>120</v>
      </c>
      <c r="AF121" s="18"/>
      <c r="AG121" s="15" t="s">
        <v>120</v>
      </c>
      <c r="AH121" s="18"/>
      <c r="AI121" s="15" t="s">
        <v>120</v>
      </c>
      <c r="AJ121" s="18"/>
      <c r="AK121" s="18"/>
      <c r="AL121" s="15" t="s">
        <v>128</v>
      </c>
      <c r="AM121" s="15" t="s">
        <v>156</v>
      </c>
      <c r="AN121" s="15" t="s">
        <v>138</v>
      </c>
      <c r="AO121" s="15" t="s">
        <v>242</v>
      </c>
      <c r="AP121" s="15"/>
    </row>
    <row r="122" ht="22.5" customHeight="1">
      <c r="A122" s="15" t="s">
        <v>2798</v>
      </c>
      <c r="B122" s="15" t="s">
        <v>2799</v>
      </c>
      <c r="C122" s="15" t="s">
        <v>2800</v>
      </c>
      <c r="D122" s="41">
        <v>38513.0</v>
      </c>
      <c r="E122" s="15" t="s">
        <v>98</v>
      </c>
      <c r="F122" s="15">
        <v>5.53134368E9</v>
      </c>
      <c r="G122" s="15" t="s">
        <v>2801</v>
      </c>
      <c r="H122" s="15" t="s">
        <v>101</v>
      </c>
      <c r="I122" s="18"/>
      <c r="J122" s="15" t="s">
        <v>2060</v>
      </c>
      <c r="K122" s="15" t="s">
        <v>2802</v>
      </c>
      <c r="L122" s="20">
        <v>5.559423001E9</v>
      </c>
      <c r="M122" s="18"/>
      <c r="N122" s="18"/>
      <c r="O122" s="18"/>
      <c r="P122" s="20">
        <v>20.0</v>
      </c>
      <c r="Q122" s="22">
        <v>46027.89056712963</v>
      </c>
      <c r="R122" s="15" t="s">
        <v>107</v>
      </c>
      <c r="S122" s="15" t="s">
        <v>125</v>
      </c>
      <c r="T122" s="15" t="s">
        <v>127</v>
      </c>
      <c r="U122" s="15" t="s">
        <v>130</v>
      </c>
      <c r="V122" s="15" t="s">
        <v>131</v>
      </c>
      <c r="W122" s="15" t="s">
        <v>132</v>
      </c>
      <c r="X122" s="15" t="s">
        <v>120</v>
      </c>
      <c r="Y122" s="18"/>
      <c r="Z122" s="15" t="s">
        <v>120</v>
      </c>
      <c r="AA122" s="18"/>
      <c r="AB122" s="15" t="s">
        <v>120</v>
      </c>
      <c r="AC122" s="15" t="s">
        <v>120</v>
      </c>
      <c r="AD122" s="18"/>
      <c r="AE122" s="15" t="s">
        <v>120</v>
      </c>
      <c r="AF122" s="18"/>
      <c r="AG122" s="15" t="s">
        <v>120</v>
      </c>
      <c r="AH122" s="18"/>
      <c r="AI122" s="15" t="s">
        <v>120</v>
      </c>
      <c r="AJ122" s="18"/>
      <c r="AK122" s="18"/>
      <c r="AL122" s="15" t="s">
        <v>141</v>
      </c>
      <c r="AM122" s="15" t="s">
        <v>126</v>
      </c>
      <c r="AN122" s="15" t="s">
        <v>242</v>
      </c>
      <c r="AO122" s="15" t="s">
        <v>126</v>
      </c>
      <c r="AP122" s="15"/>
    </row>
    <row r="123" ht="22.5" customHeight="1">
      <c r="A123" s="15" t="s">
        <v>2806</v>
      </c>
      <c r="B123" s="15" t="s">
        <v>2518</v>
      </c>
      <c r="C123" s="15" t="s">
        <v>2807</v>
      </c>
      <c r="D123" s="41">
        <v>38143.0</v>
      </c>
      <c r="E123" s="15" t="s">
        <v>98</v>
      </c>
      <c r="F123" s="15">
        <v>5.610691582E9</v>
      </c>
      <c r="G123" s="15" t="s">
        <v>711</v>
      </c>
      <c r="H123" s="15" t="s">
        <v>101</v>
      </c>
      <c r="I123" s="15" t="s">
        <v>135</v>
      </c>
      <c r="J123" s="15" t="s">
        <v>2808</v>
      </c>
      <c r="K123" s="15" t="s">
        <v>2809</v>
      </c>
      <c r="L123" s="20">
        <v>5.556663516E9</v>
      </c>
      <c r="M123" s="18"/>
      <c r="N123" s="18"/>
      <c r="O123" s="18"/>
      <c r="P123" s="20">
        <v>21.0</v>
      </c>
      <c r="Q123" s="22">
        <v>46040.73842592593</v>
      </c>
      <c r="R123" s="15" t="s">
        <v>231</v>
      </c>
      <c r="S123" s="15" t="s">
        <v>125</v>
      </c>
      <c r="T123" s="15" t="s">
        <v>171</v>
      </c>
      <c r="U123" s="15" t="s">
        <v>1474</v>
      </c>
      <c r="V123" s="15" t="s">
        <v>1475</v>
      </c>
      <c r="W123" s="15" t="s">
        <v>1476</v>
      </c>
      <c r="X123" s="15" t="s">
        <v>120</v>
      </c>
      <c r="Y123" s="18"/>
      <c r="Z123" s="15" t="s">
        <v>120</v>
      </c>
      <c r="AA123" s="18"/>
      <c r="AB123" s="15" t="s">
        <v>120</v>
      </c>
      <c r="AC123" s="15" t="s">
        <v>120</v>
      </c>
      <c r="AD123" s="18"/>
      <c r="AE123" s="15" t="s">
        <v>120</v>
      </c>
      <c r="AF123" s="18"/>
      <c r="AG123" s="15" t="s">
        <v>120</v>
      </c>
      <c r="AH123" s="18"/>
      <c r="AI123" s="15" t="s">
        <v>120</v>
      </c>
      <c r="AJ123" s="18"/>
      <c r="AK123" s="18"/>
      <c r="AL123" s="15" t="s">
        <v>129</v>
      </c>
      <c r="AM123" s="15" t="s">
        <v>216</v>
      </c>
      <c r="AN123" s="15" t="s">
        <v>185</v>
      </c>
      <c r="AO123" s="15" t="s">
        <v>128</v>
      </c>
      <c r="AP123" s="15"/>
    </row>
    <row r="124" ht="22.5" customHeight="1">
      <c r="A124" s="15" t="s">
        <v>2810</v>
      </c>
      <c r="B124" s="15" t="s">
        <v>2811</v>
      </c>
      <c r="C124" s="15" t="s">
        <v>2812</v>
      </c>
      <c r="D124" s="41">
        <v>35342.0</v>
      </c>
      <c r="E124" s="15" t="s">
        <v>177</v>
      </c>
      <c r="F124" s="15">
        <v>5.523639983E9</v>
      </c>
      <c r="G124" s="15" t="s">
        <v>2813</v>
      </c>
      <c r="H124" s="15" t="s">
        <v>150</v>
      </c>
      <c r="I124" s="18"/>
      <c r="J124" s="15" t="s">
        <v>2814</v>
      </c>
      <c r="K124" s="15" t="s">
        <v>2815</v>
      </c>
      <c r="L124" s="20">
        <v>5.538261898E9</v>
      </c>
      <c r="M124" s="18"/>
      <c r="N124" s="18"/>
      <c r="O124" s="18"/>
      <c r="P124" s="20">
        <v>29.0</v>
      </c>
      <c r="Q124" s="22">
        <v>46021.40256944444</v>
      </c>
      <c r="R124" s="15" t="s">
        <v>107</v>
      </c>
      <c r="S124" s="15" t="s">
        <v>125</v>
      </c>
      <c r="T124" s="15" t="s">
        <v>160</v>
      </c>
      <c r="U124" s="15" t="s">
        <v>279</v>
      </c>
      <c r="V124" s="15" t="s">
        <v>280</v>
      </c>
      <c r="W124" s="15" t="s">
        <v>282</v>
      </c>
      <c r="X124" s="15" t="s">
        <v>120</v>
      </c>
      <c r="Y124" s="18"/>
      <c r="Z124" s="15" t="s">
        <v>120</v>
      </c>
      <c r="AA124" s="18"/>
      <c r="AB124" s="15" t="s">
        <v>117</v>
      </c>
      <c r="AC124" s="15" t="s">
        <v>117</v>
      </c>
      <c r="AD124" s="15" t="s">
        <v>2818</v>
      </c>
      <c r="AE124" s="15" t="s">
        <v>120</v>
      </c>
      <c r="AF124" s="18"/>
      <c r="AG124" s="15" t="s">
        <v>120</v>
      </c>
      <c r="AH124" s="18"/>
      <c r="AI124" s="15" t="s">
        <v>120</v>
      </c>
      <c r="AJ124" s="18"/>
      <c r="AK124" s="15" t="s">
        <v>2824</v>
      </c>
      <c r="AL124" s="15" t="s">
        <v>141</v>
      </c>
      <c r="AM124" s="15" t="s">
        <v>126</v>
      </c>
      <c r="AN124" s="15" t="s">
        <v>156</v>
      </c>
      <c r="AO124" s="15" t="s">
        <v>128</v>
      </c>
      <c r="AP124" s="15"/>
    </row>
    <row r="125" ht="22.5" customHeight="1">
      <c r="A125" s="15" t="s">
        <v>2825</v>
      </c>
      <c r="B125" s="15" t="s">
        <v>2828</v>
      </c>
      <c r="C125" s="15" t="s">
        <v>2832</v>
      </c>
      <c r="D125" s="41">
        <v>37003.0</v>
      </c>
      <c r="E125" s="15" t="s">
        <v>177</v>
      </c>
      <c r="F125" s="15">
        <v>5.53737466E9</v>
      </c>
      <c r="G125" s="15" t="s">
        <v>2834</v>
      </c>
      <c r="H125" s="15" t="s">
        <v>101</v>
      </c>
      <c r="I125" s="18"/>
      <c r="J125" s="15" t="s">
        <v>2841</v>
      </c>
      <c r="K125" s="15" t="s">
        <v>2842</v>
      </c>
      <c r="L125" s="20">
        <v>5.5109722E9</v>
      </c>
      <c r="M125" s="18"/>
      <c r="N125" s="18"/>
      <c r="O125" s="18"/>
      <c r="P125" s="20">
        <v>24.0</v>
      </c>
      <c r="Q125" s="22">
        <v>46033.493159722224</v>
      </c>
      <c r="R125" s="15" t="s">
        <v>107</v>
      </c>
      <c r="S125" s="15" t="s">
        <v>125</v>
      </c>
      <c r="T125" s="15" t="s">
        <v>192</v>
      </c>
      <c r="U125" s="15" t="s">
        <v>609</v>
      </c>
      <c r="V125" s="15" t="s">
        <v>611</v>
      </c>
      <c r="W125" s="15" t="s">
        <v>612</v>
      </c>
      <c r="X125" s="15" t="s">
        <v>120</v>
      </c>
      <c r="Y125" s="18"/>
      <c r="Z125" s="15" t="s">
        <v>120</v>
      </c>
      <c r="AA125" s="18"/>
      <c r="AB125" s="15" t="s">
        <v>120</v>
      </c>
      <c r="AC125" s="18"/>
      <c r="AD125" s="18"/>
      <c r="AE125" s="15" t="s">
        <v>120</v>
      </c>
      <c r="AF125" s="18"/>
      <c r="AG125" s="15" t="s">
        <v>120</v>
      </c>
      <c r="AH125" s="18"/>
      <c r="AI125" s="15" t="s">
        <v>120</v>
      </c>
      <c r="AJ125" s="18"/>
      <c r="AK125" s="15" t="s">
        <v>1325</v>
      </c>
      <c r="AL125" s="15" t="s">
        <v>141</v>
      </c>
      <c r="AM125" s="15" t="s">
        <v>129</v>
      </c>
      <c r="AN125" s="15" t="s">
        <v>124</v>
      </c>
      <c r="AO125" s="15" t="s">
        <v>242</v>
      </c>
      <c r="AP125" s="15"/>
    </row>
    <row r="126" ht="22.5" customHeight="1">
      <c r="A126" s="15" t="s">
        <v>2856</v>
      </c>
      <c r="B126" s="15" t="s">
        <v>2857</v>
      </c>
      <c r="C126" s="15" t="s">
        <v>2858</v>
      </c>
      <c r="D126" s="41">
        <v>33744.0</v>
      </c>
      <c r="E126" s="15" t="s">
        <v>98</v>
      </c>
      <c r="F126" s="15">
        <v>2.461391555E9</v>
      </c>
      <c r="G126" s="15" t="s">
        <v>2859</v>
      </c>
      <c r="H126" s="15" t="s">
        <v>150</v>
      </c>
      <c r="I126" s="18"/>
      <c r="J126" s="15" t="s">
        <v>2860</v>
      </c>
      <c r="K126" s="15" t="s">
        <v>2861</v>
      </c>
      <c r="L126" s="20">
        <v>2.462247006E9</v>
      </c>
      <c r="M126" s="18"/>
      <c r="N126" s="18"/>
      <c r="O126" s="18"/>
      <c r="P126" s="20">
        <v>33.0</v>
      </c>
      <c r="Q126" s="22">
        <v>46040.55253472222</v>
      </c>
      <c r="R126" s="15" t="s">
        <v>546</v>
      </c>
      <c r="S126" s="15" t="s">
        <v>125</v>
      </c>
      <c r="T126" s="15" t="s">
        <v>2862</v>
      </c>
      <c r="U126" s="15" t="s">
        <v>2863</v>
      </c>
      <c r="V126" s="15" t="s">
        <v>2864</v>
      </c>
      <c r="W126" s="15" t="s">
        <v>2865</v>
      </c>
      <c r="X126" s="15" t="s">
        <v>120</v>
      </c>
      <c r="Y126" s="18"/>
      <c r="Z126" s="15" t="s">
        <v>120</v>
      </c>
      <c r="AA126" s="18"/>
      <c r="AB126" s="15" t="s">
        <v>120</v>
      </c>
      <c r="AC126" s="15" t="s">
        <v>120</v>
      </c>
      <c r="AD126" s="18"/>
      <c r="AE126" s="15" t="s">
        <v>120</v>
      </c>
      <c r="AF126" s="18"/>
      <c r="AG126" s="15" t="s">
        <v>120</v>
      </c>
      <c r="AH126" s="18"/>
      <c r="AI126" s="15" t="s">
        <v>120</v>
      </c>
      <c r="AJ126" s="18"/>
      <c r="AK126" s="18"/>
      <c r="AL126" s="15" t="s">
        <v>216</v>
      </c>
      <c r="AM126" s="15" t="s">
        <v>129</v>
      </c>
      <c r="AN126" s="15" t="s">
        <v>138</v>
      </c>
      <c r="AO126" s="15" t="s">
        <v>124</v>
      </c>
      <c r="AP126" s="15"/>
    </row>
    <row r="127" ht="22.5" customHeight="1">
      <c r="A127" s="15" t="s">
        <v>2866</v>
      </c>
      <c r="B127" s="15" t="s">
        <v>2867</v>
      </c>
      <c r="C127" s="15" t="s">
        <v>2868</v>
      </c>
      <c r="D127" s="41">
        <v>37050.0</v>
      </c>
      <c r="E127" s="15" t="s">
        <v>98</v>
      </c>
      <c r="F127" s="15">
        <v>5.617839247E9</v>
      </c>
      <c r="G127" s="15" t="s">
        <v>2869</v>
      </c>
      <c r="H127" s="15" t="s">
        <v>150</v>
      </c>
      <c r="I127" s="18"/>
      <c r="J127" s="15" t="s">
        <v>2871</v>
      </c>
      <c r="K127" s="15" t="s">
        <v>2872</v>
      </c>
      <c r="L127" s="20" t="s">
        <v>2873</v>
      </c>
      <c r="M127" s="18"/>
      <c r="N127" s="18"/>
      <c r="O127" s="18"/>
      <c r="P127" s="20">
        <v>24.0</v>
      </c>
      <c r="Q127" s="22">
        <v>46026.317407407405</v>
      </c>
      <c r="R127" s="15" t="s">
        <v>107</v>
      </c>
      <c r="S127" s="15" t="s">
        <v>125</v>
      </c>
      <c r="T127" s="15" t="s">
        <v>204</v>
      </c>
      <c r="U127" s="15" t="s">
        <v>367</v>
      </c>
      <c r="V127" s="15" t="s">
        <v>368</v>
      </c>
      <c r="W127" s="15" t="s">
        <v>369</v>
      </c>
      <c r="X127" s="15" t="s">
        <v>120</v>
      </c>
      <c r="Y127" s="18"/>
      <c r="Z127" s="15" t="s">
        <v>120</v>
      </c>
      <c r="AA127" s="18"/>
      <c r="AB127" s="15" t="s">
        <v>120</v>
      </c>
      <c r="AC127" s="18"/>
      <c r="AD127" s="18"/>
      <c r="AE127" s="15" t="s">
        <v>120</v>
      </c>
      <c r="AF127" s="18"/>
      <c r="AG127" s="15" t="s">
        <v>120</v>
      </c>
      <c r="AH127" s="18"/>
      <c r="AI127" s="15" t="s">
        <v>120</v>
      </c>
      <c r="AJ127" s="18"/>
      <c r="AK127" s="18"/>
      <c r="AL127" s="15" t="s">
        <v>156</v>
      </c>
      <c r="AM127" s="15" t="s">
        <v>216</v>
      </c>
      <c r="AN127" s="15" t="s">
        <v>124</v>
      </c>
      <c r="AO127" s="15" t="s">
        <v>138</v>
      </c>
      <c r="AP127" s="15"/>
    </row>
    <row r="128" ht="22.5" customHeight="1">
      <c r="A128" s="15" t="s">
        <v>2881</v>
      </c>
      <c r="B128" s="15" t="s">
        <v>2882</v>
      </c>
      <c r="C128" s="15" t="s">
        <v>2883</v>
      </c>
      <c r="D128" s="41">
        <v>38076.0</v>
      </c>
      <c r="E128" s="15" t="s">
        <v>177</v>
      </c>
      <c r="F128" s="15" t="s">
        <v>2885</v>
      </c>
      <c r="G128" s="15" t="s">
        <v>2887</v>
      </c>
      <c r="H128" s="15" t="s">
        <v>101</v>
      </c>
      <c r="I128" s="18"/>
      <c r="J128" s="15" t="s">
        <v>2888</v>
      </c>
      <c r="K128" s="15" t="s">
        <v>2890</v>
      </c>
      <c r="L128" s="20" t="s">
        <v>2885</v>
      </c>
      <c r="M128" s="18"/>
      <c r="N128" s="18"/>
      <c r="O128" s="18"/>
      <c r="P128" s="20">
        <v>21.0</v>
      </c>
      <c r="Q128" s="22">
        <v>46037.933287037034</v>
      </c>
      <c r="R128" s="15" t="s">
        <v>107</v>
      </c>
      <c r="S128" s="15" t="s">
        <v>125</v>
      </c>
      <c r="T128" s="15" t="s">
        <v>2309</v>
      </c>
      <c r="U128" s="15" t="s">
        <v>2310</v>
      </c>
      <c r="V128" s="15" t="s">
        <v>2311</v>
      </c>
      <c r="W128" s="15" t="s">
        <v>2312</v>
      </c>
      <c r="X128" s="15" t="s">
        <v>120</v>
      </c>
      <c r="Y128" s="18"/>
      <c r="Z128" s="15" t="s">
        <v>120</v>
      </c>
      <c r="AA128" s="18"/>
      <c r="AB128" s="15" t="s">
        <v>120</v>
      </c>
      <c r="AC128" s="15" t="s">
        <v>120</v>
      </c>
      <c r="AD128" s="18"/>
      <c r="AE128" s="15" t="s">
        <v>120</v>
      </c>
      <c r="AF128" s="18"/>
      <c r="AG128" s="15" t="s">
        <v>120</v>
      </c>
      <c r="AH128" s="18"/>
      <c r="AI128" s="15" t="s">
        <v>120</v>
      </c>
      <c r="AJ128" s="18"/>
      <c r="AK128" s="18"/>
      <c r="AL128" s="15" t="s">
        <v>141</v>
      </c>
      <c r="AM128" s="15" t="s">
        <v>129</v>
      </c>
      <c r="AN128" s="15" t="s">
        <v>240</v>
      </c>
      <c r="AO128" s="15" t="s">
        <v>242</v>
      </c>
      <c r="AP128" s="15"/>
    </row>
    <row r="129" ht="22.5" customHeight="1">
      <c r="A129" s="15" t="s">
        <v>2892</v>
      </c>
      <c r="B129" s="15" t="s">
        <v>2895</v>
      </c>
      <c r="C129" s="15" t="s">
        <v>2896</v>
      </c>
      <c r="D129" s="41">
        <v>35389.0</v>
      </c>
      <c r="E129" s="15" t="s">
        <v>177</v>
      </c>
      <c r="F129" s="15">
        <v>7.752346355E9</v>
      </c>
      <c r="G129" s="15" t="s">
        <v>2897</v>
      </c>
      <c r="H129" s="15" t="s">
        <v>101</v>
      </c>
      <c r="I129" s="18"/>
      <c r="J129" s="15" t="s">
        <v>2899</v>
      </c>
      <c r="K129" s="15" t="s">
        <v>2901</v>
      </c>
      <c r="L129" s="20">
        <v>7.757068707E9</v>
      </c>
      <c r="M129" s="18"/>
      <c r="N129" s="18"/>
      <c r="O129" s="18"/>
      <c r="P129" s="20">
        <v>29.0</v>
      </c>
      <c r="Q129" s="22">
        <v>46036.90677083333</v>
      </c>
      <c r="R129" s="15" t="s">
        <v>107</v>
      </c>
      <c r="S129" s="15" t="s">
        <v>125</v>
      </c>
      <c r="T129" s="15" t="s">
        <v>192</v>
      </c>
      <c r="U129" s="15" t="s">
        <v>485</v>
      </c>
      <c r="V129" s="15" t="s">
        <v>486</v>
      </c>
      <c r="W129" s="15" t="s">
        <v>487</v>
      </c>
      <c r="X129" s="15" t="s">
        <v>120</v>
      </c>
      <c r="Y129" s="18"/>
      <c r="Z129" s="15" t="s">
        <v>120</v>
      </c>
      <c r="AA129" s="18"/>
      <c r="AB129" s="15" t="s">
        <v>120</v>
      </c>
      <c r="AC129" s="18"/>
      <c r="AD129" s="18"/>
      <c r="AE129" s="15" t="s">
        <v>120</v>
      </c>
      <c r="AF129" s="18"/>
      <c r="AG129" s="15" t="s">
        <v>120</v>
      </c>
      <c r="AH129" s="18"/>
      <c r="AI129" s="15" t="s">
        <v>120</v>
      </c>
      <c r="AJ129" s="18"/>
      <c r="AK129" s="18"/>
      <c r="AL129" s="15" t="s">
        <v>129</v>
      </c>
      <c r="AM129" s="15" t="s">
        <v>242</v>
      </c>
      <c r="AN129" s="15" t="s">
        <v>126</v>
      </c>
      <c r="AO129" s="15" t="s">
        <v>128</v>
      </c>
      <c r="AP129" s="15"/>
    </row>
    <row r="130" ht="22.5" customHeight="1">
      <c r="A130" s="15" t="s">
        <v>2905</v>
      </c>
      <c r="B130" s="15" t="s">
        <v>2906</v>
      </c>
      <c r="C130" s="15" t="s">
        <v>2907</v>
      </c>
      <c r="D130" s="41">
        <v>36244.0</v>
      </c>
      <c r="E130" s="15" t="s">
        <v>98</v>
      </c>
      <c r="F130" s="15">
        <v>5.525023705E9</v>
      </c>
      <c r="G130" s="15" t="s">
        <v>2909</v>
      </c>
      <c r="H130" s="15" t="s">
        <v>150</v>
      </c>
      <c r="I130" s="18"/>
      <c r="J130" s="15" t="s">
        <v>2911</v>
      </c>
      <c r="K130" s="15" t="s">
        <v>2912</v>
      </c>
      <c r="L130" s="20">
        <v>5.578806992E9</v>
      </c>
      <c r="M130" s="18"/>
      <c r="N130" s="18"/>
      <c r="O130" s="18"/>
      <c r="P130" s="20">
        <v>26.0</v>
      </c>
      <c r="Q130" s="22">
        <v>46047.68114583333</v>
      </c>
      <c r="R130" s="15" t="s">
        <v>231</v>
      </c>
      <c r="S130" s="15" t="s">
        <v>125</v>
      </c>
      <c r="T130" s="15" t="s">
        <v>127</v>
      </c>
      <c r="U130" s="15" t="s">
        <v>672</v>
      </c>
      <c r="V130" s="15" t="s">
        <v>673</v>
      </c>
      <c r="W130" s="15" t="s">
        <v>674</v>
      </c>
      <c r="X130" s="15" t="s">
        <v>120</v>
      </c>
      <c r="Y130" s="18"/>
      <c r="Z130" s="15" t="s">
        <v>120</v>
      </c>
      <c r="AA130" s="18"/>
      <c r="AB130" s="15" t="s">
        <v>120</v>
      </c>
      <c r="AC130" s="15" t="s">
        <v>120</v>
      </c>
      <c r="AD130" s="18"/>
      <c r="AE130" s="15" t="s">
        <v>120</v>
      </c>
      <c r="AF130" s="18"/>
      <c r="AG130" s="15" t="s">
        <v>120</v>
      </c>
      <c r="AH130" s="18"/>
      <c r="AI130" s="15" t="s">
        <v>120</v>
      </c>
      <c r="AJ130" s="18"/>
      <c r="AK130" s="18"/>
      <c r="AL130" s="15" t="s">
        <v>129</v>
      </c>
      <c r="AM130" s="15" t="s">
        <v>138</v>
      </c>
      <c r="AN130" s="15" t="s">
        <v>156</v>
      </c>
      <c r="AO130" s="15" t="s">
        <v>141</v>
      </c>
      <c r="AP130" s="15"/>
    </row>
    <row r="131" ht="22.5" customHeight="1">
      <c r="A131" s="15" t="s">
        <v>2913</v>
      </c>
      <c r="B131" s="15" t="s">
        <v>2914</v>
      </c>
      <c r="C131" s="15" t="s">
        <v>2915</v>
      </c>
      <c r="D131" s="41">
        <v>38142.0</v>
      </c>
      <c r="E131" s="15" t="s">
        <v>98</v>
      </c>
      <c r="F131" s="15">
        <v>5.616545998E9</v>
      </c>
      <c r="G131" s="15" t="s">
        <v>2916</v>
      </c>
      <c r="H131" s="15" t="s">
        <v>101</v>
      </c>
      <c r="I131" s="15" t="s">
        <v>1325</v>
      </c>
      <c r="J131" s="15" t="s">
        <v>2917</v>
      </c>
      <c r="K131" s="15" t="s">
        <v>2918</v>
      </c>
      <c r="L131" s="20">
        <v>5.516267037E9</v>
      </c>
      <c r="M131" s="18"/>
      <c r="N131" s="18"/>
      <c r="O131" s="18"/>
      <c r="P131" s="20">
        <v>21.0</v>
      </c>
      <c r="Q131" s="22">
        <v>46032.62351851852</v>
      </c>
      <c r="R131" s="15" t="s">
        <v>107</v>
      </c>
      <c r="S131" s="15" t="s">
        <v>125</v>
      </c>
      <c r="T131" s="15" t="s">
        <v>171</v>
      </c>
      <c r="U131" s="15" t="s">
        <v>2149</v>
      </c>
      <c r="V131" s="15" t="s">
        <v>2141</v>
      </c>
      <c r="W131" s="15" t="s">
        <v>2151</v>
      </c>
      <c r="X131" s="15" t="s">
        <v>120</v>
      </c>
      <c r="Y131" s="15" t="s">
        <v>2332</v>
      </c>
      <c r="Z131" s="15" t="s">
        <v>120</v>
      </c>
      <c r="AA131" s="15" t="s">
        <v>2332</v>
      </c>
      <c r="AB131" s="15" t="s">
        <v>120</v>
      </c>
      <c r="AC131" s="15" t="s">
        <v>120</v>
      </c>
      <c r="AD131" s="15" t="s">
        <v>2332</v>
      </c>
      <c r="AE131" s="15" t="s">
        <v>120</v>
      </c>
      <c r="AF131" s="15" t="s">
        <v>2332</v>
      </c>
      <c r="AG131" s="15" t="s">
        <v>120</v>
      </c>
      <c r="AH131" s="15" t="s">
        <v>2332</v>
      </c>
      <c r="AI131" s="15" t="s">
        <v>120</v>
      </c>
      <c r="AJ131" s="15" t="s">
        <v>2332</v>
      </c>
      <c r="AK131" s="15" t="s">
        <v>2332</v>
      </c>
      <c r="AL131" s="15" t="s">
        <v>216</v>
      </c>
      <c r="AM131" s="15" t="s">
        <v>138</v>
      </c>
      <c r="AN131" s="15" t="s">
        <v>126</v>
      </c>
      <c r="AO131" s="15" t="s">
        <v>185</v>
      </c>
      <c r="AP131" s="15"/>
    </row>
    <row r="132" ht="22.5" customHeight="1">
      <c r="A132" s="15" t="s">
        <v>2927</v>
      </c>
      <c r="B132" s="15" t="s">
        <v>2928</v>
      </c>
      <c r="C132" s="15" t="s">
        <v>2929</v>
      </c>
      <c r="D132" s="41">
        <v>36174.0</v>
      </c>
      <c r="E132" s="15" t="s">
        <v>98</v>
      </c>
      <c r="F132" s="15">
        <v>2.211482806E9</v>
      </c>
      <c r="G132" s="15" t="s">
        <v>2931</v>
      </c>
      <c r="H132" s="15" t="s">
        <v>101</v>
      </c>
      <c r="I132" s="15" t="s">
        <v>2934</v>
      </c>
      <c r="J132" s="15" t="s">
        <v>2929</v>
      </c>
      <c r="K132" s="15" t="s">
        <v>2935</v>
      </c>
      <c r="L132" s="20">
        <v>2.211482806E9</v>
      </c>
      <c r="M132" s="18"/>
      <c r="N132" s="18"/>
      <c r="O132" s="18"/>
      <c r="P132" s="20">
        <v>27.0</v>
      </c>
      <c r="Q132" s="22">
        <v>46040.35954861111</v>
      </c>
      <c r="R132" s="15" t="s">
        <v>231</v>
      </c>
      <c r="S132" s="15" t="s">
        <v>125</v>
      </c>
      <c r="T132" s="15" t="s">
        <v>2937</v>
      </c>
      <c r="U132" s="15" t="s">
        <v>2938</v>
      </c>
      <c r="V132" s="15" t="s">
        <v>2939</v>
      </c>
      <c r="W132" s="15" t="s">
        <v>2940</v>
      </c>
      <c r="X132" s="15" t="s">
        <v>120</v>
      </c>
      <c r="Y132" s="18"/>
      <c r="Z132" s="15" t="s">
        <v>120</v>
      </c>
      <c r="AA132" s="18"/>
      <c r="AB132" s="15" t="s">
        <v>120</v>
      </c>
      <c r="AC132" s="18"/>
      <c r="AD132" s="18"/>
      <c r="AE132" s="15" t="s">
        <v>120</v>
      </c>
      <c r="AF132" s="18"/>
      <c r="AG132" s="15" t="s">
        <v>120</v>
      </c>
      <c r="AH132" s="18"/>
      <c r="AI132" s="15" t="s">
        <v>120</v>
      </c>
      <c r="AJ132" s="18"/>
      <c r="AK132" s="18"/>
      <c r="AL132" s="15" t="s">
        <v>242</v>
      </c>
      <c r="AM132" s="15" t="s">
        <v>216</v>
      </c>
      <c r="AN132" s="15" t="s">
        <v>129</v>
      </c>
      <c r="AO132" s="15" t="s">
        <v>128</v>
      </c>
      <c r="AP132" s="15"/>
    </row>
    <row r="133" ht="22.5" customHeight="1">
      <c r="A133" s="15" t="s">
        <v>2941</v>
      </c>
      <c r="B133" s="15" t="s">
        <v>1858</v>
      </c>
      <c r="C133" s="15" t="s">
        <v>2942</v>
      </c>
      <c r="D133" s="41">
        <v>39031.0</v>
      </c>
      <c r="E133" s="15" t="s">
        <v>98</v>
      </c>
      <c r="F133" s="15">
        <v>5.56065791E9</v>
      </c>
      <c r="G133" s="15" t="s">
        <v>2943</v>
      </c>
      <c r="H133" s="15" t="s">
        <v>140</v>
      </c>
      <c r="I133" s="18"/>
      <c r="J133" s="15" t="s">
        <v>2946</v>
      </c>
      <c r="K133" s="15" t="s">
        <v>1869</v>
      </c>
      <c r="L133" s="77" t="str">
        <f>+52 55 4339 0562</f>
        <v>#ERROR!</v>
      </c>
      <c r="M133" s="18"/>
      <c r="N133" s="18"/>
      <c r="O133" s="18"/>
      <c r="P133" s="20">
        <v>19.0</v>
      </c>
      <c r="Q133" s="22">
        <v>46033.52354166667</v>
      </c>
      <c r="R133" s="15" t="s">
        <v>107</v>
      </c>
      <c r="S133" s="15" t="s">
        <v>125</v>
      </c>
      <c r="T133" s="15" t="s">
        <v>208</v>
      </c>
      <c r="U133" s="15" t="s">
        <v>478</v>
      </c>
      <c r="V133" s="15" t="s">
        <v>480</v>
      </c>
      <c r="W133" s="15" t="s">
        <v>481</v>
      </c>
      <c r="X133" s="15" t="s">
        <v>120</v>
      </c>
      <c r="Y133" s="18"/>
      <c r="Z133" s="15" t="s">
        <v>117</v>
      </c>
      <c r="AA133" s="52" t="s">
        <v>2952</v>
      </c>
      <c r="AB133" s="15" t="s">
        <v>120</v>
      </c>
      <c r="AC133" s="15" t="s">
        <v>120</v>
      </c>
      <c r="AD133" s="18"/>
      <c r="AE133" s="15" t="s">
        <v>120</v>
      </c>
      <c r="AF133" s="18"/>
      <c r="AG133" s="15" t="s">
        <v>120</v>
      </c>
      <c r="AH133" s="18"/>
      <c r="AI133" s="15" t="s">
        <v>120</v>
      </c>
      <c r="AJ133" s="18"/>
      <c r="AK133" s="18"/>
      <c r="AL133" s="15" t="s">
        <v>242</v>
      </c>
      <c r="AM133" s="15" t="s">
        <v>129</v>
      </c>
      <c r="AN133" s="15" t="s">
        <v>141</v>
      </c>
      <c r="AO133" s="15" t="s">
        <v>124</v>
      </c>
      <c r="AP133" s="15"/>
    </row>
    <row r="134" ht="22.5" customHeight="1">
      <c r="A134" s="15" t="s">
        <v>2953</v>
      </c>
      <c r="B134" s="15" t="s">
        <v>2954</v>
      </c>
      <c r="C134" s="15" t="s">
        <v>2955</v>
      </c>
      <c r="D134" s="41">
        <v>38217.0</v>
      </c>
      <c r="E134" s="15" t="s">
        <v>98</v>
      </c>
      <c r="F134" s="15">
        <v>9.932175651E9</v>
      </c>
      <c r="G134" s="15" t="s">
        <v>2959</v>
      </c>
      <c r="H134" s="15" t="s">
        <v>140</v>
      </c>
      <c r="I134" s="18"/>
      <c r="J134" s="15" t="s">
        <v>2960</v>
      </c>
      <c r="K134" s="15" t="s">
        <v>2962</v>
      </c>
      <c r="L134" s="20">
        <v>9.934024442E9</v>
      </c>
      <c r="M134" s="18"/>
      <c r="N134" s="18"/>
      <c r="O134" s="18"/>
      <c r="P134" s="20">
        <v>21.0</v>
      </c>
      <c r="Q134" s="22">
        <v>45970.9447337963</v>
      </c>
      <c r="R134" s="15" t="s">
        <v>107</v>
      </c>
      <c r="S134" s="15" t="s">
        <v>125</v>
      </c>
      <c r="T134" s="15" t="s">
        <v>1953</v>
      </c>
      <c r="U134" s="15" t="s">
        <v>2965</v>
      </c>
      <c r="V134" s="15" t="s">
        <v>2966</v>
      </c>
      <c r="W134" s="15" t="s">
        <v>2967</v>
      </c>
      <c r="X134" s="15" t="s">
        <v>120</v>
      </c>
      <c r="Y134" s="18"/>
      <c r="Z134" s="15" t="s">
        <v>120</v>
      </c>
      <c r="AA134" s="18"/>
      <c r="AB134" s="15" t="s">
        <v>120</v>
      </c>
      <c r="AC134" s="15" t="s">
        <v>120</v>
      </c>
      <c r="AD134" s="18"/>
      <c r="AE134" s="15" t="s">
        <v>120</v>
      </c>
      <c r="AF134" s="18"/>
      <c r="AG134" s="15" t="s">
        <v>120</v>
      </c>
      <c r="AH134" s="18"/>
      <c r="AI134" s="15" t="s">
        <v>120</v>
      </c>
      <c r="AJ134" s="18"/>
      <c r="AK134" s="18"/>
      <c r="AL134" s="15" t="s">
        <v>129</v>
      </c>
      <c r="AM134" s="15" t="s">
        <v>156</v>
      </c>
      <c r="AN134" s="15" t="s">
        <v>124</v>
      </c>
      <c r="AO134" s="15" t="s">
        <v>141</v>
      </c>
      <c r="AP134" s="15"/>
    </row>
    <row r="135" ht="22.5" customHeight="1">
      <c r="A135" s="15" t="s">
        <v>2968</v>
      </c>
      <c r="B135" s="15" t="s">
        <v>2969</v>
      </c>
      <c r="C135" s="15" t="s">
        <v>2970</v>
      </c>
      <c r="D135" s="41">
        <v>36003.0</v>
      </c>
      <c r="E135" s="15" t="s">
        <v>177</v>
      </c>
      <c r="F135" s="15">
        <v>5.575073703E9</v>
      </c>
      <c r="G135" s="15" t="s">
        <v>2972</v>
      </c>
      <c r="H135" s="15" t="s">
        <v>101</v>
      </c>
      <c r="I135" s="18"/>
      <c r="J135" s="15" t="s">
        <v>2974</v>
      </c>
      <c r="K135" s="15" t="s">
        <v>2975</v>
      </c>
      <c r="L135" s="20">
        <v>5.527510194E9</v>
      </c>
      <c r="M135" s="18"/>
      <c r="N135" s="18"/>
      <c r="O135" s="18"/>
      <c r="P135" s="20">
        <v>27.0</v>
      </c>
      <c r="Q135" s="22">
        <v>46033.92427083333</v>
      </c>
      <c r="R135" s="15" t="s">
        <v>107</v>
      </c>
      <c r="S135" s="15" t="s">
        <v>125</v>
      </c>
      <c r="T135" s="15" t="s">
        <v>208</v>
      </c>
      <c r="U135" s="15" t="s">
        <v>428</v>
      </c>
      <c r="V135" s="15" t="s">
        <v>429</v>
      </c>
      <c r="W135" s="15" t="s">
        <v>430</v>
      </c>
      <c r="X135" s="15" t="s">
        <v>120</v>
      </c>
      <c r="Y135" s="18"/>
      <c r="Z135" s="15" t="s">
        <v>120</v>
      </c>
      <c r="AA135" s="18"/>
      <c r="AB135" s="15" t="s">
        <v>120</v>
      </c>
      <c r="AC135" s="18"/>
      <c r="AD135" s="18"/>
      <c r="AE135" s="15" t="s">
        <v>120</v>
      </c>
      <c r="AF135" s="18"/>
      <c r="AG135" s="15" t="s">
        <v>120</v>
      </c>
      <c r="AH135" s="18"/>
      <c r="AI135" s="15" t="s">
        <v>120</v>
      </c>
      <c r="AJ135" s="18"/>
      <c r="AK135" s="18"/>
      <c r="AL135" s="15" t="s">
        <v>141</v>
      </c>
      <c r="AM135" s="15" t="s">
        <v>128</v>
      </c>
      <c r="AN135" s="15" t="s">
        <v>138</v>
      </c>
      <c r="AO135" s="15" t="s">
        <v>138</v>
      </c>
      <c r="AP135" s="15"/>
    </row>
    <row r="136" ht="22.5" customHeight="1">
      <c r="A136" s="15" t="s">
        <v>2977</v>
      </c>
      <c r="B136" s="15" t="s">
        <v>2978</v>
      </c>
      <c r="C136" s="15" t="s">
        <v>2979</v>
      </c>
      <c r="D136" s="41">
        <v>38589.0</v>
      </c>
      <c r="E136" s="15" t="s">
        <v>98</v>
      </c>
      <c r="F136" s="15">
        <v>5.530834701E9</v>
      </c>
      <c r="G136" s="15" t="s">
        <v>2980</v>
      </c>
      <c r="H136" s="15" t="s">
        <v>101</v>
      </c>
      <c r="I136" s="18"/>
      <c r="J136" s="15" t="s">
        <v>2983</v>
      </c>
      <c r="K136" s="15" t="s">
        <v>2985</v>
      </c>
      <c r="L136" s="20">
        <v>5.530834701E9</v>
      </c>
      <c r="M136" s="18"/>
      <c r="N136" s="18"/>
      <c r="O136" s="18"/>
      <c r="P136" s="20">
        <v>20.0</v>
      </c>
      <c r="Q136" s="22">
        <v>46034.67429398148</v>
      </c>
      <c r="R136" s="15" t="s">
        <v>107</v>
      </c>
      <c r="S136" s="15" t="s">
        <v>125</v>
      </c>
      <c r="T136" s="15" t="s">
        <v>204</v>
      </c>
      <c r="U136" s="15" t="s">
        <v>699</v>
      </c>
      <c r="V136" s="15" t="s">
        <v>700</v>
      </c>
      <c r="W136" s="15" t="s">
        <v>702</v>
      </c>
      <c r="X136" s="15" t="s">
        <v>120</v>
      </c>
      <c r="Y136" s="18"/>
      <c r="Z136" s="15" t="s">
        <v>117</v>
      </c>
      <c r="AA136" s="52" t="s">
        <v>2989</v>
      </c>
      <c r="AB136" s="15" t="s">
        <v>120</v>
      </c>
      <c r="AC136" s="18"/>
      <c r="AD136" s="18"/>
      <c r="AE136" s="15" t="s">
        <v>120</v>
      </c>
      <c r="AF136" s="18"/>
      <c r="AG136" s="15" t="s">
        <v>120</v>
      </c>
      <c r="AH136" s="18"/>
      <c r="AI136" s="15" t="s">
        <v>120</v>
      </c>
      <c r="AJ136" s="18"/>
      <c r="AK136" s="18"/>
      <c r="AL136" s="15" t="s">
        <v>185</v>
      </c>
      <c r="AM136" s="15" t="s">
        <v>129</v>
      </c>
      <c r="AN136" s="15" t="s">
        <v>124</v>
      </c>
      <c r="AO136" s="15" t="s">
        <v>128</v>
      </c>
      <c r="AP136" s="15"/>
    </row>
    <row r="137" ht="22.5" customHeight="1">
      <c r="A137" s="15" t="s">
        <v>2990</v>
      </c>
      <c r="B137" s="15" t="s">
        <v>2991</v>
      </c>
      <c r="C137" s="15" t="s">
        <v>2995</v>
      </c>
      <c r="D137" s="41">
        <v>38354.0</v>
      </c>
      <c r="E137" s="15" t="s">
        <v>98</v>
      </c>
      <c r="F137" s="15">
        <v>5.521376187E9</v>
      </c>
      <c r="G137" s="15" t="s">
        <v>2998</v>
      </c>
      <c r="H137" s="15" t="s">
        <v>101</v>
      </c>
      <c r="I137" s="18"/>
      <c r="J137" s="15" t="s">
        <v>2999</v>
      </c>
      <c r="K137" s="15" t="s">
        <v>3000</v>
      </c>
      <c r="L137" s="20" t="s">
        <v>3001</v>
      </c>
      <c r="M137" s="18"/>
      <c r="N137" s="18"/>
      <c r="O137" s="18"/>
      <c r="P137" s="20">
        <v>21.0</v>
      </c>
      <c r="Q137" s="22">
        <v>46038.898125</v>
      </c>
      <c r="R137" s="15" t="s">
        <v>107</v>
      </c>
      <c r="S137" s="15" t="s">
        <v>125</v>
      </c>
      <c r="T137" s="15" t="s">
        <v>160</v>
      </c>
      <c r="U137" s="15" t="s">
        <v>308</v>
      </c>
      <c r="V137" s="15" t="s">
        <v>309</v>
      </c>
      <c r="W137" s="15" t="s">
        <v>310</v>
      </c>
      <c r="X137" s="15" t="s">
        <v>120</v>
      </c>
      <c r="Y137" s="18"/>
      <c r="Z137" s="15" t="s">
        <v>120</v>
      </c>
      <c r="AA137" s="18"/>
      <c r="AB137" s="15" t="s">
        <v>117</v>
      </c>
      <c r="AC137" s="15" t="s">
        <v>117</v>
      </c>
      <c r="AD137" s="15" t="s">
        <v>1639</v>
      </c>
      <c r="AE137" s="15" t="s">
        <v>120</v>
      </c>
      <c r="AF137" s="18"/>
      <c r="AG137" s="15" t="s">
        <v>120</v>
      </c>
      <c r="AH137" s="18"/>
      <c r="AI137" s="15" t="s">
        <v>120</v>
      </c>
      <c r="AJ137" s="18"/>
      <c r="AK137" s="18"/>
      <c r="AL137" s="15" t="s">
        <v>240</v>
      </c>
      <c r="AM137" s="15" t="s">
        <v>185</v>
      </c>
      <c r="AN137" s="15" t="s">
        <v>126</v>
      </c>
      <c r="AO137" s="15" t="s">
        <v>156</v>
      </c>
      <c r="AP137" s="15"/>
    </row>
    <row r="138" ht="22.5" customHeight="1">
      <c r="A138" s="15" t="s">
        <v>3020</v>
      </c>
      <c r="B138" s="15" t="s">
        <v>3021</v>
      </c>
      <c r="C138" s="15" t="s">
        <v>3022</v>
      </c>
      <c r="D138" s="41">
        <v>37340.0</v>
      </c>
      <c r="E138" s="15" t="s">
        <v>177</v>
      </c>
      <c r="F138" s="15">
        <v>5.53248053E9</v>
      </c>
      <c r="G138" s="15" t="s">
        <v>3023</v>
      </c>
      <c r="H138" s="15" t="s">
        <v>101</v>
      </c>
      <c r="I138" s="18"/>
      <c r="J138" s="15" t="s">
        <v>3024</v>
      </c>
      <c r="K138" s="15" t="s">
        <v>3025</v>
      </c>
      <c r="L138" s="20">
        <v>5.523552929E9</v>
      </c>
      <c r="M138" s="18"/>
      <c r="N138" s="18"/>
      <c r="O138" s="18"/>
      <c r="P138" s="20">
        <v>23.0</v>
      </c>
      <c r="Q138" s="22">
        <v>46026.493125</v>
      </c>
      <c r="R138" s="15" t="s">
        <v>260</v>
      </c>
      <c r="S138" s="15" t="s">
        <v>125</v>
      </c>
      <c r="T138" s="15" t="s">
        <v>208</v>
      </c>
      <c r="U138" s="15" t="s">
        <v>228</v>
      </c>
      <c r="V138" s="15" t="s">
        <v>229</v>
      </c>
      <c r="W138" s="15" t="s">
        <v>230</v>
      </c>
      <c r="X138" s="15" t="s">
        <v>120</v>
      </c>
      <c r="Y138" s="18"/>
      <c r="Z138" s="15" t="s">
        <v>120</v>
      </c>
      <c r="AA138" s="18"/>
      <c r="AB138" s="15" t="s">
        <v>120</v>
      </c>
      <c r="AC138" s="15" t="s">
        <v>120</v>
      </c>
      <c r="AD138" s="18"/>
      <c r="AE138" s="15" t="s">
        <v>120</v>
      </c>
      <c r="AF138" s="18"/>
      <c r="AG138" s="15" t="s">
        <v>120</v>
      </c>
      <c r="AH138" s="18"/>
      <c r="AI138" s="15" t="s">
        <v>120</v>
      </c>
      <c r="AJ138" s="18"/>
      <c r="AK138" s="18"/>
      <c r="AL138" s="15" t="s">
        <v>138</v>
      </c>
      <c r="AM138" s="15" t="s">
        <v>156</v>
      </c>
      <c r="AN138" s="15" t="s">
        <v>185</v>
      </c>
      <c r="AO138" s="15" t="s">
        <v>128</v>
      </c>
      <c r="AP138" s="15"/>
    </row>
    <row r="139" ht="22.5" customHeight="1">
      <c r="A139" s="15" t="s">
        <v>3039</v>
      </c>
      <c r="B139" s="15" t="s">
        <v>3040</v>
      </c>
      <c r="C139" s="15" t="s">
        <v>3041</v>
      </c>
      <c r="D139" s="41">
        <v>37871.0</v>
      </c>
      <c r="E139" s="15" t="s">
        <v>98</v>
      </c>
      <c r="F139" s="15">
        <v>5.559972744E9</v>
      </c>
      <c r="G139" s="15" t="s">
        <v>3047</v>
      </c>
      <c r="H139" s="15" t="s">
        <v>140</v>
      </c>
      <c r="I139" s="18"/>
      <c r="J139" s="15" t="s">
        <v>3050</v>
      </c>
      <c r="K139" s="15" t="s">
        <v>3051</v>
      </c>
      <c r="L139" s="20">
        <v>5.578403245E9</v>
      </c>
      <c r="M139" s="18"/>
      <c r="N139" s="18"/>
      <c r="O139" s="18"/>
      <c r="P139" s="20">
        <v>22.0</v>
      </c>
      <c r="Q139" s="22">
        <v>46040.93880787037</v>
      </c>
      <c r="R139" s="15" t="s">
        <v>231</v>
      </c>
      <c r="S139" s="15" t="s">
        <v>125</v>
      </c>
      <c r="T139" s="15" t="s">
        <v>204</v>
      </c>
      <c r="U139" s="15" t="s">
        <v>699</v>
      </c>
      <c r="V139" s="15" t="s">
        <v>700</v>
      </c>
      <c r="W139" s="15" t="s">
        <v>702</v>
      </c>
      <c r="X139" s="15" t="s">
        <v>120</v>
      </c>
      <c r="Y139" s="18"/>
      <c r="Z139" s="15" t="s">
        <v>120</v>
      </c>
      <c r="AA139" s="18"/>
      <c r="AB139" s="15" t="s">
        <v>120</v>
      </c>
      <c r="AC139" s="18"/>
      <c r="AD139" s="18"/>
      <c r="AE139" s="15" t="s">
        <v>120</v>
      </c>
      <c r="AF139" s="18"/>
      <c r="AG139" s="15" t="s">
        <v>120</v>
      </c>
      <c r="AH139" s="18"/>
      <c r="AI139" s="15" t="s">
        <v>120</v>
      </c>
      <c r="AJ139" s="18"/>
      <c r="AK139" s="18"/>
      <c r="AL139" s="15" t="s">
        <v>156</v>
      </c>
      <c r="AM139" s="15" t="s">
        <v>240</v>
      </c>
      <c r="AN139" s="15" t="s">
        <v>124</v>
      </c>
      <c r="AO139" s="15" t="s">
        <v>126</v>
      </c>
      <c r="AP139" s="15"/>
    </row>
    <row r="140" ht="22.5" customHeight="1">
      <c r="A140" s="15" t="s">
        <v>3069</v>
      </c>
      <c r="B140" s="15" t="s">
        <v>3070</v>
      </c>
      <c r="C140" s="15" t="s">
        <v>3077</v>
      </c>
      <c r="D140" s="41">
        <v>38511.0</v>
      </c>
      <c r="E140" s="15" t="s">
        <v>98</v>
      </c>
      <c r="F140" s="15">
        <v>5.624051722E9</v>
      </c>
      <c r="G140" s="15" t="s">
        <v>3087</v>
      </c>
      <c r="H140" s="15" t="s">
        <v>140</v>
      </c>
      <c r="I140" s="18"/>
      <c r="J140" s="15" t="s">
        <v>3088</v>
      </c>
      <c r="K140" s="15" t="s">
        <v>3089</v>
      </c>
      <c r="L140" s="20">
        <v>5.55334649E9</v>
      </c>
      <c r="M140" s="18"/>
      <c r="N140" s="18"/>
      <c r="O140" s="18"/>
      <c r="P140" s="20">
        <v>20.0</v>
      </c>
      <c r="Q140" s="22">
        <v>46039.909050925926</v>
      </c>
      <c r="R140" s="15" t="s">
        <v>231</v>
      </c>
      <c r="S140" s="15" t="s">
        <v>125</v>
      </c>
      <c r="T140" s="15" t="s">
        <v>171</v>
      </c>
      <c r="U140" s="15" t="s">
        <v>1474</v>
      </c>
      <c r="V140" s="15" t="s">
        <v>1475</v>
      </c>
      <c r="W140" s="15" t="s">
        <v>1476</v>
      </c>
      <c r="X140" s="15" t="s">
        <v>120</v>
      </c>
      <c r="Y140" s="18"/>
      <c r="Z140" s="15" t="s">
        <v>120</v>
      </c>
      <c r="AA140" s="18"/>
      <c r="AB140" s="15" t="s">
        <v>117</v>
      </c>
      <c r="AC140" s="15" t="s">
        <v>117</v>
      </c>
      <c r="AD140" s="18"/>
      <c r="AE140" s="15" t="s">
        <v>117</v>
      </c>
      <c r="AF140" s="15" t="s">
        <v>3118</v>
      </c>
      <c r="AG140" s="15" t="s">
        <v>120</v>
      </c>
      <c r="AH140" s="18"/>
      <c r="AI140" s="15" t="s">
        <v>120</v>
      </c>
      <c r="AJ140" s="18"/>
      <c r="AK140" s="18"/>
      <c r="AL140" s="15" t="s">
        <v>138</v>
      </c>
      <c r="AM140" s="15" t="s">
        <v>128</v>
      </c>
      <c r="AN140" s="15" t="s">
        <v>124</v>
      </c>
      <c r="AO140" s="15" t="s">
        <v>126</v>
      </c>
      <c r="AP140" s="15"/>
    </row>
    <row r="141" ht="22.5" customHeight="1">
      <c r="A141" s="15" t="s">
        <v>3132</v>
      </c>
      <c r="B141" s="15" t="s">
        <v>3133</v>
      </c>
      <c r="C141" s="15" t="s">
        <v>3134</v>
      </c>
      <c r="D141" s="41">
        <v>35465.0</v>
      </c>
      <c r="E141" s="15" t="s">
        <v>98</v>
      </c>
      <c r="F141" s="15">
        <v>5.519195619E9</v>
      </c>
      <c r="G141" s="15" t="s">
        <v>3135</v>
      </c>
      <c r="H141" s="15" t="s">
        <v>382</v>
      </c>
      <c r="I141" s="15" t="s">
        <v>2397</v>
      </c>
      <c r="J141" s="15" t="s">
        <v>3143</v>
      </c>
      <c r="K141" s="15" t="s">
        <v>3147</v>
      </c>
      <c r="L141" s="20">
        <v>5.519195619E9</v>
      </c>
      <c r="M141" s="18"/>
      <c r="N141" s="18"/>
      <c r="O141" s="18"/>
      <c r="P141" s="20">
        <v>29.0</v>
      </c>
      <c r="Q141" s="22">
        <v>46036.729895833334</v>
      </c>
      <c r="R141" s="15" t="s">
        <v>546</v>
      </c>
      <c r="S141" s="15" t="s">
        <v>125</v>
      </c>
      <c r="T141" s="15" t="s">
        <v>3154</v>
      </c>
      <c r="U141" s="15" t="s">
        <v>3155</v>
      </c>
      <c r="V141" s="15" t="s">
        <v>3156</v>
      </c>
      <c r="W141" s="15" t="s">
        <v>3160</v>
      </c>
      <c r="X141" s="15" t="s">
        <v>120</v>
      </c>
      <c r="Y141" s="15" t="s">
        <v>135</v>
      </c>
      <c r="Z141" s="15" t="s">
        <v>120</v>
      </c>
      <c r="AA141" s="15" t="s">
        <v>135</v>
      </c>
      <c r="AB141" s="15" t="s">
        <v>120</v>
      </c>
      <c r="AC141" s="15" t="s">
        <v>120</v>
      </c>
      <c r="AD141" s="15" t="s">
        <v>135</v>
      </c>
      <c r="AE141" s="15" t="s">
        <v>120</v>
      </c>
      <c r="AF141" s="15" t="s">
        <v>135</v>
      </c>
      <c r="AG141" s="15" t="s">
        <v>120</v>
      </c>
      <c r="AH141" s="15" t="s">
        <v>135</v>
      </c>
      <c r="AI141" s="15" t="s">
        <v>120</v>
      </c>
      <c r="AJ141" s="15" t="s">
        <v>2397</v>
      </c>
      <c r="AK141" s="15" t="s">
        <v>135</v>
      </c>
      <c r="AL141" s="15" t="s">
        <v>141</v>
      </c>
      <c r="AM141" s="15" t="s">
        <v>129</v>
      </c>
      <c r="AN141" s="15" t="s">
        <v>242</v>
      </c>
      <c r="AO141" s="15" t="s">
        <v>128</v>
      </c>
      <c r="AP141" s="15"/>
    </row>
    <row r="142" ht="22.5" customHeight="1">
      <c r="A142" s="15" t="s">
        <v>3185</v>
      </c>
      <c r="B142" s="15" t="s">
        <v>2220</v>
      </c>
      <c r="C142" s="15" t="s">
        <v>3189</v>
      </c>
      <c r="D142" s="41">
        <v>38227.0</v>
      </c>
      <c r="E142" s="15" t="s">
        <v>98</v>
      </c>
      <c r="F142" s="15" t="s">
        <v>3194</v>
      </c>
      <c r="G142" s="15" t="s">
        <v>3195</v>
      </c>
      <c r="H142" s="15" t="s">
        <v>140</v>
      </c>
      <c r="I142" s="18"/>
      <c r="J142" s="15" t="s">
        <v>2229</v>
      </c>
      <c r="K142" s="15" t="s">
        <v>3197</v>
      </c>
      <c r="L142" s="77" t="str">
        <f>+52 55 3462 1137</f>
        <v>#ERROR!</v>
      </c>
      <c r="M142" s="18"/>
      <c r="N142" s="18"/>
      <c r="O142" s="18"/>
      <c r="P142" s="20">
        <v>21.0</v>
      </c>
      <c r="Q142" s="22">
        <v>45979.5841087963</v>
      </c>
      <c r="R142" s="15" t="s">
        <v>107</v>
      </c>
      <c r="S142" s="15" t="s">
        <v>125</v>
      </c>
      <c r="T142" s="15" t="s">
        <v>204</v>
      </c>
      <c r="U142" s="15" t="s">
        <v>205</v>
      </c>
      <c r="V142" s="15" t="s">
        <v>206</v>
      </c>
      <c r="W142" s="15" t="s">
        <v>207</v>
      </c>
      <c r="X142" s="15" t="s">
        <v>120</v>
      </c>
      <c r="Y142" s="18"/>
      <c r="Z142" s="15" t="s">
        <v>120</v>
      </c>
      <c r="AA142" s="18"/>
      <c r="AB142" s="15" t="s">
        <v>117</v>
      </c>
      <c r="AC142" s="15" t="s">
        <v>117</v>
      </c>
      <c r="AD142" s="15" t="s">
        <v>3211</v>
      </c>
      <c r="AE142" s="15" t="s">
        <v>117</v>
      </c>
      <c r="AF142" s="15" t="s">
        <v>3217</v>
      </c>
      <c r="AG142" s="15" t="s">
        <v>120</v>
      </c>
      <c r="AH142" s="18"/>
      <c r="AI142" s="15" t="s">
        <v>120</v>
      </c>
      <c r="AJ142" s="18"/>
      <c r="AK142" s="18"/>
      <c r="AL142" s="15" t="s">
        <v>185</v>
      </c>
      <c r="AM142" s="15" t="s">
        <v>138</v>
      </c>
      <c r="AN142" s="15" t="s">
        <v>240</v>
      </c>
      <c r="AO142" s="15" t="s">
        <v>129</v>
      </c>
      <c r="AP142" s="15"/>
    </row>
    <row r="143" ht="22.5" customHeight="1">
      <c r="A143" s="15" t="s">
        <v>2532</v>
      </c>
      <c r="B143" s="15" t="s">
        <v>2533</v>
      </c>
      <c r="C143" s="15" t="s">
        <v>2535</v>
      </c>
      <c r="D143" s="41">
        <v>37728.0</v>
      </c>
      <c r="E143" s="15" t="s">
        <v>98</v>
      </c>
      <c r="F143" s="15">
        <v>2.321175658E9</v>
      </c>
      <c r="G143" s="15" t="s">
        <v>2538</v>
      </c>
      <c r="H143" s="15" t="s">
        <v>150</v>
      </c>
      <c r="I143" s="18"/>
      <c r="J143" s="15" t="s">
        <v>2540</v>
      </c>
      <c r="K143" s="15" t="s">
        <v>2541</v>
      </c>
      <c r="L143" s="20">
        <v>2.212231159E9</v>
      </c>
      <c r="M143" s="18"/>
      <c r="N143" s="18"/>
      <c r="O143" s="18"/>
      <c r="P143" s="20">
        <v>22.0</v>
      </c>
      <c r="Q143" s="22">
        <v>45979.6325462963</v>
      </c>
      <c r="R143" s="15" t="s">
        <v>107</v>
      </c>
      <c r="S143" s="15" t="s">
        <v>125</v>
      </c>
      <c r="T143" s="15" t="s">
        <v>2547</v>
      </c>
      <c r="U143" s="15" t="s">
        <v>2548</v>
      </c>
      <c r="V143" s="15" t="s">
        <v>2550</v>
      </c>
      <c r="W143" s="15" t="s">
        <v>2552</v>
      </c>
      <c r="X143" s="15" t="s">
        <v>120</v>
      </c>
      <c r="Y143" s="18"/>
      <c r="Z143" s="15" t="s">
        <v>120</v>
      </c>
      <c r="AA143" s="18"/>
      <c r="AB143" s="15" t="s">
        <v>117</v>
      </c>
      <c r="AC143" s="15" t="s">
        <v>120</v>
      </c>
      <c r="AD143" s="15" t="s">
        <v>2555</v>
      </c>
      <c r="AE143" s="15" t="s">
        <v>120</v>
      </c>
      <c r="AF143" s="18"/>
      <c r="AG143" s="15" t="s">
        <v>120</v>
      </c>
      <c r="AH143" s="18"/>
      <c r="AI143" s="15" t="s">
        <v>117</v>
      </c>
      <c r="AJ143" s="15" t="s">
        <v>2557</v>
      </c>
      <c r="AK143" s="18"/>
      <c r="AL143" s="15" t="s">
        <v>141</v>
      </c>
      <c r="AM143" s="15" t="s">
        <v>138</v>
      </c>
      <c r="AN143" s="15" t="s">
        <v>156</v>
      </c>
      <c r="AO143" s="15" t="s">
        <v>124</v>
      </c>
      <c r="AP143" s="15"/>
    </row>
    <row r="144" ht="22.5" customHeight="1">
      <c r="A144" s="15" t="s">
        <v>3246</v>
      </c>
      <c r="B144" s="15" t="s">
        <v>3248</v>
      </c>
      <c r="C144" s="15" t="s">
        <v>3250</v>
      </c>
      <c r="D144" s="41">
        <v>35520.0</v>
      </c>
      <c r="E144" s="15" t="s">
        <v>177</v>
      </c>
      <c r="F144" s="15">
        <v>5.64769165E9</v>
      </c>
      <c r="G144" s="15" t="s">
        <v>3255</v>
      </c>
      <c r="H144" s="15" t="s">
        <v>101</v>
      </c>
      <c r="I144" s="18"/>
      <c r="J144" s="15" t="s">
        <v>3260</v>
      </c>
      <c r="K144" s="15" t="s">
        <v>3264</v>
      </c>
      <c r="L144" s="20">
        <v>5.621988494E9</v>
      </c>
      <c r="M144" s="18"/>
      <c r="N144" s="18"/>
      <c r="O144" s="18"/>
      <c r="P144" s="20">
        <v>28.0</v>
      </c>
      <c r="Q144" s="22">
        <v>46047.89090277778</v>
      </c>
      <c r="R144" s="15" t="s">
        <v>260</v>
      </c>
      <c r="S144" s="15" t="s">
        <v>125</v>
      </c>
      <c r="T144" s="15" t="s">
        <v>3273</v>
      </c>
      <c r="U144" s="15" t="s">
        <v>3274</v>
      </c>
      <c r="V144" s="15" t="s">
        <v>3275</v>
      </c>
      <c r="W144" s="15" t="s">
        <v>3276</v>
      </c>
      <c r="X144" s="15" t="s">
        <v>120</v>
      </c>
      <c r="Y144" s="18"/>
      <c r="Z144" s="15" t="s">
        <v>120</v>
      </c>
      <c r="AA144" s="18"/>
      <c r="AB144" s="15" t="s">
        <v>120</v>
      </c>
      <c r="AC144" s="18"/>
      <c r="AD144" s="18"/>
      <c r="AE144" s="15" t="s">
        <v>120</v>
      </c>
      <c r="AF144" s="18"/>
      <c r="AG144" s="15" t="s">
        <v>120</v>
      </c>
      <c r="AH144" s="18"/>
      <c r="AI144" s="15" t="s">
        <v>120</v>
      </c>
      <c r="AJ144" s="18"/>
      <c r="AK144" s="18"/>
      <c r="AL144" s="15" t="s">
        <v>242</v>
      </c>
      <c r="AM144" s="15" t="s">
        <v>156</v>
      </c>
      <c r="AN144" s="15" t="s">
        <v>138</v>
      </c>
      <c r="AO144" s="15" t="s">
        <v>128</v>
      </c>
      <c r="AP144" s="15"/>
    </row>
    <row r="145" ht="22.5" customHeight="1">
      <c r="A145" s="15" t="s">
        <v>3292</v>
      </c>
      <c r="B145" s="15" t="s">
        <v>3293</v>
      </c>
      <c r="C145" s="15" t="s">
        <v>3294</v>
      </c>
      <c r="D145" s="41">
        <v>39100.0</v>
      </c>
      <c r="E145" s="15" t="s">
        <v>98</v>
      </c>
      <c r="F145" s="15">
        <v>7.443562012E9</v>
      </c>
      <c r="G145" s="15" t="s">
        <v>3295</v>
      </c>
      <c r="H145" s="15" t="s">
        <v>140</v>
      </c>
      <c r="I145" s="18"/>
      <c r="J145" s="15" t="s">
        <v>3296</v>
      </c>
      <c r="K145" s="15" t="s">
        <v>3297</v>
      </c>
      <c r="L145" s="20">
        <v>7.443191387E9</v>
      </c>
      <c r="M145" s="18"/>
      <c r="N145" s="18"/>
      <c r="O145" s="18"/>
      <c r="P145" s="20">
        <v>19.0</v>
      </c>
      <c r="Q145" s="22">
        <v>46033.482777777775</v>
      </c>
      <c r="R145" s="15" t="s">
        <v>546</v>
      </c>
      <c r="S145" s="15" t="s">
        <v>125</v>
      </c>
      <c r="T145" s="15" t="s">
        <v>1200</v>
      </c>
      <c r="U145" s="15" t="s">
        <v>1471</v>
      </c>
      <c r="V145" s="15" t="s">
        <v>1472</v>
      </c>
      <c r="W145" s="15" t="s">
        <v>1473</v>
      </c>
      <c r="X145" s="15" t="s">
        <v>120</v>
      </c>
      <c r="Y145" s="18"/>
      <c r="Z145" s="15" t="s">
        <v>120</v>
      </c>
      <c r="AA145" s="18"/>
      <c r="AB145" s="15" t="s">
        <v>120</v>
      </c>
      <c r="AC145" s="18"/>
      <c r="AD145" s="18"/>
      <c r="AE145" s="15" t="s">
        <v>120</v>
      </c>
      <c r="AF145" s="18"/>
      <c r="AG145" s="15" t="s">
        <v>120</v>
      </c>
      <c r="AH145" s="18"/>
      <c r="AI145" s="15" t="s">
        <v>120</v>
      </c>
      <c r="AJ145" s="18"/>
      <c r="AK145" s="18"/>
      <c r="AL145" s="15" t="s">
        <v>138</v>
      </c>
      <c r="AM145" s="15" t="s">
        <v>242</v>
      </c>
      <c r="AN145" s="15" t="s">
        <v>216</v>
      </c>
      <c r="AO145" s="15" t="s">
        <v>156</v>
      </c>
      <c r="AP145" s="15"/>
    </row>
    <row r="146" ht="22.5" customHeight="1">
      <c r="A146" s="15" t="s">
        <v>3307</v>
      </c>
      <c r="B146" s="15" t="s">
        <v>3043</v>
      </c>
      <c r="C146" s="15" t="s">
        <v>3308</v>
      </c>
      <c r="D146" s="41">
        <v>38254.0</v>
      </c>
      <c r="E146" s="15" t="s">
        <v>98</v>
      </c>
      <c r="F146" s="15">
        <v>5.635404775E9</v>
      </c>
      <c r="G146" s="15" t="s">
        <v>3048</v>
      </c>
      <c r="H146" s="15" t="s">
        <v>150</v>
      </c>
      <c r="I146" s="15" t="s">
        <v>135</v>
      </c>
      <c r="J146" s="15" t="s">
        <v>3309</v>
      </c>
      <c r="K146" s="15" t="s">
        <v>3310</v>
      </c>
      <c r="L146" s="20">
        <v>5.524139574E9</v>
      </c>
      <c r="M146" s="15" t="s">
        <v>3311</v>
      </c>
      <c r="N146" s="15" t="s">
        <v>3312</v>
      </c>
      <c r="O146" s="15">
        <v>5.514488616E9</v>
      </c>
      <c r="P146" s="20">
        <v>21.0</v>
      </c>
      <c r="Q146" s="22">
        <v>46039.62173611111</v>
      </c>
      <c r="R146" s="15" t="s">
        <v>107</v>
      </c>
      <c r="S146" s="15" t="s">
        <v>125</v>
      </c>
      <c r="T146" s="15" t="s">
        <v>127</v>
      </c>
      <c r="U146" s="15" t="s">
        <v>130</v>
      </c>
      <c r="V146" s="15" t="s">
        <v>131</v>
      </c>
      <c r="W146" s="15" t="s">
        <v>132</v>
      </c>
      <c r="X146" s="15" t="s">
        <v>120</v>
      </c>
      <c r="Y146" s="15" t="s">
        <v>135</v>
      </c>
      <c r="Z146" s="15" t="s">
        <v>120</v>
      </c>
      <c r="AA146" s="15" t="s">
        <v>135</v>
      </c>
      <c r="AB146" s="15" t="s">
        <v>120</v>
      </c>
      <c r="AC146" s="15" t="s">
        <v>120</v>
      </c>
      <c r="AD146" s="15" t="s">
        <v>135</v>
      </c>
      <c r="AE146" s="15" t="s">
        <v>120</v>
      </c>
      <c r="AF146" s="15" t="s">
        <v>135</v>
      </c>
      <c r="AG146" s="15" t="s">
        <v>120</v>
      </c>
      <c r="AH146" s="15" t="s">
        <v>135</v>
      </c>
      <c r="AI146" s="15" t="s">
        <v>120</v>
      </c>
      <c r="AJ146" s="15" t="s">
        <v>135</v>
      </c>
      <c r="AK146" s="15" t="s">
        <v>135</v>
      </c>
      <c r="AL146" s="15" t="s">
        <v>129</v>
      </c>
      <c r="AM146" s="15" t="s">
        <v>124</v>
      </c>
      <c r="AN146" s="15" t="s">
        <v>242</v>
      </c>
      <c r="AO146" s="15" t="s">
        <v>216</v>
      </c>
      <c r="AP146" s="15"/>
    </row>
    <row r="147" ht="22.5" customHeight="1">
      <c r="A147" s="15" t="s">
        <v>3335</v>
      </c>
      <c r="B147" s="15" t="s">
        <v>3339</v>
      </c>
      <c r="C147" s="15" t="s">
        <v>3340</v>
      </c>
      <c r="D147" s="41">
        <v>35593.0</v>
      </c>
      <c r="E147" s="15" t="s">
        <v>177</v>
      </c>
      <c r="F147" s="15">
        <v>3.333527793E9</v>
      </c>
      <c r="G147" s="15" t="s">
        <v>3341</v>
      </c>
      <c r="H147" s="15" t="s">
        <v>382</v>
      </c>
      <c r="I147" s="18"/>
      <c r="J147" s="15" t="s">
        <v>3342</v>
      </c>
      <c r="K147" s="15" t="s">
        <v>3344</v>
      </c>
      <c r="L147" s="20" t="s">
        <v>3346</v>
      </c>
      <c r="M147" s="18"/>
      <c r="N147" s="18"/>
      <c r="O147" s="18"/>
      <c r="P147" s="20">
        <v>28.0</v>
      </c>
      <c r="Q147" s="22">
        <v>46025.92083333333</v>
      </c>
      <c r="R147" s="15" t="s">
        <v>260</v>
      </c>
      <c r="S147" s="15" t="s">
        <v>125</v>
      </c>
      <c r="T147" s="15" t="s">
        <v>192</v>
      </c>
      <c r="U147" s="15" t="s">
        <v>505</v>
      </c>
      <c r="V147" s="15" t="s">
        <v>506</v>
      </c>
      <c r="W147" s="15" t="s">
        <v>507</v>
      </c>
      <c r="X147" s="15" t="s">
        <v>120</v>
      </c>
      <c r="Y147" s="18"/>
      <c r="Z147" s="15" t="s">
        <v>120</v>
      </c>
      <c r="AA147" s="18"/>
      <c r="AB147" s="15" t="s">
        <v>120</v>
      </c>
      <c r="AC147" s="15" t="s">
        <v>120</v>
      </c>
      <c r="AD147" s="18"/>
      <c r="AE147" s="15" t="s">
        <v>120</v>
      </c>
      <c r="AF147" s="18"/>
      <c r="AG147" s="15" t="s">
        <v>120</v>
      </c>
      <c r="AH147" s="18"/>
      <c r="AI147" s="15" t="s">
        <v>120</v>
      </c>
      <c r="AJ147" s="18"/>
      <c r="AK147" s="18"/>
      <c r="AL147" s="15" t="s">
        <v>156</v>
      </c>
      <c r="AM147" s="15" t="s">
        <v>129</v>
      </c>
      <c r="AN147" s="15" t="s">
        <v>240</v>
      </c>
      <c r="AO147" s="15" t="s">
        <v>138</v>
      </c>
      <c r="AP147" s="15"/>
    </row>
    <row r="148" ht="22.5" customHeight="1">
      <c r="A148" s="15" t="s">
        <v>2810</v>
      </c>
      <c r="B148" s="15" t="s">
        <v>3374</v>
      </c>
      <c r="C148" s="15" t="s">
        <v>3375</v>
      </c>
      <c r="D148" s="41">
        <v>36609.0</v>
      </c>
      <c r="E148" s="15" t="s">
        <v>177</v>
      </c>
      <c r="F148" s="15">
        <v>5.569692927E9</v>
      </c>
      <c r="G148" s="15" t="s">
        <v>3376</v>
      </c>
      <c r="H148" s="15" t="s">
        <v>150</v>
      </c>
      <c r="I148" s="18"/>
      <c r="J148" s="15" t="s">
        <v>3378</v>
      </c>
      <c r="K148" s="15" t="s">
        <v>3376</v>
      </c>
      <c r="L148" s="20">
        <v>5.569692927E9</v>
      </c>
      <c r="M148" s="18"/>
      <c r="N148" s="18"/>
      <c r="O148" s="18"/>
      <c r="P148" s="20">
        <v>25.0</v>
      </c>
      <c r="Q148" s="22">
        <v>45998.91142361111</v>
      </c>
      <c r="R148" s="15" t="s">
        <v>107</v>
      </c>
      <c r="S148" s="15" t="s">
        <v>125</v>
      </c>
      <c r="T148" s="15" t="s">
        <v>2309</v>
      </c>
      <c r="U148" s="15" t="s">
        <v>3391</v>
      </c>
      <c r="V148" s="15" t="s">
        <v>3392</v>
      </c>
      <c r="W148" s="15" t="s">
        <v>3393</v>
      </c>
      <c r="X148" s="15" t="s">
        <v>120</v>
      </c>
      <c r="Y148" s="15" t="s">
        <v>2397</v>
      </c>
      <c r="Z148" s="15" t="s">
        <v>120</v>
      </c>
      <c r="AA148" s="15" t="s">
        <v>2397</v>
      </c>
      <c r="AB148" s="15" t="s">
        <v>120</v>
      </c>
      <c r="AC148" s="15" t="s">
        <v>120</v>
      </c>
      <c r="AD148" s="15" t="s">
        <v>2397</v>
      </c>
      <c r="AE148" s="15" t="s">
        <v>120</v>
      </c>
      <c r="AF148" s="15" t="s">
        <v>2397</v>
      </c>
      <c r="AG148" s="15" t="s">
        <v>120</v>
      </c>
      <c r="AH148" s="15" t="s">
        <v>2397</v>
      </c>
      <c r="AI148" s="15" t="s">
        <v>120</v>
      </c>
      <c r="AJ148" s="15" t="s">
        <v>2397</v>
      </c>
      <c r="AK148" s="15" t="s">
        <v>2397</v>
      </c>
      <c r="AL148" s="15" t="s">
        <v>129</v>
      </c>
      <c r="AM148" s="15" t="s">
        <v>138</v>
      </c>
      <c r="AN148" s="15" t="s">
        <v>156</v>
      </c>
      <c r="AO148" s="15" t="s">
        <v>124</v>
      </c>
      <c r="AP148" s="15"/>
    </row>
    <row r="149" ht="22.5" customHeight="1">
      <c r="A149" s="15" t="s">
        <v>3410</v>
      </c>
      <c r="B149" s="15" t="s">
        <v>3411</v>
      </c>
      <c r="C149" s="15" t="s">
        <v>3412</v>
      </c>
      <c r="D149" s="41">
        <v>37186.0</v>
      </c>
      <c r="E149" s="15" t="s">
        <v>177</v>
      </c>
      <c r="F149" s="15">
        <v>5.560682873E9</v>
      </c>
      <c r="G149" s="15" t="s">
        <v>3413</v>
      </c>
      <c r="H149" s="15" t="s">
        <v>150</v>
      </c>
      <c r="I149" s="18"/>
      <c r="J149" s="15" t="s">
        <v>3414</v>
      </c>
      <c r="K149" s="15" t="s">
        <v>3415</v>
      </c>
      <c r="L149" s="20">
        <v>5.527791704E9</v>
      </c>
      <c r="M149" s="18"/>
      <c r="N149" s="18"/>
      <c r="O149" s="18"/>
      <c r="P149" s="20">
        <v>24.0</v>
      </c>
      <c r="Q149" s="22">
        <v>46039.59422453704</v>
      </c>
      <c r="R149" s="15" t="s">
        <v>107</v>
      </c>
      <c r="S149" s="15" t="s">
        <v>125</v>
      </c>
      <c r="T149" s="15" t="s">
        <v>208</v>
      </c>
      <c r="U149" s="15" t="s">
        <v>601</v>
      </c>
      <c r="V149" s="15" t="s">
        <v>602</v>
      </c>
      <c r="W149" s="15" t="s">
        <v>603</v>
      </c>
      <c r="X149" s="15" t="s">
        <v>120</v>
      </c>
      <c r="Y149" s="18"/>
      <c r="Z149" s="15" t="s">
        <v>120</v>
      </c>
      <c r="AA149" s="18"/>
      <c r="AB149" s="15" t="s">
        <v>120</v>
      </c>
      <c r="AC149" s="15" t="s">
        <v>120</v>
      </c>
      <c r="AD149" s="18"/>
      <c r="AE149" s="15" t="s">
        <v>120</v>
      </c>
      <c r="AF149" s="18"/>
      <c r="AG149" s="15" t="s">
        <v>120</v>
      </c>
      <c r="AH149" s="18"/>
      <c r="AI149" s="15" t="s">
        <v>120</v>
      </c>
      <c r="AJ149" s="18"/>
      <c r="AK149" s="18"/>
      <c r="AL149" s="15" t="s">
        <v>138</v>
      </c>
      <c r="AM149" s="15" t="s">
        <v>242</v>
      </c>
      <c r="AN149" s="15" t="s">
        <v>216</v>
      </c>
      <c r="AO149" s="15" t="s">
        <v>129</v>
      </c>
      <c r="AP149" s="15"/>
    </row>
    <row r="150" ht="22.5" customHeight="1">
      <c r="A150" s="147" t="s">
        <v>3437</v>
      </c>
      <c r="B150" s="147" t="s">
        <v>3438</v>
      </c>
      <c r="C150" s="147" t="s">
        <v>3437</v>
      </c>
      <c r="D150" s="148">
        <v>38659.0</v>
      </c>
      <c r="E150" s="147" t="s">
        <v>101</v>
      </c>
      <c r="F150" s="149">
        <v>5.568E9</v>
      </c>
      <c r="G150" s="150" t="s">
        <v>3442</v>
      </c>
      <c r="H150" s="147" t="s">
        <v>150</v>
      </c>
      <c r="I150" s="147" t="s">
        <v>2506</v>
      </c>
      <c r="J150" s="147" t="s">
        <v>3459</v>
      </c>
      <c r="K150" s="150" t="s">
        <v>3460</v>
      </c>
      <c r="L150" s="151">
        <v>5.554632295E9</v>
      </c>
      <c r="M150" s="147" t="s">
        <v>3461</v>
      </c>
      <c r="N150" s="150" t="s">
        <v>3462</v>
      </c>
      <c r="O150" s="151">
        <v>5.612971051E9</v>
      </c>
      <c r="P150" s="151">
        <v>16.0</v>
      </c>
      <c r="Q150" s="152">
        <v>40111.0</v>
      </c>
      <c r="R150" s="147" t="s">
        <v>3466</v>
      </c>
      <c r="S150" s="147" t="s">
        <v>3470</v>
      </c>
      <c r="T150" s="147" t="s">
        <v>3471</v>
      </c>
      <c r="U150" s="147" t="s">
        <v>3472</v>
      </c>
      <c r="V150" s="150" t="s">
        <v>3473</v>
      </c>
      <c r="W150" s="147" t="s">
        <v>3474</v>
      </c>
      <c r="X150" s="147" t="s">
        <v>120</v>
      </c>
      <c r="Y150" s="147" t="s">
        <v>3477</v>
      </c>
      <c r="Z150" s="147" t="s">
        <v>120</v>
      </c>
      <c r="AA150" s="147" t="s">
        <v>120</v>
      </c>
      <c r="AB150" s="147" t="s">
        <v>120</v>
      </c>
      <c r="AC150" s="147" t="s">
        <v>120</v>
      </c>
      <c r="AD150" s="147" t="s">
        <v>3480</v>
      </c>
      <c r="AE150" s="147" t="s">
        <v>120</v>
      </c>
      <c r="AF150" s="147" t="s">
        <v>120</v>
      </c>
      <c r="AG150" s="147" t="s">
        <v>808</v>
      </c>
      <c r="AH150" s="147" t="s">
        <v>3488</v>
      </c>
      <c r="AI150" s="147" t="s">
        <v>120</v>
      </c>
      <c r="AJ150" s="147" t="s">
        <v>120</v>
      </c>
      <c r="AK150" s="147" t="s">
        <v>120</v>
      </c>
      <c r="AL150" s="147" t="s">
        <v>3492</v>
      </c>
      <c r="AM150" s="147" t="s">
        <v>3494</v>
      </c>
      <c r="AN150" s="147" t="s">
        <v>3497</v>
      </c>
      <c r="AO150" s="147" t="s">
        <v>3498</v>
      </c>
      <c r="AP150" s="147" t="s">
        <v>3499</v>
      </c>
    </row>
    <row r="151" ht="22.5" customHeight="1">
      <c r="L151" s="153"/>
    </row>
    <row r="152" ht="22.5" customHeight="1">
      <c r="L152" s="153"/>
    </row>
    <row r="153" ht="22.5" customHeight="1">
      <c r="L153" s="153"/>
    </row>
    <row r="154" ht="22.5" customHeight="1">
      <c r="L154" s="153"/>
    </row>
    <row r="155" ht="22.5" customHeight="1">
      <c r="L155" s="153"/>
    </row>
    <row r="156" ht="22.5" customHeight="1">
      <c r="L156" s="153"/>
    </row>
    <row r="157" ht="22.5" customHeight="1">
      <c r="L157" s="153"/>
    </row>
    <row r="158" ht="22.5" customHeight="1">
      <c r="L158" s="153"/>
    </row>
    <row r="159" ht="22.5" customHeight="1">
      <c r="L159" s="153"/>
    </row>
    <row r="160" ht="22.5" customHeight="1">
      <c r="L160" s="153"/>
    </row>
    <row r="161" ht="22.5" customHeight="1">
      <c r="L161" s="153"/>
    </row>
    <row r="162" ht="22.5" customHeight="1">
      <c r="L162" s="153"/>
    </row>
    <row r="163" ht="22.5" customHeight="1">
      <c r="L163" s="153"/>
    </row>
    <row r="164" ht="22.5" customHeight="1">
      <c r="L164" s="153"/>
    </row>
    <row r="165" ht="22.5" customHeight="1">
      <c r="L165" s="153"/>
    </row>
    <row r="166" ht="22.5" customHeight="1">
      <c r="L166" s="153"/>
    </row>
    <row r="167" ht="22.5" customHeight="1">
      <c r="L167" s="153"/>
    </row>
    <row r="168" ht="22.5" customHeight="1">
      <c r="L168" s="153"/>
    </row>
    <row r="169" ht="22.5" customHeight="1">
      <c r="L169" s="153"/>
    </row>
    <row r="170" ht="22.5" customHeight="1">
      <c r="L170" s="153"/>
    </row>
    <row r="171" ht="22.5" customHeight="1">
      <c r="L171" s="153"/>
    </row>
    <row r="172" ht="22.5" customHeight="1">
      <c r="L172" s="153"/>
    </row>
    <row r="173" ht="22.5" customHeight="1">
      <c r="L173" s="153"/>
    </row>
    <row r="174" ht="22.5" customHeight="1">
      <c r="L174" s="153"/>
    </row>
    <row r="175" ht="22.5" customHeight="1">
      <c r="L175" s="153"/>
    </row>
    <row r="176" ht="22.5" customHeight="1">
      <c r="L176" s="153"/>
    </row>
    <row r="177" ht="22.5" customHeight="1">
      <c r="L177" s="153"/>
    </row>
    <row r="178" ht="22.5" customHeight="1">
      <c r="L178" s="153"/>
    </row>
    <row r="179" ht="22.5" customHeight="1">
      <c r="L179" s="153"/>
    </row>
    <row r="180" ht="22.5" customHeight="1">
      <c r="L180" s="153"/>
    </row>
    <row r="181" ht="22.5" customHeight="1">
      <c r="L181" s="153"/>
    </row>
    <row r="182" ht="22.5" customHeight="1">
      <c r="L182" s="153"/>
    </row>
    <row r="183" ht="22.5" customHeight="1">
      <c r="L183" s="153"/>
    </row>
    <row r="184" ht="22.5" customHeight="1">
      <c r="L184" s="153"/>
    </row>
    <row r="185" ht="22.5" customHeight="1">
      <c r="L185" s="153"/>
    </row>
    <row r="186" ht="22.5" customHeight="1">
      <c r="L186" s="153"/>
    </row>
    <row r="187" ht="22.5" customHeight="1">
      <c r="L187" s="153"/>
    </row>
    <row r="188" ht="22.5" customHeight="1">
      <c r="L188" s="153"/>
    </row>
    <row r="189" ht="22.5" customHeight="1">
      <c r="L189" s="153"/>
    </row>
    <row r="190" ht="22.5" customHeight="1">
      <c r="L190" s="153"/>
    </row>
    <row r="191" ht="22.5" customHeight="1">
      <c r="L191" s="153"/>
    </row>
    <row r="192" ht="22.5" customHeight="1">
      <c r="L192" s="153"/>
    </row>
    <row r="193" ht="22.5" customHeight="1">
      <c r="L193" s="153"/>
    </row>
    <row r="194" ht="22.5" customHeight="1">
      <c r="L194" s="153"/>
    </row>
    <row r="195" ht="22.5" customHeight="1">
      <c r="L195" s="153"/>
    </row>
    <row r="196" ht="22.5" customHeight="1">
      <c r="L196" s="153"/>
    </row>
    <row r="197" ht="22.5" customHeight="1">
      <c r="L197" s="153"/>
    </row>
    <row r="198" ht="22.5" customHeight="1">
      <c r="L198" s="153"/>
    </row>
    <row r="199" ht="22.5" customHeight="1">
      <c r="L199" s="153"/>
    </row>
    <row r="200" ht="22.5" customHeight="1">
      <c r="L200" s="153"/>
    </row>
    <row r="201" ht="22.5" customHeight="1">
      <c r="L201" s="153"/>
    </row>
    <row r="202" ht="22.5" customHeight="1">
      <c r="L202" s="153"/>
    </row>
    <row r="203" ht="22.5" customHeight="1">
      <c r="L203" s="153"/>
    </row>
    <row r="204" ht="22.5" customHeight="1">
      <c r="L204" s="153"/>
    </row>
    <row r="205" ht="22.5" customHeight="1">
      <c r="L205" s="153"/>
    </row>
    <row r="206" ht="22.5" customHeight="1">
      <c r="L206" s="153"/>
    </row>
    <row r="207" ht="22.5" customHeight="1">
      <c r="L207" s="153"/>
    </row>
    <row r="208" ht="22.5" customHeight="1">
      <c r="L208" s="153"/>
    </row>
    <row r="209" ht="22.5" customHeight="1">
      <c r="L209" s="153"/>
    </row>
    <row r="210" ht="22.5" customHeight="1">
      <c r="L210" s="153"/>
    </row>
    <row r="211" ht="22.5" customHeight="1">
      <c r="L211" s="153"/>
    </row>
    <row r="212" ht="22.5" customHeight="1">
      <c r="L212" s="153"/>
    </row>
    <row r="213" ht="22.5" customHeight="1">
      <c r="L213" s="153"/>
    </row>
    <row r="214" ht="22.5" customHeight="1">
      <c r="L214" s="153"/>
    </row>
    <row r="215" ht="22.5" customHeight="1">
      <c r="L215" s="153"/>
    </row>
    <row r="216" ht="22.5" customHeight="1">
      <c r="L216" s="153"/>
    </row>
    <row r="217" ht="22.5" customHeight="1">
      <c r="L217" s="153"/>
    </row>
    <row r="218" ht="22.5" customHeight="1">
      <c r="L218" s="153"/>
    </row>
    <row r="219" ht="22.5" customHeight="1">
      <c r="L219" s="153"/>
    </row>
    <row r="220" ht="22.5" customHeight="1">
      <c r="L220" s="153"/>
    </row>
    <row r="221" ht="22.5" customHeight="1">
      <c r="L221" s="153"/>
    </row>
    <row r="222" ht="22.5" customHeight="1">
      <c r="L222" s="153"/>
    </row>
    <row r="223" ht="22.5" customHeight="1">
      <c r="L223" s="153"/>
    </row>
    <row r="224" ht="22.5" customHeight="1">
      <c r="L224" s="153"/>
    </row>
    <row r="225" ht="22.5" customHeight="1">
      <c r="L225" s="153"/>
    </row>
    <row r="226" ht="22.5" customHeight="1">
      <c r="L226" s="153"/>
    </row>
    <row r="227" ht="22.5" customHeight="1">
      <c r="L227" s="153"/>
    </row>
    <row r="228" ht="22.5" customHeight="1">
      <c r="L228" s="153"/>
    </row>
    <row r="229" ht="22.5" customHeight="1">
      <c r="L229" s="153"/>
    </row>
    <row r="230" ht="22.5" customHeight="1">
      <c r="L230" s="153"/>
    </row>
    <row r="231" ht="22.5" customHeight="1">
      <c r="L231" s="153"/>
    </row>
    <row r="232" ht="22.5" customHeight="1">
      <c r="L232" s="153"/>
    </row>
    <row r="233" ht="22.5" customHeight="1">
      <c r="L233" s="153"/>
    </row>
    <row r="234" ht="22.5" customHeight="1">
      <c r="L234" s="153"/>
    </row>
    <row r="235" ht="22.5" customHeight="1">
      <c r="L235" s="153"/>
    </row>
    <row r="236" ht="22.5" customHeight="1">
      <c r="L236" s="153"/>
    </row>
    <row r="237" ht="22.5" customHeight="1">
      <c r="L237" s="153"/>
    </row>
    <row r="238" ht="22.5" customHeight="1">
      <c r="L238" s="153"/>
    </row>
    <row r="239" ht="22.5" customHeight="1">
      <c r="L239" s="153"/>
    </row>
    <row r="240" ht="22.5" customHeight="1">
      <c r="L240" s="153"/>
    </row>
    <row r="241" ht="22.5" customHeight="1">
      <c r="L241" s="153"/>
    </row>
    <row r="242" ht="22.5" customHeight="1">
      <c r="L242" s="153"/>
    </row>
    <row r="243" ht="22.5" customHeight="1">
      <c r="L243" s="153"/>
    </row>
    <row r="244" ht="22.5" customHeight="1">
      <c r="L244" s="153"/>
    </row>
    <row r="245" ht="22.5" customHeight="1">
      <c r="L245" s="153"/>
    </row>
    <row r="246" ht="22.5" customHeight="1">
      <c r="L246" s="153"/>
    </row>
    <row r="247" ht="22.5" customHeight="1">
      <c r="L247" s="153"/>
    </row>
    <row r="248" ht="22.5" customHeight="1">
      <c r="L248" s="153"/>
    </row>
    <row r="249" ht="22.5" customHeight="1">
      <c r="L249" s="153"/>
    </row>
    <row r="250" ht="22.5" customHeight="1">
      <c r="L250" s="153"/>
    </row>
    <row r="251" ht="22.5" customHeight="1">
      <c r="L251" s="153"/>
    </row>
    <row r="252" ht="22.5" customHeight="1">
      <c r="L252" s="153"/>
    </row>
    <row r="253" ht="22.5" customHeight="1">
      <c r="L253" s="153"/>
    </row>
    <row r="254" ht="22.5" customHeight="1">
      <c r="L254" s="153"/>
    </row>
    <row r="255" ht="22.5" customHeight="1">
      <c r="L255" s="153"/>
    </row>
    <row r="256" ht="22.5" customHeight="1">
      <c r="L256" s="153"/>
    </row>
    <row r="257" ht="22.5" customHeight="1">
      <c r="L257" s="153"/>
    </row>
    <row r="258" ht="22.5" customHeight="1">
      <c r="L258" s="153"/>
    </row>
    <row r="259" ht="22.5" customHeight="1">
      <c r="L259" s="153"/>
    </row>
    <row r="260" ht="22.5" customHeight="1">
      <c r="L260" s="153"/>
    </row>
    <row r="261" ht="22.5" customHeight="1">
      <c r="L261" s="153"/>
    </row>
    <row r="262" ht="22.5" customHeight="1">
      <c r="L262" s="153"/>
    </row>
    <row r="263" ht="22.5" customHeight="1">
      <c r="L263" s="153"/>
    </row>
    <row r="264" ht="22.5" customHeight="1">
      <c r="L264" s="153"/>
    </row>
    <row r="265" ht="22.5" customHeight="1">
      <c r="L265" s="153"/>
    </row>
    <row r="266" ht="22.5" customHeight="1">
      <c r="L266" s="153"/>
    </row>
    <row r="267" ht="22.5" customHeight="1">
      <c r="L267" s="153"/>
    </row>
    <row r="268" ht="22.5" customHeight="1">
      <c r="L268" s="153"/>
    </row>
    <row r="269" ht="22.5" customHeight="1">
      <c r="L269" s="153"/>
    </row>
    <row r="270" ht="22.5" customHeight="1">
      <c r="L270" s="153"/>
    </row>
    <row r="271" ht="22.5" customHeight="1">
      <c r="L271" s="153"/>
    </row>
    <row r="272" ht="22.5" customHeight="1">
      <c r="L272" s="153"/>
    </row>
    <row r="273" ht="22.5" customHeight="1">
      <c r="L273" s="153"/>
    </row>
    <row r="274" ht="22.5" customHeight="1">
      <c r="L274" s="153"/>
    </row>
    <row r="275" ht="22.5" customHeight="1">
      <c r="L275" s="153"/>
    </row>
    <row r="276" ht="22.5" customHeight="1">
      <c r="L276" s="153"/>
    </row>
    <row r="277" ht="22.5" customHeight="1">
      <c r="L277" s="153"/>
    </row>
    <row r="278" ht="22.5" customHeight="1">
      <c r="L278" s="153"/>
    </row>
    <row r="279" ht="22.5" customHeight="1">
      <c r="L279" s="153"/>
    </row>
    <row r="280" ht="22.5" customHeight="1">
      <c r="L280" s="153"/>
    </row>
    <row r="281" ht="22.5" customHeight="1">
      <c r="L281" s="153"/>
    </row>
    <row r="282" ht="22.5" customHeight="1">
      <c r="L282" s="153"/>
    </row>
    <row r="283" ht="22.5" customHeight="1">
      <c r="L283" s="153"/>
    </row>
    <row r="284" ht="22.5" customHeight="1">
      <c r="L284" s="153"/>
    </row>
    <row r="285" ht="22.5" customHeight="1">
      <c r="L285" s="153"/>
    </row>
    <row r="286" ht="22.5" customHeight="1">
      <c r="L286" s="153"/>
    </row>
    <row r="287" ht="22.5" customHeight="1">
      <c r="L287" s="153"/>
    </row>
    <row r="288" ht="22.5" customHeight="1">
      <c r="L288" s="153"/>
    </row>
    <row r="289" ht="22.5" customHeight="1">
      <c r="L289" s="153"/>
    </row>
    <row r="290" ht="22.5" customHeight="1">
      <c r="L290" s="153"/>
    </row>
    <row r="291" ht="22.5" customHeight="1">
      <c r="L291" s="153"/>
    </row>
    <row r="292" ht="22.5" customHeight="1">
      <c r="L292" s="153"/>
    </row>
    <row r="293" ht="22.5" customHeight="1">
      <c r="L293" s="153"/>
    </row>
    <row r="294" ht="22.5" customHeight="1">
      <c r="L294" s="153"/>
    </row>
    <row r="295" ht="22.5" customHeight="1">
      <c r="L295" s="153"/>
    </row>
    <row r="296" ht="22.5" customHeight="1">
      <c r="L296" s="153"/>
    </row>
    <row r="297" ht="22.5" customHeight="1">
      <c r="L297" s="153"/>
    </row>
    <row r="298" ht="22.5" customHeight="1">
      <c r="L298" s="153"/>
    </row>
    <row r="299" ht="22.5" customHeight="1">
      <c r="L299" s="153"/>
    </row>
    <row r="300" ht="22.5" customHeight="1">
      <c r="L300" s="153"/>
    </row>
    <row r="301" ht="22.5" customHeight="1">
      <c r="L301" s="153"/>
    </row>
    <row r="302" ht="22.5" customHeight="1">
      <c r="L302" s="153"/>
    </row>
    <row r="303" ht="22.5" customHeight="1">
      <c r="L303" s="153"/>
    </row>
    <row r="304" ht="22.5" customHeight="1">
      <c r="L304" s="153"/>
    </row>
    <row r="305" ht="22.5" customHeight="1">
      <c r="L305" s="153"/>
    </row>
    <row r="306" ht="22.5" customHeight="1">
      <c r="L306" s="153"/>
    </row>
    <row r="307" ht="22.5" customHeight="1">
      <c r="L307" s="153"/>
    </row>
    <row r="308" ht="22.5" customHeight="1">
      <c r="L308" s="153"/>
    </row>
    <row r="309" ht="22.5" customHeight="1">
      <c r="L309" s="153"/>
    </row>
    <row r="310" ht="22.5" customHeight="1">
      <c r="L310" s="153"/>
    </row>
    <row r="311" ht="22.5" customHeight="1">
      <c r="L311" s="153"/>
    </row>
    <row r="312" ht="22.5" customHeight="1">
      <c r="L312" s="153"/>
    </row>
    <row r="313" ht="22.5" customHeight="1">
      <c r="L313" s="153"/>
    </row>
    <row r="314" ht="22.5" customHeight="1">
      <c r="L314" s="153"/>
    </row>
    <row r="315" ht="22.5" customHeight="1">
      <c r="L315" s="153"/>
    </row>
    <row r="316" ht="22.5" customHeight="1">
      <c r="L316" s="153"/>
    </row>
    <row r="317" ht="22.5" customHeight="1">
      <c r="L317" s="153"/>
    </row>
    <row r="318" ht="22.5" customHeight="1">
      <c r="L318" s="153"/>
    </row>
    <row r="319" ht="22.5" customHeight="1">
      <c r="L319" s="153"/>
    </row>
    <row r="320" ht="22.5" customHeight="1">
      <c r="L320" s="153"/>
    </row>
    <row r="321" ht="22.5" customHeight="1">
      <c r="L321" s="153"/>
    </row>
    <row r="322" ht="22.5" customHeight="1">
      <c r="L322" s="153"/>
    </row>
    <row r="323" ht="22.5" customHeight="1">
      <c r="L323" s="153"/>
    </row>
    <row r="324" ht="22.5" customHeight="1">
      <c r="L324" s="153"/>
    </row>
    <row r="325" ht="22.5" customHeight="1">
      <c r="L325" s="153"/>
    </row>
    <row r="326" ht="22.5" customHeight="1">
      <c r="L326" s="153"/>
    </row>
    <row r="327" ht="22.5" customHeight="1">
      <c r="L327" s="153"/>
    </row>
    <row r="328" ht="22.5" customHeight="1">
      <c r="L328" s="153"/>
    </row>
    <row r="329" ht="22.5" customHeight="1">
      <c r="L329" s="153"/>
    </row>
    <row r="330" ht="22.5" customHeight="1">
      <c r="L330" s="153"/>
    </row>
    <row r="331" ht="22.5" customHeight="1">
      <c r="L331" s="153"/>
    </row>
    <row r="332" ht="22.5" customHeight="1">
      <c r="L332" s="153"/>
    </row>
    <row r="333" ht="22.5" customHeight="1">
      <c r="L333" s="153"/>
    </row>
    <row r="334" ht="22.5" customHeight="1">
      <c r="L334" s="153"/>
    </row>
    <row r="335" ht="22.5" customHeight="1">
      <c r="L335" s="153"/>
    </row>
    <row r="336" ht="22.5" customHeight="1">
      <c r="L336" s="153"/>
    </row>
    <row r="337" ht="22.5" customHeight="1">
      <c r="L337" s="153"/>
    </row>
    <row r="338" ht="22.5" customHeight="1">
      <c r="L338" s="153"/>
    </row>
    <row r="339" ht="22.5" customHeight="1">
      <c r="L339" s="153"/>
    </row>
    <row r="340" ht="22.5" customHeight="1">
      <c r="L340" s="153"/>
    </row>
    <row r="341" ht="22.5" customHeight="1">
      <c r="L341" s="153"/>
    </row>
    <row r="342" ht="22.5" customHeight="1">
      <c r="L342" s="153"/>
    </row>
    <row r="343" ht="22.5" customHeight="1">
      <c r="L343" s="153"/>
    </row>
    <row r="344" ht="22.5" customHeight="1">
      <c r="L344" s="153"/>
    </row>
    <row r="345" ht="22.5" customHeight="1">
      <c r="L345" s="153"/>
    </row>
    <row r="346" ht="22.5" customHeight="1">
      <c r="L346" s="153"/>
    </row>
    <row r="347" ht="22.5" customHeight="1">
      <c r="L347" s="153"/>
    </row>
    <row r="348" ht="22.5" customHeight="1">
      <c r="L348" s="153"/>
    </row>
    <row r="349" ht="22.5" customHeight="1">
      <c r="L349" s="153"/>
    </row>
    <row r="350" ht="22.5" customHeight="1">
      <c r="L350" s="153"/>
    </row>
    <row r="351" ht="22.5" customHeight="1">
      <c r="L351" s="153"/>
    </row>
    <row r="352" ht="22.5" customHeight="1">
      <c r="L352" s="153"/>
    </row>
    <row r="353" ht="22.5" customHeight="1">
      <c r="L353" s="153"/>
    </row>
    <row r="354" ht="22.5" customHeight="1">
      <c r="L354" s="153"/>
    </row>
    <row r="355" ht="22.5" customHeight="1">
      <c r="L355" s="153"/>
    </row>
    <row r="356" ht="22.5" customHeight="1">
      <c r="L356" s="153"/>
    </row>
    <row r="357" ht="22.5" customHeight="1">
      <c r="L357" s="153"/>
    </row>
    <row r="358" ht="22.5" customHeight="1">
      <c r="L358" s="153"/>
    </row>
    <row r="359" ht="22.5" customHeight="1">
      <c r="L359" s="153"/>
    </row>
    <row r="360" ht="22.5" customHeight="1">
      <c r="L360" s="153"/>
    </row>
    <row r="361" ht="22.5" customHeight="1">
      <c r="L361" s="153"/>
    </row>
    <row r="362" ht="22.5" customHeight="1">
      <c r="L362" s="153"/>
    </row>
    <row r="363" ht="22.5" customHeight="1">
      <c r="L363" s="153"/>
    </row>
    <row r="364" ht="22.5" customHeight="1">
      <c r="L364" s="153"/>
    </row>
    <row r="365" ht="22.5" customHeight="1">
      <c r="L365" s="153"/>
    </row>
    <row r="366" ht="22.5" customHeight="1">
      <c r="L366" s="153"/>
    </row>
    <row r="367" ht="22.5" customHeight="1">
      <c r="L367" s="153"/>
    </row>
    <row r="368" ht="22.5" customHeight="1">
      <c r="L368" s="153"/>
    </row>
    <row r="369" ht="22.5" customHeight="1">
      <c r="L369" s="153"/>
    </row>
    <row r="370" ht="22.5" customHeight="1">
      <c r="L370" s="153"/>
    </row>
    <row r="371" ht="22.5" customHeight="1">
      <c r="L371" s="153"/>
    </row>
    <row r="372" ht="22.5" customHeight="1">
      <c r="L372" s="153"/>
    </row>
    <row r="373" ht="22.5" customHeight="1">
      <c r="L373" s="153"/>
    </row>
    <row r="374" ht="22.5" customHeight="1">
      <c r="L374" s="153"/>
    </row>
    <row r="375" ht="22.5" customHeight="1">
      <c r="L375" s="153"/>
    </row>
    <row r="376" ht="22.5" customHeight="1">
      <c r="L376" s="153"/>
    </row>
    <row r="377" ht="22.5" customHeight="1">
      <c r="L377" s="153"/>
    </row>
    <row r="378" ht="22.5" customHeight="1">
      <c r="L378" s="153"/>
    </row>
    <row r="379" ht="22.5" customHeight="1">
      <c r="L379" s="153"/>
    </row>
    <row r="380" ht="22.5" customHeight="1">
      <c r="L380" s="153"/>
    </row>
    <row r="381" ht="22.5" customHeight="1">
      <c r="L381" s="153"/>
    </row>
    <row r="382" ht="22.5" customHeight="1">
      <c r="L382" s="153"/>
    </row>
    <row r="383" ht="22.5" customHeight="1">
      <c r="L383" s="153"/>
    </row>
    <row r="384" ht="22.5" customHeight="1">
      <c r="L384" s="153"/>
    </row>
    <row r="385" ht="22.5" customHeight="1">
      <c r="L385" s="153"/>
    </row>
    <row r="386" ht="22.5" customHeight="1">
      <c r="L386" s="153"/>
    </row>
    <row r="387" ht="22.5" customHeight="1">
      <c r="L387" s="153"/>
    </row>
    <row r="388" ht="22.5" customHeight="1">
      <c r="L388" s="153"/>
    </row>
    <row r="389" ht="22.5" customHeight="1">
      <c r="L389" s="153"/>
    </row>
    <row r="390" ht="22.5" customHeight="1">
      <c r="L390" s="153"/>
    </row>
    <row r="391" ht="22.5" customHeight="1">
      <c r="L391" s="153"/>
    </row>
    <row r="392" ht="22.5" customHeight="1">
      <c r="L392" s="153"/>
    </row>
    <row r="393" ht="22.5" customHeight="1">
      <c r="L393" s="153"/>
    </row>
    <row r="394" ht="22.5" customHeight="1">
      <c r="L394" s="153"/>
    </row>
    <row r="395" ht="22.5" customHeight="1">
      <c r="L395" s="153"/>
    </row>
    <row r="396" ht="22.5" customHeight="1">
      <c r="L396" s="153"/>
    </row>
    <row r="397" ht="22.5" customHeight="1">
      <c r="L397" s="153"/>
    </row>
    <row r="398" ht="22.5" customHeight="1">
      <c r="L398" s="153"/>
    </row>
    <row r="399" ht="22.5" customHeight="1">
      <c r="L399" s="153"/>
    </row>
    <row r="400" ht="22.5" customHeight="1">
      <c r="L400" s="153"/>
    </row>
    <row r="401" ht="22.5" customHeight="1">
      <c r="L401" s="153"/>
    </row>
    <row r="402" ht="22.5" customHeight="1">
      <c r="L402" s="153"/>
    </row>
    <row r="403" ht="22.5" customHeight="1">
      <c r="L403" s="153"/>
    </row>
    <row r="404" ht="22.5" customHeight="1">
      <c r="L404" s="153"/>
    </row>
    <row r="405" ht="22.5" customHeight="1">
      <c r="L405" s="153"/>
    </row>
    <row r="406" ht="22.5" customHeight="1">
      <c r="L406" s="153"/>
    </row>
    <row r="407" ht="22.5" customHeight="1">
      <c r="L407" s="153"/>
    </row>
    <row r="408" ht="22.5" customHeight="1">
      <c r="L408" s="153"/>
    </row>
    <row r="409" ht="22.5" customHeight="1">
      <c r="L409" s="153"/>
    </row>
    <row r="410" ht="22.5" customHeight="1">
      <c r="L410" s="153"/>
    </row>
    <row r="411" ht="22.5" customHeight="1">
      <c r="L411" s="153"/>
    </row>
    <row r="412" ht="22.5" customHeight="1">
      <c r="L412" s="153"/>
    </row>
    <row r="413" ht="22.5" customHeight="1">
      <c r="L413" s="153"/>
    </row>
    <row r="414" ht="22.5" customHeight="1">
      <c r="L414" s="153"/>
    </row>
    <row r="415" ht="22.5" customHeight="1">
      <c r="L415" s="153"/>
    </row>
    <row r="416" ht="22.5" customHeight="1">
      <c r="L416" s="153"/>
    </row>
    <row r="417" ht="22.5" customHeight="1">
      <c r="L417" s="153"/>
    </row>
    <row r="418" ht="22.5" customHeight="1">
      <c r="L418" s="153"/>
    </row>
    <row r="419" ht="22.5" customHeight="1">
      <c r="L419" s="153"/>
    </row>
    <row r="420" ht="22.5" customHeight="1">
      <c r="L420" s="153"/>
    </row>
    <row r="421" ht="22.5" customHeight="1">
      <c r="L421" s="153"/>
    </row>
    <row r="422" ht="22.5" customHeight="1">
      <c r="L422" s="153"/>
    </row>
    <row r="423" ht="22.5" customHeight="1">
      <c r="L423" s="153"/>
    </row>
    <row r="424" ht="22.5" customHeight="1">
      <c r="L424" s="153"/>
    </row>
    <row r="425" ht="22.5" customHeight="1">
      <c r="L425" s="153"/>
    </row>
    <row r="426" ht="22.5" customHeight="1">
      <c r="L426" s="153"/>
    </row>
    <row r="427" ht="22.5" customHeight="1">
      <c r="L427" s="153"/>
    </row>
    <row r="428" ht="22.5" customHeight="1">
      <c r="L428" s="153"/>
    </row>
    <row r="429" ht="22.5" customHeight="1">
      <c r="L429" s="153"/>
    </row>
    <row r="430" ht="22.5" customHeight="1">
      <c r="L430" s="153"/>
    </row>
    <row r="431" ht="22.5" customHeight="1">
      <c r="L431" s="153"/>
    </row>
    <row r="432" ht="22.5" customHeight="1">
      <c r="L432" s="153"/>
    </row>
    <row r="433" ht="22.5" customHeight="1">
      <c r="L433" s="153"/>
    </row>
    <row r="434" ht="22.5" customHeight="1">
      <c r="L434" s="153"/>
    </row>
    <row r="435" ht="22.5" customHeight="1">
      <c r="L435" s="153"/>
    </row>
    <row r="436" ht="22.5" customHeight="1">
      <c r="L436" s="153"/>
    </row>
    <row r="437" ht="22.5" customHeight="1">
      <c r="L437" s="153"/>
    </row>
    <row r="438" ht="22.5" customHeight="1">
      <c r="L438" s="153"/>
    </row>
    <row r="439" ht="22.5" customHeight="1">
      <c r="L439" s="153"/>
    </row>
    <row r="440" ht="22.5" customHeight="1">
      <c r="L440" s="153"/>
    </row>
    <row r="441" ht="22.5" customHeight="1">
      <c r="L441" s="153"/>
    </row>
    <row r="442" ht="22.5" customHeight="1">
      <c r="L442" s="153"/>
    </row>
    <row r="443" ht="22.5" customHeight="1">
      <c r="L443" s="153"/>
    </row>
    <row r="444" ht="22.5" customHeight="1">
      <c r="L444" s="153"/>
    </row>
    <row r="445" ht="22.5" customHeight="1">
      <c r="L445" s="153"/>
    </row>
    <row r="446" ht="22.5" customHeight="1">
      <c r="L446" s="153"/>
    </row>
    <row r="447" ht="22.5" customHeight="1">
      <c r="L447" s="153"/>
    </row>
    <row r="448" ht="22.5" customHeight="1">
      <c r="L448" s="153"/>
    </row>
    <row r="449" ht="22.5" customHeight="1">
      <c r="L449" s="153"/>
    </row>
    <row r="450" ht="22.5" customHeight="1">
      <c r="L450" s="153"/>
    </row>
    <row r="451" ht="22.5" customHeight="1">
      <c r="L451" s="153"/>
    </row>
    <row r="452" ht="22.5" customHeight="1">
      <c r="L452" s="153"/>
    </row>
    <row r="453" ht="22.5" customHeight="1">
      <c r="L453" s="153"/>
    </row>
    <row r="454" ht="22.5" customHeight="1">
      <c r="L454" s="153"/>
    </row>
    <row r="455" ht="22.5" customHeight="1">
      <c r="L455" s="153"/>
    </row>
    <row r="456" ht="22.5" customHeight="1">
      <c r="L456" s="153"/>
    </row>
    <row r="457" ht="22.5" customHeight="1">
      <c r="L457" s="153"/>
    </row>
    <row r="458" ht="22.5" customHeight="1">
      <c r="L458" s="153"/>
    </row>
    <row r="459" ht="22.5" customHeight="1">
      <c r="L459" s="153"/>
    </row>
    <row r="460" ht="22.5" customHeight="1">
      <c r="L460" s="153"/>
    </row>
    <row r="461" ht="22.5" customHeight="1">
      <c r="L461" s="153"/>
    </row>
    <row r="462" ht="22.5" customHeight="1">
      <c r="L462" s="153"/>
    </row>
    <row r="463" ht="22.5" customHeight="1">
      <c r="L463" s="153"/>
    </row>
    <row r="464" ht="22.5" customHeight="1">
      <c r="L464" s="153"/>
    </row>
    <row r="465" ht="22.5" customHeight="1">
      <c r="L465" s="153"/>
    </row>
    <row r="466" ht="22.5" customHeight="1">
      <c r="L466" s="153"/>
    </row>
    <row r="467" ht="22.5" customHeight="1">
      <c r="L467" s="153"/>
    </row>
    <row r="468" ht="22.5" customHeight="1">
      <c r="L468" s="153"/>
    </row>
    <row r="469" ht="22.5" customHeight="1">
      <c r="L469" s="153"/>
    </row>
    <row r="470" ht="22.5" customHeight="1">
      <c r="L470" s="153"/>
    </row>
    <row r="471" ht="22.5" customHeight="1">
      <c r="L471" s="153"/>
    </row>
    <row r="472" ht="22.5" customHeight="1">
      <c r="L472" s="153"/>
    </row>
    <row r="473" ht="22.5" customHeight="1">
      <c r="L473" s="153"/>
    </row>
    <row r="474" ht="22.5" customHeight="1">
      <c r="L474" s="153"/>
    </row>
    <row r="475" ht="22.5" customHeight="1">
      <c r="L475" s="153"/>
    </row>
    <row r="476" ht="22.5" customHeight="1">
      <c r="L476" s="153"/>
    </row>
    <row r="477" ht="22.5" customHeight="1">
      <c r="L477" s="153"/>
    </row>
    <row r="478" ht="22.5" customHeight="1">
      <c r="L478" s="153"/>
    </row>
    <row r="479" ht="22.5" customHeight="1">
      <c r="L479" s="153"/>
    </row>
    <row r="480" ht="22.5" customHeight="1">
      <c r="L480" s="153"/>
    </row>
    <row r="481" ht="22.5" customHeight="1">
      <c r="L481" s="153"/>
    </row>
    <row r="482" ht="22.5" customHeight="1">
      <c r="L482" s="153"/>
    </row>
    <row r="483" ht="22.5" customHeight="1">
      <c r="L483" s="153"/>
    </row>
    <row r="484" ht="22.5" customHeight="1">
      <c r="L484" s="153"/>
    </row>
    <row r="485" ht="22.5" customHeight="1">
      <c r="L485" s="153"/>
    </row>
    <row r="486" ht="22.5" customHeight="1">
      <c r="L486" s="153"/>
    </row>
    <row r="487" ht="22.5" customHeight="1">
      <c r="L487" s="153"/>
    </row>
    <row r="488" ht="22.5" customHeight="1">
      <c r="L488" s="153"/>
    </row>
    <row r="489" ht="22.5" customHeight="1">
      <c r="L489" s="153"/>
    </row>
    <row r="490" ht="22.5" customHeight="1">
      <c r="L490" s="153"/>
    </row>
    <row r="491" ht="22.5" customHeight="1">
      <c r="L491" s="153"/>
    </row>
    <row r="492" ht="22.5" customHeight="1">
      <c r="L492" s="153"/>
    </row>
    <row r="493" ht="22.5" customHeight="1">
      <c r="L493" s="153"/>
    </row>
    <row r="494" ht="22.5" customHeight="1">
      <c r="L494" s="153"/>
    </row>
    <row r="495" ht="22.5" customHeight="1">
      <c r="L495" s="153"/>
    </row>
    <row r="496" ht="22.5" customHeight="1">
      <c r="L496" s="153"/>
    </row>
    <row r="497" ht="22.5" customHeight="1">
      <c r="L497" s="153"/>
    </row>
    <row r="498" ht="22.5" customHeight="1">
      <c r="L498" s="153"/>
    </row>
    <row r="499" ht="22.5" customHeight="1">
      <c r="L499" s="153"/>
    </row>
    <row r="500" ht="22.5" customHeight="1">
      <c r="L500" s="153"/>
    </row>
    <row r="501" ht="22.5" customHeight="1">
      <c r="L501" s="153"/>
    </row>
    <row r="502" ht="22.5" customHeight="1">
      <c r="L502" s="153"/>
    </row>
    <row r="503" ht="22.5" customHeight="1">
      <c r="L503" s="153"/>
    </row>
    <row r="504" ht="22.5" customHeight="1">
      <c r="L504" s="153"/>
    </row>
    <row r="505" ht="22.5" customHeight="1">
      <c r="L505" s="153"/>
    </row>
    <row r="506" ht="22.5" customHeight="1">
      <c r="L506" s="153"/>
    </row>
    <row r="507" ht="22.5" customHeight="1">
      <c r="L507" s="153"/>
    </row>
    <row r="508" ht="22.5" customHeight="1">
      <c r="L508" s="153"/>
    </row>
    <row r="509" ht="22.5" customHeight="1">
      <c r="L509" s="153"/>
    </row>
    <row r="510" ht="22.5" customHeight="1">
      <c r="L510" s="153"/>
    </row>
    <row r="511" ht="22.5" customHeight="1">
      <c r="L511" s="153"/>
    </row>
    <row r="512" ht="22.5" customHeight="1">
      <c r="L512" s="153"/>
    </row>
    <row r="513" ht="22.5" customHeight="1">
      <c r="L513" s="153"/>
    </row>
    <row r="514" ht="22.5" customHeight="1">
      <c r="L514" s="153"/>
    </row>
    <row r="515" ht="22.5" customHeight="1">
      <c r="L515" s="153"/>
    </row>
    <row r="516" ht="22.5" customHeight="1">
      <c r="L516" s="153"/>
    </row>
    <row r="517" ht="22.5" customHeight="1">
      <c r="L517" s="153"/>
    </row>
    <row r="518" ht="22.5" customHeight="1">
      <c r="L518" s="153"/>
    </row>
    <row r="519" ht="22.5" customHeight="1">
      <c r="L519" s="153"/>
    </row>
    <row r="520" ht="22.5" customHeight="1">
      <c r="L520" s="153"/>
    </row>
    <row r="521" ht="22.5" customHeight="1">
      <c r="L521" s="153"/>
    </row>
    <row r="522" ht="22.5" customHeight="1">
      <c r="L522" s="153"/>
    </row>
    <row r="523" ht="22.5" customHeight="1">
      <c r="L523" s="153"/>
    </row>
    <row r="524" ht="22.5" customHeight="1">
      <c r="L524" s="153"/>
    </row>
    <row r="525" ht="22.5" customHeight="1">
      <c r="L525" s="153"/>
    </row>
    <row r="526" ht="22.5" customHeight="1">
      <c r="L526" s="153"/>
    </row>
    <row r="527" ht="22.5" customHeight="1">
      <c r="L527" s="153"/>
    </row>
    <row r="528" ht="22.5" customHeight="1">
      <c r="L528" s="153"/>
    </row>
    <row r="529" ht="22.5" customHeight="1">
      <c r="L529" s="153"/>
    </row>
    <row r="530" ht="22.5" customHeight="1">
      <c r="L530" s="153"/>
    </row>
    <row r="531" ht="22.5" customHeight="1">
      <c r="L531" s="153"/>
    </row>
    <row r="532" ht="22.5" customHeight="1">
      <c r="L532" s="153"/>
    </row>
    <row r="533" ht="22.5" customHeight="1">
      <c r="L533" s="153"/>
    </row>
    <row r="534" ht="22.5" customHeight="1">
      <c r="L534" s="153"/>
    </row>
    <row r="535" ht="22.5" customHeight="1">
      <c r="L535" s="153"/>
    </row>
    <row r="536" ht="22.5" customHeight="1">
      <c r="L536" s="153"/>
    </row>
    <row r="537" ht="22.5" customHeight="1">
      <c r="L537" s="153"/>
    </row>
    <row r="538" ht="22.5" customHeight="1">
      <c r="L538" s="153"/>
    </row>
    <row r="539" ht="22.5" customHeight="1">
      <c r="L539" s="153"/>
    </row>
    <row r="540" ht="22.5" customHeight="1">
      <c r="L540" s="153"/>
    </row>
    <row r="541" ht="22.5" customHeight="1">
      <c r="L541" s="153"/>
    </row>
    <row r="542" ht="22.5" customHeight="1">
      <c r="L542" s="153"/>
    </row>
    <row r="543" ht="22.5" customHeight="1">
      <c r="L543" s="153"/>
    </row>
    <row r="544" ht="22.5" customHeight="1">
      <c r="L544" s="153"/>
    </row>
    <row r="545" ht="22.5" customHeight="1">
      <c r="L545" s="153"/>
    </row>
    <row r="546" ht="22.5" customHeight="1">
      <c r="L546" s="153"/>
    </row>
    <row r="547" ht="22.5" customHeight="1">
      <c r="L547" s="153"/>
    </row>
    <row r="548" ht="22.5" customHeight="1">
      <c r="L548" s="153"/>
    </row>
    <row r="549" ht="22.5" customHeight="1">
      <c r="L549" s="153"/>
    </row>
    <row r="550" ht="22.5" customHeight="1">
      <c r="L550" s="153"/>
    </row>
    <row r="551" ht="22.5" customHeight="1">
      <c r="L551" s="153"/>
    </row>
    <row r="552" ht="22.5" customHeight="1">
      <c r="L552" s="153"/>
    </row>
    <row r="553" ht="22.5" customHeight="1">
      <c r="L553" s="153"/>
    </row>
    <row r="554" ht="22.5" customHeight="1">
      <c r="L554" s="153"/>
    </row>
    <row r="555" ht="22.5" customHeight="1">
      <c r="L555" s="153"/>
    </row>
    <row r="556" ht="22.5" customHeight="1">
      <c r="L556" s="153"/>
    </row>
    <row r="557" ht="22.5" customHeight="1">
      <c r="L557" s="153"/>
    </row>
    <row r="558" ht="22.5" customHeight="1">
      <c r="L558" s="153"/>
    </row>
    <row r="559" ht="22.5" customHeight="1">
      <c r="L559" s="153"/>
    </row>
    <row r="560" ht="22.5" customHeight="1">
      <c r="L560" s="153"/>
    </row>
    <row r="561" ht="22.5" customHeight="1">
      <c r="L561" s="153"/>
    </row>
    <row r="562" ht="22.5" customHeight="1">
      <c r="L562" s="153"/>
    </row>
    <row r="563" ht="22.5" customHeight="1">
      <c r="L563" s="153"/>
    </row>
    <row r="564" ht="22.5" customHeight="1">
      <c r="L564" s="153"/>
    </row>
    <row r="565" ht="22.5" customHeight="1">
      <c r="L565" s="153"/>
    </row>
    <row r="566" ht="22.5" customHeight="1">
      <c r="L566" s="153"/>
    </row>
    <row r="567" ht="22.5" customHeight="1">
      <c r="L567" s="153"/>
    </row>
    <row r="568" ht="22.5" customHeight="1">
      <c r="L568" s="153"/>
    </row>
    <row r="569" ht="22.5" customHeight="1">
      <c r="L569" s="153"/>
    </row>
    <row r="570" ht="22.5" customHeight="1">
      <c r="L570" s="153"/>
    </row>
    <row r="571" ht="22.5" customHeight="1">
      <c r="L571" s="153"/>
    </row>
    <row r="572" ht="22.5" customHeight="1">
      <c r="L572" s="153"/>
    </row>
    <row r="573" ht="22.5" customHeight="1">
      <c r="L573" s="153"/>
    </row>
    <row r="574" ht="22.5" customHeight="1">
      <c r="L574" s="153"/>
    </row>
    <row r="575" ht="22.5" customHeight="1">
      <c r="L575" s="153"/>
    </row>
    <row r="576" ht="22.5" customHeight="1">
      <c r="L576" s="153"/>
    </row>
    <row r="577" ht="22.5" customHeight="1">
      <c r="L577" s="153"/>
    </row>
    <row r="578" ht="22.5" customHeight="1">
      <c r="L578" s="153"/>
    </row>
    <row r="579" ht="22.5" customHeight="1">
      <c r="L579" s="153"/>
    </row>
    <row r="580" ht="22.5" customHeight="1">
      <c r="L580" s="153"/>
    </row>
    <row r="581" ht="22.5" customHeight="1">
      <c r="L581" s="153"/>
    </row>
    <row r="582" ht="22.5" customHeight="1">
      <c r="L582" s="153"/>
    </row>
    <row r="583" ht="22.5" customHeight="1">
      <c r="L583" s="153"/>
    </row>
    <row r="584" ht="22.5" customHeight="1">
      <c r="L584" s="153"/>
    </row>
    <row r="585" ht="22.5" customHeight="1">
      <c r="L585" s="153"/>
    </row>
    <row r="586" ht="22.5" customHeight="1">
      <c r="L586" s="153"/>
    </row>
    <row r="587" ht="22.5" customHeight="1">
      <c r="L587" s="153"/>
    </row>
    <row r="588" ht="22.5" customHeight="1">
      <c r="L588" s="153"/>
    </row>
    <row r="589" ht="22.5" customHeight="1">
      <c r="L589" s="153"/>
    </row>
    <row r="590" ht="22.5" customHeight="1">
      <c r="L590" s="153"/>
    </row>
    <row r="591" ht="22.5" customHeight="1">
      <c r="L591" s="153"/>
    </row>
    <row r="592" ht="22.5" customHeight="1">
      <c r="L592" s="153"/>
    </row>
    <row r="593" ht="22.5" customHeight="1">
      <c r="L593" s="153"/>
    </row>
    <row r="594" ht="22.5" customHeight="1">
      <c r="L594" s="153"/>
    </row>
    <row r="595" ht="22.5" customHeight="1">
      <c r="L595" s="153"/>
    </row>
    <row r="596" ht="22.5" customHeight="1">
      <c r="L596" s="153"/>
    </row>
    <row r="597" ht="22.5" customHeight="1">
      <c r="L597" s="153"/>
    </row>
    <row r="598" ht="22.5" customHeight="1">
      <c r="L598" s="153"/>
    </row>
    <row r="599" ht="22.5" customHeight="1">
      <c r="L599" s="153"/>
    </row>
    <row r="600" ht="22.5" customHeight="1">
      <c r="L600" s="153"/>
    </row>
    <row r="601" ht="22.5" customHeight="1">
      <c r="L601" s="153"/>
    </row>
    <row r="602" ht="22.5" customHeight="1">
      <c r="L602" s="153"/>
    </row>
    <row r="603" ht="22.5" customHeight="1">
      <c r="L603" s="153"/>
    </row>
    <row r="604" ht="22.5" customHeight="1">
      <c r="L604" s="153"/>
    </row>
    <row r="605" ht="22.5" customHeight="1">
      <c r="L605" s="153"/>
    </row>
    <row r="606" ht="22.5" customHeight="1">
      <c r="L606" s="153"/>
    </row>
    <row r="607" ht="22.5" customHeight="1">
      <c r="L607" s="153"/>
    </row>
    <row r="608" ht="22.5" customHeight="1">
      <c r="L608" s="153"/>
    </row>
    <row r="609" ht="22.5" customHeight="1">
      <c r="L609" s="153"/>
    </row>
    <row r="610" ht="22.5" customHeight="1">
      <c r="L610" s="153"/>
    </row>
    <row r="611" ht="22.5" customHeight="1">
      <c r="L611" s="153"/>
    </row>
    <row r="612" ht="22.5" customHeight="1">
      <c r="L612" s="153"/>
    </row>
    <row r="613" ht="22.5" customHeight="1">
      <c r="L613" s="153"/>
    </row>
    <row r="614" ht="22.5" customHeight="1">
      <c r="L614" s="153"/>
    </row>
    <row r="615" ht="22.5" customHeight="1">
      <c r="L615" s="153"/>
    </row>
    <row r="616" ht="22.5" customHeight="1">
      <c r="L616" s="153"/>
    </row>
    <row r="617" ht="22.5" customHeight="1">
      <c r="L617" s="153"/>
    </row>
    <row r="618" ht="22.5" customHeight="1">
      <c r="L618" s="153"/>
    </row>
    <row r="619" ht="22.5" customHeight="1">
      <c r="L619" s="153"/>
    </row>
    <row r="620" ht="22.5" customHeight="1">
      <c r="L620" s="153"/>
    </row>
    <row r="621" ht="22.5" customHeight="1">
      <c r="L621" s="153"/>
    </row>
    <row r="622" ht="22.5" customHeight="1">
      <c r="L622" s="153"/>
    </row>
    <row r="623" ht="22.5" customHeight="1">
      <c r="L623" s="153"/>
    </row>
    <row r="624" ht="22.5" customHeight="1">
      <c r="L624" s="153"/>
    </row>
    <row r="625" ht="22.5" customHeight="1">
      <c r="L625" s="153"/>
    </row>
    <row r="626" ht="22.5" customHeight="1">
      <c r="L626" s="153"/>
    </row>
    <row r="627" ht="22.5" customHeight="1">
      <c r="L627" s="153"/>
    </row>
    <row r="628" ht="22.5" customHeight="1">
      <c r="L628" s="153"/>
    </row>
    <row r="629" ht="22.5" customHeight="1">
      <c r="L629" s="153"/>
    </row>
    <row r="630" ht="22.5" customHeight="1">
      <c r="L630" s="153"/>
    </row>
    <row r="631" ht="22.5" customHeight="1">
      <c r="L631" s="153"/>
    </row>
    <row r="632" ht="22.5" customHeight="1">
      <c r="L632" s="153"/>
    </row>
    <row r="633" ht="22.5" customHeight="1">
      <c r="L633" s="153"/>
    </row>
    <row r="634" ht="22.5" customHeight="1">
      <c r="L634" s="153"/>
    </row>
    <row r="635" ht="22.5" customHeight="1">
      <c r="L635" s="153"/>
    </row>
    <row r="636" ht="22.5" customHeight="1">
      <c r="L636" s="153"/>
    </row>
    <row r="637" ht="22.5" customHeight="1">
      <c r="L637" s="153"/>
    </row>
    <row r="638" ht="22.5" customHeight="1">
      <c r="L638" s="153"/>
    </row>
    <row r="639" ht="22.5" customHeight="1">
      <c r="L639" s="153"/>
    </row>
    <row r="640" ht="22.5" customHeight="1">
      <c r="L640" s="153"/>
    </row>
    <row r="641" ht="22.5" customHeight="1">
      <c r="L641" s="153"/>
    </row>
    <row r="642" ht="22.5" customHeight="1">
      <c r="L642" s="153"/>
    </row>
    <row r="643" ht="22.5" customHeight="1">
      <c r="L643" s="153"/>
    </row>
    <row r="644" ht="22.5" customHeight="1">
      <c r="L644" s="153"/>
    </row>
    <row r="645" ht="22.5" customHeight="1">
      <c r="L645" s="153"/>
    </row>
    <row r="646" ht="22.5" customHeight="1">
      <c r="L646" s="153"/>
    </row>
    <row r="647" ht="22.5" customHeight="1">
      <c r="L647" s="153"/>
    </row>
    <row r="648" ht="22.5" customHeight="1">
      <c r="L648" s="153"/>
    </row>
    <row r="649" ht="22.5" customHeight="1">
      <c r="L649" s="153"/>
    </row>
    <row r="650" ht="22.5" customHeight="1">
      <c r="L650" s="153"/>
    </row>
    <row r="651" ht="22.5" customHeight="1">
      <c r="L651" s="153"/>
    </row>
    <row r="652" ht="22.5" customHeight="1">
      <c r="L652" s="153"/>
    </row>
    <row r="653" ht="22.5" customHeight="1">
      <c r="L653" s="153"/>
    </row>
    <row r="654" ht="22.5" customHeight="1">
      <c r="L654" s="153"/>
    </row>
    <row r="655" ht="22.5" customHeight="1">
      <c r="L655" s="153"/>
    </row>
    <row r="656" ht="22.5" customHeight="1">
      <c r="L656" s="153"/>
    </row>
    <row r="657" ht="22.5" customHeight="1">
      <c r="L657" s="153"/>
    </row>
    <row r="658" ht="22.5" customHeight="1">
      <c r="L658" s="153"/>
    </row>
    <row r="659" ht="22.5" customHeight="1">
      <c r="L659" s="153"/>
    </row>
    <row r="660" ht="22.5" customHeight="1">
      <c r="L660" s="153"/>
    </row>
    <row r="661" ht="22.5" customHeight="1">
      <c r="L661" s="153"/>
    </row>
    <row r="662" ht="22.5" customHeight="1">
      <c r="L662" s="153"/>
    </row>
    <row r="663" ht="22.5" customHeight="1">
      <c r="L663" s="153"/>
    </row>
    <row r="664" ht="22.5" customHeight="1">
      <c r="L664" s="153"/>
    </row>
    <row r="665" ht="22.5" customHeight="1">
      <c r="L665" s="153"/>
    </row>
    <row r="666" ht="22.5" customHeight="1">
      <c r="L666" s="153"/>
    </row>
    <row r="667" ht="22.5" customHeight="1">
      <c r="L667" s="153"/>
    </row>
    <row r="668" ht="22.5" customHeight="1">
      <c r="L668" s="153"/>
    </row>
    <row r="669" ht="22.5" customHeight="1">
      <c r="L669" s="153"/>
    </row>
    <row r="670" ht="22.5" customHeight="1">
      <c r="L670" s="153"/>
    </row>
    <row r="671" ht="22.5" customHeight="1">
      <c r="L671" s="153"/>
    </row>
    <row r="672" ht="22.5" customHeight="1">
      <c r="L672" s="153"/>
    </row>
    <row r="673" ht="22.5" customHeight="1">
      <c r="L673" s="153"/>
    </row>
    <row r="674" ht="22.5" customHeight="1">
      <c r="L674" s="153"/>
    </row>
    <row r="675" ht="22.5" customHeight="1">
      <c r="L675" s="153"/>
    </row>
    <row r="676" ht="22.5" customHeight="1">
      <c r="L676" s="153"/>
    </row>
    <row r="677" ht="22.5" customHeight="1">
      <c r="L677" s="153"/>
    </row>
    <row r="678" ht="22.5" customHeight="1">
      <c r="L678" s="153"/>
    </row>
    <row r="679" ht="22.5" customHeight="1">
      <c r="L679" s="153"/>
    </row>
    <row r="680" ht="22.5" customHeight="1">
      <c r="L680" s="153"/>
    </row>
    <row r="681" ht="22.5" customHeight="1">
      <c r="L681" s="153"/>
    </row>
    <row r="682" ht="22.5" customHeight="1">
      <c r="L682" s="153"/>
    </row>
    <row r="683" ht="22.5" customHeight="1">
      <c r="L683" s="153"/>
    </row>
    <row r="684" ht="22.5" customHeight="1">
      <c r="L684" s="153"/>
    </row>
    <row r="685" ht="22.5" customHeight="1">
      <c r="L685" s="153"/>
    </row>
    <row r="686" ht="22.5" customHeight="1">
      <c r="L686" s="153"/>
    </row>
    <row r="687" ht="22.5" customHeight="1">
      <c r="L687" s="153"/>
    </row>
    <row r="688" ht="22.5" customHeight="1">
      <c r="L688" s="153"/>
    </row>
    <row r="689" ht="22.5" customHeight="1">
      <c r="L689" s="153"/>
    </row>
    <row r="690" ht="22.5" customHeight="1">
      <c r="L690" s="153"/>
    </row>
    <row r="691" ht="22.5" customHeight="1">
      <c r="L691" s="153"/>
    </row>
    <row r="692" ht="22.5" customHeight="1">
      <c r="L692" s="153"/>
    </row>
    <row r="693" ht="22.5" customHeight="1">
      <c r="L693" s="153"/>
    </row>
    <row r="694" ht="22.5" customHeight="1">
      <c r="L694" s="153"/>
    </row>
    <row r="695" ht="22.5" customHeight="1">
      <c r="L695" s="153"/>
    </row>
    <row r="696" ht="22.5" customHeight="1">
      <c r="L696" s="153"/>
    </row>
    <row r="697" ht="22.5" customHeight="1">
      <c r="L697" s="153"/>
    </row>
    <row r="698" ht="22.5" customHeight="1">
      <c r="L698" s="153"/>
    </row>
    <row r="699" ht="22.5" customHeight="1">
      <c r="L699" s="153"/>
    </row>
    <row r="700" ht="22.5" customHeight="1">
      <c r="L700" s="153"/>
    </row>
    <row r="701" ht="22.5" customHeight="1">
      <c r="L701" s="153"/>
    </row>
    <row r="702" ht="22.5" customHeight="1">
      <c r="L702" s="153"/>
    </row>
    <row r="703" ht="22.5" customHeight="1">
      <c r="L703" s="153"/>
    </row>
    <row r="704" ht="22.5" customHeight="1">
      <c r="L704" s="153"/>
    </row>
    <row r="705" ht="22.5" customHeight="1">
      <c r="L705" s="153"/>
    </row>
    <row r="706" ht="22.5" customHeight="1">
      <c r="L706" s="153"/>
    </row>
    <row r="707" ht="22.5" customHeight="1">
      <c r="L707" s="153"/>
    </row>
    <row r="708" ht="22.5" customHeight="1">
      <c r="L708" s="153"/>
    </row>
    <row r="709" ht="22.5" customHeight="1">
      <c r="L709" s="153"/>
    </row>
    <row r="710" ht="22.5" customHeight="1">
      <c r="L710" s="153"/>
    </row>
    <row r="711" ht="22.5" customHeight="1">
      <c r="L711" s="153"/>
    </row>
    <row r="712" ht="22.5" customHeight="1">
      <c r="L712" s="153"/>
    </row>
    <row r="713" ht="22.5" customHeight="1">
      <c r="L713" s="153"/>
    </row>
    <row r="714" ht="22.5" customHeight="1">
      <c r="L714" s="153"/>
    </row>
    <row r="715" ht="22.5" customHeight="1">
      <c r="L715" s="153"/>
    </row>
    <row r="716" ht="22.5" customHeight="1">
      <c r="L716" s="153"/>
    </row>
    <row r="717" ht="22.5" customHeight="1">
      <c r="L717" s="153"/>
    </row>
    <row r="718" ht="22.5" customHeight="1">
      <c r="L718" s="153"/>
    </row>
    <row r="719" ht="22.5" customHeight="1">
      <c r="L719" s="153"/>
    </row>
    <row r="720" ht="22.5" customHeight="1">
      <c r="L720" s="153"/>
    </row>
    <row r="721" ht="22.5" customHeight="1">
      <c r="L721" s="153"/>
    </row>
    <row r="722" ht="22.5" customHeight="1">
      <c r="L722" s="153"/>
    </row>
    <row r="723" ht="22.5" customHeight="1">
      <c r="L723" s="153"/>
    </row>
    <row r="724" ht="22.5" customHeight="1">
      <c r="L724" s="153"/>
    </row>
    <row r="725" ht="22.5" customHeight="1">
      <c r="L725" s="153"/>
    </row>
    <row r="726" ht="22.5" customHeight="1">
      <c r="L726" s="153"/>
    </row>
    <row r="727" ht="22.5" customHeight="1">
      <c r="L727" s="153"/>
    </row>
    <row r="728" ht="22.5" customHeight="1">
      <c r="L728" s="153"/>
    </row>
    <row r="729" ht="22.5" customHeight="1">
      <c r="L729" s="153"/>
    </row>
    <row r="730" ht="22.5" customHeight="1">
      <c r="L730" s="153"/>
    </row>
    <row r="731" ht="22.5" customHeight="1">
      <c r="L731" s="153"/>
    </row>
    <row r="732" ht="22.5" customHeight="1">
      <c r="L732" s="153"/>
    </row>
    <row r="733" ht="22.5" customHeight="1">
      <c r="L733" s="153"/>
    </row>
    <row r="734" ht="22.5" customHeight="1">
      <c r="L734" s="153"/>
    </row>
    <row r="735" ht="22.5" customHeight="1">
      <c r="L735" s="153"/>
    </row>
    <row r="736" ht="22.5" customHeight="1">
      <c r="L736" s="153"/>
    </row>
    <row r="737" ht="22.5" customHeight="1">
      <c r="L737" s="153"/>
    </row>
    <row r="738" ht="22.5" customHeight="1">
      <c r="L738" s="153"/>
    </row>
    <row r="739" ht="22.5" customHeight="1">
      <c r="L739" s="153"/>
    </row>
    <row r="740" ht="22.5" customHeight="1">
      <c r="L740" s="153"/>
    </row>
    <row r="741" ht="22.5" customHeight="1">
      <c r="L741" s="153"/>
    </row>
    <row r="742" ht="22.5" customHeight="1">
      <c r="L742" s="153"/>
    </row>
    <row r="743" ht="22.5" customHeight="1">
      <c r="L743" s="153"/>
    </row>
    <row r="744" ht="22.5" customHeight="1">
      <c r="L744" s="153"/>
    </row>
    <row r="745" ht="22.5" customHeight="1">
      <c r="L745" s="153"/>
    </row>
    <row r="746" ht="22.5" customHeight="1">
      <c r="L746" s="153"/>
    </row>
    <row r="747" ht="22.5" customHeight="1">
      <c r="L747" s="153"/>
    </row>
    <row r="748" ht="22.5" customHeight="1">
      <c r="L748" s="153"/>
    </row>
    <row r="749" ht="22.5" customHeight="1">
      <c r="L749" s="153"/>
    </row>
    <row r="750" ht="22.5" customHeight="1">
      <c r="L750" s="153"/>
    </row>
    <row r="751" ht="22.5" customHeight="1">
      <c r="L751" s="153"/>
    </row>
    <row r="752" ht="22.5" customHeight="1">
      <c r="L752" s="153"/>
    </row>
    <row r="753" ht="22.5" customHeight="1">
      <c r="L753" s="153"/>
    </row>
    <row r="754" ht="22.5" customHeight="1">
      <c r="L754" s="153"/>
    </row>
    <row r="755" ht="22.5" customHeight="1">
      <c r="L755" s="153"/>
    </row>
    <row r="756" ht="22.5" customHeight="1">
      <c r="L756" s="153"/>
    </row>
    <row r="757" ht="22.5" customHeight="1">
      <c r="L757" s="153"/>
    </row>
    <row r="758" ht="22.5" customHeight="1">
      <c r="L758" s="153"/>
    </row>
    <row r="759" ht="22.5" customHeight="1">
      <c r="L759" s="153"/>
    </row>
    <row r="760" ht="22.5" customHeight="1">
      <c r="L760" s="153"/>
    </row>
    <row r="761" ht="22.5" customHeight="1">
      <c r="L761" s="153"/>
    </row>
    <row r="762" ht="22.5" customHeight="1">
      <c r="L762" s="153"/>
    </row>
    <row r="763" ht="22.5" customHeight="1">
      <c r="L763" s="153"/>
    </row>
    <row r="764" ht="22.5" customHeight="1">
      <c r="L764" s="153"/>
    </row>
    <row r="765" ht="22.5" customHeight="1">
      <c r="L765" s="153"/>
    </row>
    <row r="766" ht="22.5" customHeight="1">
      <c r="L766" s="153"/>
    </row>
    <row r="767" ht="22.5" customHeight="1">
      <c r="L767" s="153"/>
    </row>
    <row r="768" ht="22.5" customHeight="1">
      <c r="L768" s="153"/>
    </row>
    <row r="769" ht="22.5" customHeight="1">
      <c r="L769" s="153"/>
    </row>
    <row r="770" ht="22.5" customHeight="1">
      <c r="L770" s="153"/>
    </row>
    <row r="771" ht="22.5" customHeight="1">
      <c r="L771" s="153"/>
    </row>
    <row r="772" ht="22.5" customHeight="1">
      <c r="L772" s="153"/>
    </row>
    <row r="773" ht="22.5" customHeight="1">
      <c r="L773" s="153"/>
    </row>
    <row r="774" ht="22.5" customHeight="1">
      <c r="L774" s="153"/>
    </row>
    <row r="775" ht="22.5" customHeight="1">
      <c r="L775" s="153"/>
    </row>
    <row r="776" ht="22.5" customHeight="1">
      <c r="L776" s="153"/>
    </row>
    <row r="777" ht="22.5" customHeight="1">
      <c r="L777" s="153"/>
    </row>
    <row r="778" ht="22.5" customHeight="1">
      <c r="L778" s="153"/>
    </row>
    <row r="779" ht="22.5" customHeight="1">
      <c r="L779" s="153"/>
    </row>
    <row r="780" ht="22.5" customHeight="1">
      <c r="L780" s="153"/>
    </row>
    <row r="781" ht="22.5" customHeight="1">
      <c r="L781" s="153"/>
    </row>
    <row r="782" ht="22.5" customHeight="1">
      <c r="L782" s="153"/>
    </row>
    <row r="783" ht="22.5" customHeight="1">
      <c r="L783" s="153"/>
    </row>
    <row r="784" ht="22.5" customHeight="1">
      <c r="L784" s="153"/>
    </row>
    <row r="785" ht="22.5" customHeight="1">
      <c r="L785" s="153"/>
    </row>
    <row r="786" ht="22.5" customHeight="1">
      <c r="L786" s="153"/>
    </row>
    <row r="787" ht="22.5" customHeight="1">
      <c r="L787" s="153"/>
    </row>
    <row r="788" ht="22.5" customHeight="1">
      <c r="L788" s="153"/>
    </row>
    <row r="789" ht="22.5" customHeight="1">
      <c r="L789" s="153"/>
    </row>
    <row r="790" ht="22.5" customHeight="1">
      <c r="L790" s="153"/>
    </row>
    <row r="791" ht="22.5" customHeight="1">
      <c r="L791" s="153"/>
    </row>
    <row r="792" ht="22.5" customHeight="1">
      <c r="L792" s="153"/>
    </row>
    <row r="793" ht="22.5" customHeight="1">
      <c r="L793" s="153"/>
    </row>
    <row r="794" ht="22.5" customHeight="1">
      <c r="L794" s="153"/>
    </row>
    <row r="795" ht="22.5" customHeight="1">
      <c r="L795" s="153"/>
    </row>
    <row r="796" ht="22.5" customHeight="1">
      <c r="L796" s="153"/>
    </row>
    <row r="797" ht="22.5" customHeight="1">
      <c r="L797" s="153"/>
    </row>
    <row r="798" ht="22.5" customHeight="1">
      <c r="L798" s="153"/>
    </row>
    <row r="799" ht="22.5" customHeight="1">
      <c r="L799" s="153"/>
    </row>
    <row r="800" ht="22.5" customHeight="1">
      <c r="L800" s="153"/>
    </row>
    <row r="801" ht="22.5" customHeight="1">
      <c r="L801" s="153"/>
    </row>
    <row r="802" ht="22.5" customHeight="1">
      <c r="L802" s="153"/>
    </row>
    <row r="803" ht="22.5" customHeight="1">
      <c r="L803" s="153"/>
    </row>
    <row r="804" ht="22.5" customHeight="1">
      <c r="L804" s="153"/>
    </row>
    <row r="805" ht="22.5" customHeight="1">
      <c r="L805" s="153"/>
    </row>
    <row r="806" ht="22.5" customHeight="1">
      <c r="L806" s="153"/>
    </row>
    <row r="807" ht="22.5" customHeight="1">
      <c r="L807" s="153"/>
    </row>
    <row r="808" ht="22.5" customHeight="1">
      <c r="L808" s="153"/>
    </row>
    <row r="809" ht="22.5" customHeight="1">
      <c r="L809" s="153"/>
    </row>
    <row r="810" ht="22.5" customHeight="1">
      <c r="L810" s="153"/>
    </row>
    <row r="811" ht="22.5" customHeight="1">
      <c r="L811" s="153"/>
    </row>
    <row r="812" ht="22.5" customHeight="1">
      <c r="L812" s="153"/>
    </row>
    <row r="813" ht="22.5" customHeight="1">
      <c r="L813" s="153"/>
    </row>
    <row r="814" ht="22.5" customHeight="1">
      <c r="L814" s="153"/>
    </row>
    <row r="815" ht="22.5" customHeight="1">
      <c r="L815" s="153"/>
    </row>
    <row r="816" ht="22.5" customHeight="1">
      <c r="L816" s="153"/>
    </row>
    <row r="817" ht="22.5" customHeight="1">
      <c r="L817" s="153"/>
    </row>
    <row r="818" ht="22.5" customHeight="1">
      <c r="L818" s="153"/>
    </row>
    <row r="819" ht="22.5" customHeight="1">
      <c r="L819" s="153"/>
    </row>
    <row r="820" ht="22.5" customHeight="1">
      <c r="L820" s="153"/>
    </row>
    <row r="821" ht="22.5" customHeight="1">
      <c r="L821" s="153"/>
    </row>
    <row r="822" ht="22.5" customHeight="1">
      <c r="L822" s="153"/>
    </row>
    <row r="823" ht="22.5" customHeight="1">
      <c r="L823" s="153"/>
    </row>
    <row r="824" ht="22.5" customHeight="1">
      <c r="L824" s="153"/>
    </row>
    <row r="825" ht="22.5" customHeight="1">
      <c r="L825" s="153"/>
    </row>
    <row r="826" ht="22.5" customHeight="1">
      <c r="L826" s="153"/>
    </row>
    <row r="827" ht="22.5" customHeight="1">
      <c r="L827" s="153"/>
    </row>
    <row r="828" ht="22.5" customHeight="1">
      <c r="L828" s="153"/>
    </row>
    <row r="829" ht="22.5" customHeight="1">
      <c r="L829" s="153"/>
    </row>
    <row r="830" ht="22.5" customHeight="1">
      <c r="L830" s="153"/>
    </row>
    <row r="831" ht="22.5" customHeight="1">
      <c r="L831" s="153"/>
    </row>
    <row r="832" ht="22.5" customHeight="1">
      <c r="L832" s="153"/>
    </row>
    <row r="833" ht="22.5" customHeight="1">
      <c r="L833" s="153"/>
    </row>
    <row r="834" ht="22.5" customHeight="1">
      <c r="L834" s="153"/>
    </row>
    <row r="835" ht="22.5" customHeight="1">
      <c r="L835" s="153"/>
    </row>
    <row r="836" ht="22.5" customHeight="1">
      <c r="L836" s="153"/>
    </row>
    <row r="837" ht="22.5" customHeight="1">
      <c r="L837" s="153"/>
    </row>
    <row r="838" ht="22.5" customHeight="1">
      <c r="L838" s="153"/>
    </row>
    <row r="839" ht="22.5" customHeight="1">
      <c r="L839" s="153"/>
    </row>
    <row r="840" ht="22.5" customHeight="1">
      <c r="L840" s="153"/>
    </row>
    <row r="841" ht="22.5" customHeight="1">
      <c r="L841" s="153"/>
    </row>
    <row r="842" ht="22.5" customHeight="1">
      <c r="L842" s="153"/>
    </row>
    <row r="843" ht="22.5" customHeight="1">
      <c r="L843" s="153"/>
    </row>
    <row r="844" ht="22.5" customHeight="1">
      <c r="L844" s="153"/>
    </row>
    <row r="845" ht="22.5" customHeight="1">
      <c r="L845" s="153"/>
    </row>
    <row r="846" ht="22.5" customHeight="1">
      <c r="L846" s="153"/>
    </row>
    <row r="847" ht="22.5" customHeight="1">
      <c r="L847" s="153"/>
    </row>
    <row r="848" ht="22.5" customHeight="1">
      <c r="L848" s="153"/>
    </row>
    <row r="849" ht="22.5" customHeight="1">
      <c r="L849" s="153"/>
    </row>
    <row r="850" ht="22.5" customHeight="1">
      <c r="L850" s="153"/>
    </row>
    <row r="851" ht="22.5" customHeight="1">
      <c r="L851" s="153"/>
    </row>
    <row r="852" ht="22.5" customHeight="1">
      <c r="L852" s="153"/>
    </row>
    <row r="853" ht="22.5" customHeight="1">
      <c r="L853" s="153"/>
    </row>
    <row r="854" ht="22.5" customHeight="1">
      <c r="L854" s="153"/>
    </row>
    <row r="855" ht="22.5" customHeight="1">
      <c r="L855" s="153"/>
    </row>
    <row r="856" ht="22.5" customHeight="1">
      <c r="L856" s="153"/>
    </row>
    <row r="857" ht="22.5" customHeight="1">
      <c r="L857" s="153"/>
    </row>
    <row r="858" ht="22.5" customHeight="1">
      <c r="L858" s="153"/>
    </row>
    <row r="859" ht="22.5" customHeight="1">
      <c r="L859" s="153"/>
    </row>
    <row r="860" ht="22.5" customHeight="1">
      <c r="L860" s="153"/>
    </row>
    <row r="861" ht="22.5" customHeight="1">
      <c r="L861" s="153"/>
    </row>
    <row r="862" ht="22.5" customHeight="1">
      <c r="L862" s="153"/>
    </row>
    <row r="863" ht="22.5" customHeight="1">
      <c r="L863" s="153"/>
    </row>
    <row r="864" ht="22.5" customHeight="1">
      <c r="L864" s="153"/>
    </row>
    <row r="865" ht="22.5" customHeight="1">
      <c r="L865" s="153"/>
    </row>
    <row r="866" ht="22.5" customHeight="1">
      <c r="L866" s="153"/>
    </row>
    <row r="867" ht="22.5" customHeight="1">
      <c r="L867" s="153"/>
    </row>
    <row r="868" ht="22.5" customHeight="1">
      <c r="L868" s="153"/>
    </row>
    <row r="869" ht="22.5" customHeight="1">
      <c r="L869" s="153"/>
    </row>
    <row r="870" ht="22.5" customHeight="1">
      <c r="L870" s="153"/>
    </row>
    <row r="871" ht="22.5" customHeight="1">
      <c r="L871" s="153"/>
    </row>
    <row r="872" ht="22.5" customHeight="1">
      <c r="L872" s="153"/>
    </row>
    <row r="873" ht="22.5" customHeight="1">
      <c r="L873" s="153"/>
    </row>
    <row r="874" ht="22.5" customHeight="1">
      <c r="L874" s="153"/>
    </row>
    <row r="875" ht="22.5" customHeight="1">
      <c r="L875" s="153"/>
    </row>
    <row r="876" ht="22.5" customHeight="1">
      <c r="L876" s="153"/>
    </row>
    <row r="877" ht="22.5" customHeight="1">
      <c r="L877" s="153"/>
    </row>
    <row r="878" ht="22.5" customHeight="1">
      <c r="L878" s="153"/>
    </row>
    <row r="879" ht="22.5" customHeight="1">
      <c r="L879" s="153"/>
    </row>
    <row r="880" ht="22.5" customHeight="1">
      <c r="L880" s="153"/>
    </row>
    <row r="881" ht="22.5" customHeight="1">
      <c r="L881" s="153"/>
    </row>
    <row r="882" ht="22.5" customHeight="1">
      <c r="L882" s="153"/>
    </row>
    <row r="883" ht="22.5" customHeight="1">
      <c r="L883" s="153"/>
    </row>
    <row r="884" ht="22.5" customHeight="1">
      <c r="L884" s="153"/>
    </row>
    <row r="885" ht="22.5" customHeight="1">
      <c r="L885" s="153"/>
    </row>
    <row r="886" ht="22.5" customHeight="1">
      <c r="L886" s="153"/>
    </row>
    <row r="887" ht="22.5" customHeight="1">
      <c r="L887" s="153"/>
    </row>
    <row r="888" ht="22.5" customHeight="1">
      <c r="L888" s="153"/>
    </row>
    <row r="889" ht="22.5" customHeight="1">
      <c r="L889" s="153"/>
    </row>
    <row r="890" ht="22.5" customHeight="1">
      <c r="L890" s="153"/>
    </row>
    <row r="891" ht="22.5" customHeight="1">
      <c r="L891" s="153"/>
    </row>
    <row r="892" ht="22.5" customHeight="1">
      <c r="L892" s="153"/>
    </row>
    <row r="893" ht="22.5" customHeight="1">
      <c r="L893" s="153"/>
    </row>
    <row r="894" ht="22.5" customHeight="1">
      <c r="L894" s="153"/>
    </row>
    <row r="895" ht="22.5" customHeight="1">
      <c r="L895" s="153"/>
    </row>
    <row r="896" ht="22.5" customHeight="1">
      <c r="L896" s="153"/>
    </row>
    <row r="897" ht="22.5" customHeight="1">
      <c r="L897" s="153"/>
    </row>
    <row r="898" ht="22.5" customHeight="1">
      <c r="L898" s="153"/>
    </row>
    <row r="899" ht="22.5" customHeight="1">
      <c r="L899" s="153"/>
    </row>
    <row r="900" ht="22.5" customHeight="1">
      <c r="L900" s="153"/>
    </row>
    <row r="901" ht="22.5" customHeight="1">
      <c r="L901" s="153"/>
    </row>
    <row r="902" ht="22.5" customHeight="1">
      <c r="L902" s="153"/>
    </row>
    <row r="903" ht="22.5" customHeight="1">
      <c r="L903" s="153"/>
    </row>
    <row r="904" ht="22.5" customHeight="1">
      <c r="L904" s="153"/>
    </row>
    <row r="905" ht="22.5" customHeight="1">
      <c r="L905" s="153"/>
    </row>
    <row r="906" ht="22.5" customHeight="1">
      <c r="L906" s="153"/>
    </row>
    <row r="907" ht="22.5" customHeight="1">
      <c r="L907" s="153"/>
    </row>
    <row r="908" ht="22.5" customHeight="1">
      <c r="L908" s="153"/>
    </row>
    <row r="909" ht="22.5" customHeight="1">
      <c r="L909" s="153"/>
    </row>
    <row r="910" ht="22.5" customHeight="1">
      <c r="L910" s="153"/>
    </row>
    <row r="911" ht="22.5" customHeight="1">
      <c r="L911" s="153"/>
    </row>
    <row r="912" ht="22.5" customHeight="1">
      <c r="L912" s="153"/>
    </row>
    <row r="913" ht="22.5" customHeight="1">
      <c r="L913" s="153"/>
    </row>
    <row r="914" ht="22.5" customHeight="1">
      <c r="L914" s="153"/>
    </row>
    <row r="915" ht="22.5" customHeight="1">
      <c r="L915" s="153"/>
    </row>
    <row r="916" ht="22.5" customHeight="1">
      <c r="L916" s="153"/>
    </row>
    <row r="917" ht="22.5" customHeight="1">
      <c r="L917" s="153"/>
    </row>
    <row r="918" ht="22.5" customHeight="1">
      <c r="L918" s="153"/>
    </row>
    <row r="919" ht="22.5" customHeight="1">
      <c r="L919" s="153"/>
    </row>
    <row r="920" ht="22.5" customHeight="1">
      <c r="L920" s="153"/>
    </row>
    <row r="921" ht="22.5" customHeight="1">
      <c r="L921" s="153"/>
    </row>
    <row r="922" ht="22.5" customHeight="1">
      <c r="L922" s="153"/>
    </row>
    <row r="923" ht="22.5" customHeight="1">
      <c r="L923" s="153"/>
    </row>
    <row r="924" ht="22.5" customHeight="1">
      <c r="L924" s="153"/>
    </row>
    <row r="925" ht="22.5" customHeight="1">
      <c r="L925" s="153"/>
    </row>
    <row r="926" ht="22.5" customHeight="1">
      <c r="L926" s="153"/>
    </row>
    <row r="927" ht="22.5" customHeight="1">
      <c r="L927" s="153"/>
    </row>
    <row r="928" ht="22.5" customHeight="1">
      <c r="L928" s="153"/>
    </row>
    <row r="929" ht="22.5" customHeight="1">
      <c r="L929" s="153"/>
    </row>
    <row r="930" ht="22.5" customHeight="1">
      <c r="L930" s="153"/>
    </row>
    <row r="931" ht="22.5" customHeight="1">
      <c r="L931" s="153"/>
    </row>
    <row r="932" ht="22.5" customHeight="1">
      <c r="L932" s="153"/>
    </row>
    <row r="933" ht="22.5" customHeight="1">
      <c r="L933" s="153"/>
    </row>
    <row r="934" ht="22.5" customHeight="1">
      <c r="L934" s="153"/>
    </row>
    <row r="935" ht="22.5" customHeight="1">
      <c r="L935" s="153"/>
    </row>
    <row r="936" ht="22.5" customHeight="1">
      <c r="L936" s="153"/>
    </row>
    <row r="937" ht="22.5" customHeight="1">
      <c r="L937" s="153"/>
    </row>
    <row r="938" ht="22.5" customHeight="1">
      <c r="L938" s="153"/>
    </row>
    <row r="939" ht="22.5" customHeight="1">
      <c r="L939" s="153"/>
    </row>
    <row r="940" ht="22.5" customHeight="1">
      <c r="L940" s="153"/>
    </row>
    <row r="941" ht="22.5" customHeight="1">
      <c r="L941" s="153"/>
    </row>
    <row r="942" ht="22.5" customHeight="1">
      <c r="L942" s="153"/>
    </row>
    <row r="943" ht="22.5" customHeight="1">
      <c r="L943" s="153"/>
    </row>
    <row r="944" ht="22.5" customHeight="1">
      <c r="L944" s="153"/>
    </row>
    <row r="945" ht="22.5" customHeight="1">
      <c r="L945" s="153"/>
    </row>
    <row r="946" ht="22.5" customHeight="1">
      <c r="L946" s="153"/>
    </row>
    <row r="947" ht="22.5" customHeight="1">
      <c r="L947" s="153"/>
    </row>
    <row r="948" ht="22.5" customHeight="1">
      <c r="L948" s="153"/>
    </row>
    <row r="949" ht="22.5" customHeight="1">
      <c r="L949" s="153"/>
    </row>
    <row r="950" ht="22.5" customHeight="1">
      <c r="L950" s="153"/>
    </row>
    <row r="951" ht="22.5" customHeight="1">
      <c r="L951" s="153"/>
    </row>
    <row r="952" ht="22.5" customHeight="1">
      <c r="L952" s="153"/>
    </row>
    <row r="953" ht="22.5" customHeight="1">
      <c r="L953" s="153"/>
    </row>
    <row r="954" ht="22.5" customHeight="1">
      <c r="L954" s="153"/>
    </row>
    <row r="955" ht="22.5" customHeight="1">
      <c r="L955" s="153"/>
    </row>
    <row r="956" ht="22.5" customHeight="1">
      <c r="L956" s="153"/>
    </row>
    <row r="957" ht="22.5" customHeight="1">
      <c r="L957" s="153"/>
    </row>
    <row r="958" ht="22.5" customHeight="1">
      <c r="L958" s="153"/>
    </row>
    <row r="959" ht="22.5" customHeight="1">
      <c r="L959" s="153"/>
    </row>
    <row r="960" ht="22.5" customHeight="1">
      <c r="L960" s="153"/>
    </row>
    <row r="961" ht="22.5" customHeight="1">
      <c r="L961" s="153"/>
    </row>
    <row r="962" ht="22.5" customHeight="1">
      <c r="L962" s="153"/>
    </row>
    <row r="963" ht="22.5" customHeight="1">
      <c r="L963" s="153"/>
    </row>
    <row r="964" ht="22.5" customHeight="1">
      <c r="L964" s="153"/>
    </row>
    <row r="965" ht="22.5" customHeight="1">
      <c r="L965" s="153"/>
    </row>
    <row r="966" ht="22.5" customHeight="1">
      <c r="L966" s="153"/>
    </row>
    <row r="967" ht="22.5" customHeight="1">
      <c r="L967" s="153"/>
    </row>
    <row r="968" ht="22.5" customHeight="1">
      <c r="L968" s="153"/>
    </row>
    <row r="969" ht="22.5" customHeight="1">
      <c r="L969" s="153"/>
    </row>
    <row r="970" ht="22.5" customHeight="1">
      <c r="L970" s="153"/>
    </row>
    <row r="971" ht="22.5" customHeight="1">
      <c r="L971" s="153"/>
    </row>
    <row r="972" ht="22.5" customHeight="1">
      <c r="L972" s="153"/>
    </row>
    <row r="973" ht="22.5" customHeight="1">
      <c r="L973" s="153"/>
    </row>
    <row r="974" ht="22.5" customHeight="1">
      <c r="L974" s="153"/>
    </row>
  </sheetData>
  <hyperlinks>
    <hyperlink r:id="rId1" ref="G150"/>
    <hyperlink r:id="rId2" ref="K150"/>
    <hyperlink r:id="rId3" ref="N150"/>
    <hyperlink r:id="rId4" ref="V1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6" width="13.5"/>
    <col customWidth="1" min="7" max="7" width="18.75"/>
    <col customWidth="1" min="8" max="8" width="15.5"/>
    <col customWidth="1" min="9" max="9" width="13.5"/>
    <col customWidth="1" min="10" max="42" width="14.38"/>
  </cols>
  <sheetData>
    <row r="1" ht="22.5" customHeight="1">
      <c r="A1" s="2" t="s">
        <v>2</v>
      </c>
      <c r="B1" s="5" t="s">
        <v>5</v>
      </c>
      <c r="C1" s="5" t="s">
        <v>6</v>
      </c>
      <c r="D1" s="5" t="s">
        <v>1</v>
      </c>
      <c r="E1" s="5" t="s">
        <v>7</v>
      </c>
      <c r="F1" s="5" t="s">
        <v>9</v>
      </c>
      <c r="G1" s="5" t="s">
        <v>10</v>
      </c>
      <c r="H1" s="5" t="s">
        <v>11</v>
      </c>
      <c r="I1" s="8" t="s">
        <v>12</v>
      </c>
      <c r="J1" s="5" t="s">
        <v>14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25</v>
      </c>
      <c r="T1" s="5" t="s">
        <v>26</v>
      </c>
      <c r="U1" s="5" t="s">
        <v>27</v>
      </c>
      <c r="V1" s="5" t="s">
        <v>29</v>
      </c>
      <c r="W1" s="5" t="s">
        <v>30</v>
      </c>
      <c r="X1" s="8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38</v>
      </c>
      <c r="AD1" s="5" t="s">
        <v>40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47</v>
      </c>
      <c r="AJ1" s="5" t="s">
        <v>48</v>
      </c>
      <c r="AK1" s="5" t="s">
        <v>50</v>
      </c>
      <c r="AL1" s="5" t="s">
        <v>51</v>
      </c>
      <c r="AM1" s="5" t="s">
        <v>52</v>
      </c>
      <c r="AN1" s="5" t="s">
        <v>53</v>
      </c>
      <c r="AO1" s="14" t="s">
        <v>58</v>
      </c>
      <c r="AP1" s="16" t="s">
        <v>60</v>
      </c>
    </row>
    <row r="2" ht="22.5" customHeight="1">
      <c r="A2" s="17"/>
      <c r="B2" s="17"/>
      <c r="C2" s="17"/>
      <c r="D2" s="19"/>
      <c r="E2" s="17"/>
      <c r="F2" s="21"/>
      <c r="G2" s="17"/>
      <c r="H2" s="17"/>
      <c r="I2" s="17"/>
      <c r="J2" s="17"/>
      <c r="K2" s="17"/>
      <c r="L2" s="21"/>
      <c r="M2" s="17"/>
      <c r="N2" s="17"/>
      <c r="O2" s="21"/>
      <c r="P2" s="21"/>
      <c r="Q2" s="25"/>
      <c r="R2" s="17"/>
      <c r="S2" s="17"/>
      <c r="T2" s="17"/>
      <c r="U2" s="17"/>
      <c r="V2" s="17"/>
      <c r="W2" s="17"/>
      <c r="X2" s="17"/>
      <c r="Y2" s="17"/>
      <c r="Z2" s="17"/>
      <c r="AA2" s="26"/>
      <c r="AB2" s="17"/>
      <c r="AC2" s="17"/>
      <c r="AD2" s="17"/>
      <c r="AE2" s="17"/>
      <c r="AF2" s="29"/>
      <c r="AG2" s="17"/>
      <c r="AH2" s="29"/>
      <c r="AI2" s="17"/>
      <c r="AJ2" s="29"/>
      <c r="AK2" s="29"/>
      <c r="AL2" s="17"/>
      <c r="AM2" s="17"/>
      <c r="AN2" s="17"/>
      <c r="AO2" s="17"/>
      <c r="AP2" s="17"/>
    </row>
    <row r="3" ht="22.5" customHeight="1">
      <c r="A3" s="17"/>
      <c r="B3" s="17"/>
      <c r="C3" s="17"/>
      <c r="D3" s="19"/>
      <c r="E3" s="17"/>
      <c r="F3" s="35" t="s">
        <v>79</v>
      </c>
      <c r="G3" s="38" t="s">
        <v>81</v>
      </c>
      <c r="H3" s="39" t="s">
        <v>82</v>
      </c>
      <c r="I3" s="40" t="s">
        <v>83</v>
      </c>
      <c r="J3" s="17"/>
      <c r="K3" s="17"/>
      <c r="L3" s="21"/>
      <c r="M3" s="17"/>
      <c r="N3" s="17"/>
      <c r="O3" s="21"/>
      <c r="P3" s="21"/>
      <c r="Q3" s="25"/>
      <c r="R3" s="17"/>
      <c r="S3" s="17"/>
      <c r="T3" s="17"/>
      <c r="U3" s="17"/>
      <c r="V3" s="17"/>
      <c r="W3" s="17"/>
      <c r="X3" s="17"/>
      <c r="AC3" s="42" t="s">
        <v>79</v>
      </c>
      <c r="AD3" s="43" t="s">
        <v>89</v>
      </c>
      <c r="AE3" s="44" t="s">
        <v>82</v>
      </c>
      <c r="AF3" s="39" t="s">
        <v>83</v>
      </c>
      <c r="AG3" s="17"/>
      <c r="AH3" s="29"/>
      <c r="AI3" s="17"/>
      <c r="AJ3" s="29"/>
      <c r="AK3" s="29"/>
      <c r="AL3" s="17"/>
      <c r="AM3" s="42" t="s">
        <v>79</v>
      </c>
      <c r="AN3" s="43" t="s">
        <v>89</v>
      </c>
      <c r="AO3" s="44" t="s">
        <v>82</v>
      </c>
      <c r="AP3" s="39" t="s">
        <v>83</v>
      </c>
    </row>
    <row r="4" ht="22.5" customHeight="1">
      <c r="A4" s="45" t="s">
        <v>94</v>
      </c>
      <c r="B4" s="46"/>
      <c r="C4" s="46"/>
      <c r="D4" s="47"/>
      <c r="E4" s="46"/>
      <c r="F4" s="48"/>
      <c r="G4" s="46"/>
      <c r="H4" s="46"/>
      <c r="I4" s="46"/>
      <c r="J4" s="46"/>
      <c r="K4" s="46"/>
      <c r="L4" s="48"/>
      <c r="M4" s="45" t="s">
        <v>94</v>
      </c>
      <c r="N4" s="46"/>
      <c r="O4" s="48"/>
      <c r="P4" s="48"/>
      <c r="Q4" s="50"/>
      <c r="R4" s="46"/>
      <c r="S4" s="46"/>
      <c r="T4" s="46"/>
      <c r="U4" s="46"/>
      <c r="V4" s="46"/>
      <c r="W4" s="46"/>
      <c r="X4" s="46"/>
      <c r="Y4" s="46"/>
      <c r="Z4" s="46"/>
      <c r="AA4" s="53"/>
      <c r="AB4" s="46"/>
      <c r="AC4" s="46"/>
      <c r="AD4" s="46"/>
      <c r="AE4" s="46"/>
      <c r="AF4" s="54"/>
      <c r="AG4" s="46"/>
      <c r="AH4" s="54"/>
      <c r="AI4" s="46"/>
      <c r="AJ4" s="54"/>
      <c r="AK4" s="54"/>
      <c r="AL4" s="46"/>
      <c r="AM4" s="46"/>
      <c r="AN4" s="45" t="s">
        <v>94</v>
      </c>
      <c r="AO4" s="46"/>
      <c r="AP4" s="46"/>
    </row>
    <row r="5" ht="22.5" customHeight="1">
      <c r="A5" s="17" t="s">
        <v>136</v>
      </c>
      <c r="B5" s="17" t="s">
        <v>96</v>
      </c>
      <c r="C5" s="17" t="s">
        <v>137</v>
      </c>
      <c r="D5" s="19">
        <v>40805.0</v>
      </c>
      <c r="E5" s="17" t="s">
        <v>98</v>
      </c>
      <c r="F5" s="21">
        <v>5.618779038E9</v>
      </c>
      <c r="G5" s="17" t="s">
        <v>139</v>
      </c>
      <c r="H5" s="17" t="s">
        <v>140</v>
      </c>
      <c r="I5" s="17" t="s">
        <v>142</v>
      </c>
      <c r="J5" s="17" t="s">
        <v>143</v>
      </c>
      <c r="K5" s="17" t="s">
        <v>106</v>
      </c>
      <c r="L5" s="21">
        <v>5.566802269E9</v>
      </c>
      <c r="M5" s="17" t="s">
        <v>144</v>
      </c>
      <c r="N5" s="17" t="s">
        <v>145</v>
      </c>
      <c r="O5" s="21">
        <v>0.0</v>
      </c>
      <c r="P5" s="21">
        <v>14.0</v>
      </c>
      <c r="Q5" s="25">
        <v>46040.59625</v>
      </c>
      <c r="R5" s="17" t="s">
        <v>107</v>
      </c>
      <c r="S5" s="17" t="s">
        <v>109</v>
      </c>
      <c r="T5" s="17" t="s">
        <v>111</v>
      </c>
      <c r="U5" s="17" t="s">
        <v>112</v>
      </c>
      <c r="V5" s="17" t="s">
        <v>114</v>
      </c>
      <c r="W5" s="17" t="s">
        <v>115</v>
      </c>
      <c r="X5" s="17" t="s">
        <v>117</v>
      </c>
      <c r="Y5" s="17" t="s">
        <v>142</v>
      </c>
      <c r="Z5" s="17" t="s">
        <v>117</v>
      </c>
      <c r="AA5" s="17" t="s">
        <v>151</v>
      </c>
      <c r="AB5" s="17" t="s">
        <v>117</v>
      </c>
      <c r="AC5" s="17" t="s">
        <v>117</v>
      </c>
      <c r="AD5" s="57" t="s">
        <v>153</v>
      </c>
      <c r="AE5" s="17" t="s">
        <v>120</v>
      </c>
      <c r="AF5" s="29"/>
      <c r="AG5" s="17" t="s">
        <v>120</v>
      </c>
      <c r="AH5" s="29"/>
      <c r="AI5" s="17" t="s">
        <v>120</v>
      </c>
      <c r="AJ5" s="29"/>
      <c r="AK5" s="29"/>
      <c r="AL5" s="17" t="s">
        <v>128</v>
      </c>
      <c r="AM5" s="17" t="s">
        <v>126</v>
      </c>
      <c r="AN5" s="17" t="s">
        <v>156</v>
      </c>
      <c r="AO5" s="17" t="s">
        <v>124</v>
      </c>
      <c r="AP5" s="17"/>
    </row>
    <row r="6" ht="22.5" customHeight="1">
      <c r="A6" s="59" t="s">
        <v>170</v>
      </c>
      <c r="B6" s="59" t="s">
        <v>172</v>
      </c>
      <c r="C6" s="59" t="s">
        <v>174</v>
      </c>
      <c r="D6" s="60">
        <v>40448.0</v>
      </c>
      <c r="E6" s="59" t="s">
        <v>177</v>
      </c>
      <c r="F6" s="61">
        <v>5.614233278E9</v>
      </c>
      <c r="G6" s="59" t="s">
        <v>179</v>
      </c>
      <c r="H6" s="59" t="s">
        <v>101</v>
      </c>
      <c r="I6" s="59" t="s">
        <v>180</v>
      </c>
      <c r="J6" s="59" t="s">
        <v>181</v>
      </c>
      <c r="K6" s="59" t="s">
        <v>183</v>
      </c>
      <c r="L6" s="61">
        <v>3.41104297E9</v>
      </c>
      <c r="M6" s="59" t="s">
        <v>184</v>
      </c>
      <c r="N6" s="59" t="s">
        <v>186</v>
      </c>
      <c r="O6" s="61">
        <v>5.562186745E9</v>
      </c>
      <c r="P6" s="61">
        <v>15.0</v>
      </c>
      <c r="Q6" s="62">
        <v>46034.53828703704</v>
      </c>
      <c r="R6" s="59" t="s">
        <v>107</v>
      </c>
      <c r="S6" s="59" t="s">
        <v>109</v>
      </c>
      <c r="T6" s="59" t="s">
        <v>192</v>
      </c>
      <c r="U6" s="59" t="s">
        <v>195</v>
      </c>
      <c r="V6" s="59" t="s">
        <v>198</v>
      </c>
      <c r="W6" s="59" t="s">
        <v>200</v>
      </c>
      <c r="X6" s="59" t="s">
        <v>117</v>
      </c>
      <c r="Y6" s="63"/>
      <c r="Z6" s="59" t="s">
        <v>117</v>
      </c>
      <c r="AA6" s="63"/>
      <c r="AB6" s="59" t="s">
        <v>117</v>
      </c>
      <c r="AC6" s="59" t="s">
        <v>117</v>
      </c>
      <c r="AD6" s="63"/>
      <c r="AE6" s="59" t="s">
        <v>117</v>
      </c>
      <c r="AF6" s="63"/>
      <c r="AG6" s="59" t="s">
        <v>117</v>
      </c>
      <c r="AH6" s="63"/>
      <c r="AI6" s="59" t="s">
        <v>117</v>
      </c>
      <c r="AJ6" s="63"/>
      <c r="AK6" s="63"/>
      <c r="AL6" s="59" t="s">
        <v>138</v>
      </c>
      <c r="AM6" s="59" t="s">
        <v>126</v>
      </c>
      <c r="AN6" s="59" t="s">
        <v>156</v>
      </c>
      <c r="AO6" s="59" t="s">
        <v>185</v>
      </c>
      <c r="AP6" s="59"/>
    </row>
    <row r="7" ht="22.5" customHeight="1">
      <c r="A7" s="17" t="s">
        <v>213</v>
      </c>
      <c r="B7" s="17" t="s">
        <v>214</v>
      </c>
      <c r="C7" s="17" t="s">
        <v>215</v>
      </c>
      <c r="D7" s="19">
        <v>40974.0</v>
      </c>
      <c r="E7" s="17" t="s">
        <v>98</v>
      </c>
      <c r="F7" s="21">
        <v>5.576952565E9</v>
      </c>
      <c r="G7" s="17" t="s">
        <v>218</v>
      </c>
      <c r="H7" s="17" t="s">
        <v>101</v>
      </c>
      <c r="I7" s="17" t="s">
        <v>221</v>
      </c>
      <c r="J7" s="17" t="s">
        <v>222</v>
      </c>
      <c r="K7" s="17" t="s">
        <v>223</v>
      </c>
      <c r="L7" s="21">
        <v>5.576952565E9</v>
      </c>
      <c r="M7" s="29"/>
      <c r="N7" s="29"/>
      <c r="O7" s="29"/>
      <c r="P7" s="21">
        <v>13.0</v>
      </c>
      <c r="Q7" s="25">
        <v>46027.56413194445</v>
      </c>
      <c r="R7" s="17" t="s">
        <v>107</v>
      </c>
      <c r="S7" s="17" t="s">
        <v>109</v>
      </c>
      <c r="T7" s="17" t="s">
        <v>208</v>
      </c>
      <c r="U7" s="17" t="s">
        <v>228</v>
      </c>
      <c r="V7" s="17" t="s">
        <v>229</v>
      </c>
      <c r="W7" s="17" t="s">
        <v>230</v>
      </c>
      <c r="X7" s="17" t="s">
        <v>117</v>
      </c>
      <c r="Y7" s="17" t="s">
        <v>232</v>
      </c>
      <c r="Z7" s="17" t="s">
        <v>117</v>
      </c>
      <c r="AA7" s="17" t="s">
        <v>233</v>
      </c>
      <c r="AB7" s="17" t="s">
        <v>117</v>
      </c>
      <c r="AC7" s="17" t="s">
        <v>117</v>
      </c>
      <c r="AD7" s="57" t="s">
        <v>235</v>
      </c>
      <c r="AE7" s="17" t="s">
        <v>120</v>
      </c>
      <c r="AF7" s="29"/>
      <c r="AG7" s="17" t="s">
        <v>120</v>
      </c>
      <c r="AH7" s="29"/>
      <c r="AI7" s="17" t="s">
        <v>117</v>
      </c>
      <c r="AJ7" s="17" t="s">
        <v>239</v>
      </c>
      <c r="AK7" s="29"/>
      <c r="AL7" s="17" t="s">
        <v>138</v>
      </c>
      <c r="AM7" s="17" t="s">
        <v>240</v>
      </c>
      <c r="AN7" s="17" t="s">
        <v>242</v>
      </c>
      <c r="AO7" s="17" t="s">
        <v>128</v>
      </c>
      <c r="AP7" s="17"/>
    </row>
    <row r="8" ht="22.5" customHeight="1">
      <c r="A8" s="59" t="s">
        <v>243</v>
      </c>
      <c r="B8" s="59" t="s">
        <v>244</v>
      </c>
      <c r="C8" s="59" t="s">
        <v>245</v>
      </c>
      <c r="D8" s="60">
        <v>40754.0</v>
      </c>
      <c r="E8" s="59" t="s">
        <v>98</v>
      </c>
      <c r="F8" s="61">
        <v>5.520419854E9</v>
      </c>
      <c r="G8" s="59" t="s">
        <v>247</v>
      </c>
      <c r="H8" s="59" t="s">
        <v>140</v>
      </c>
      <c r="I8" s="59" t="s">
        <v>250</v>
      </c>
      <c r="J8" s="59" t="s">
        <v>251</v>
      </c>
      <c r="K8" s="59" t="s">
        <v>252</v>
      </c>
      <c r="L8" s="61">
        <v>5.511201062E9</v>
      </c>
      <c r="M8" s="59" t="s">
        <v>253</v>
      </c>
      <c r="N8" s="59" t="s">
        <v>254</v>
      </c>
      <c r="O8" s="61">
        <v>5.546900783E9</v>
      </c>
      <c r="P8" s="61">
        <v>14.0</v>
      </c>
      <c r="Q8" s="62">
        <v>46020.53304398148</v>
      </c>
      <c r="R8" s="59" t="s">
        <v>107</v>
      </c>
      <c r="S8" s="59" t="s">
        <v>109</v>
      </c>
      <c r="T8" s="59" t="s">
        <v>208</v>
      </c>
      <c r="U8" s="59" t="s">
        <v>209</v>
      </c>
      <c r="V8" s="59" t="s">
        <v>210</v>
      </c>
      <c r="W8" s="59" t="s">
        <v>211</v>
      </c>
      <c r="X8" s="59" t="s">
        <v>117</v>
      </c>
      <c r="Y8" s="59" t="s">
        <v>259</v>
      </c>
      <c r="Z8" s="59" t="s">
        <v>120</v>
      </c>
      <c r="AA8" s="63"/>
      <c r="AB8" s="59" t="s">
        <v>117</v>
      </c>
      <c r="AC8" s="59" t="s">
        <v>117</v>
      </c>
      <c r="AD8" s="57" t="s">
        <v>261</v>
      </c>
      <c r="AE8" s="59" t="s">
        <v>120</v>
      </c>
      <c r="AF8" s="63"/>
      <c r="AG8" s="59" t="s">
        <v>120</v>
      </c>
      <c r="AH8" s="63"/>
      <c r="AI8" s="59" t="s">
        <v>117</v>
      </c>
      <c r="AJ8" s="59" t="s">
        <v>178</v>
      </c>
      <c r="AK8" s="63"/>
      <c r="AL8" s="59" t="s">
        <v>156</v>
      </c>
      <c r="AM8" s="59" t="s">
        <v>138</v>
      </c>
      <c r="AN8" s="59" t="s">
        <v>156</v>
      </c>
      <c r="AO8" s="59" t="s">
        <v>128</v>
      </c>
      <c r="AP8" s="59"/>
    </row>
    <row r="9" ht="22.5" customHeight="1">
      <c r="A9" s="17" t="s">
        <v>275</v>
      </c>
      <c r="B9" s="17" t="s">
        <v>277</v>
      </c>
      <c r="C9" s="17" t="s">
        <v>278</v>
      </c>
      <c r="D9" s="19">
        <v>41204.0</v>
      </c>
      <c r="E9" s="17" t="s">
        <v>177</v>
      </c>
      <c r="F9" s="21">
        <v>5.582261421E9</v>
      </c>
      <c r="G9" s="17" t="s">
        <v>281</v>
      </c>
      <c r="H9" s="17" t="s">
        <v>140</v>
      </c>
      <c r="I9" s="17" t="s">
        <v>284</v>
      </c>
      <c r="J9" s="17" t="s">
        <v>287</v>
      </c>
      <c r="K9" s="17" t="s">
        <v>289</v>
      </c>
      <c r="L9" s="21">
        <v>5.582261421E9</v>
      </c>
      <c r="M9" s="29"/>
      <c r="N9" s="29"/>
      <c r="O9" s="29"/>
      <c r="P9" s="21">
        <v>13.0</v>
      </c>
      <c r="Q9" s="25">
        <v>46018.59769675926</v>
      </c>
      <c r="R9" s="17" t="s">
        <v>107</v>
      </c>
      <c r="S9" s="17" t="s">
        <v>109</v>
      </c>
      <c r="T9" s="17" t="s">
        <v>204</v>
      </c>
      <c r="U9" s="17" t="s">
        <v>295</v>
      </c>
      <c r="V9" s="17" t="s">
        <v>298</v>
      </c>
      <c r="W9" s="17" t="s">
        <v>299</v>
      </c>
      <c r="X9" s="17" t="s">
        <v>117</v>
      </c>
      <c r="Y9" s="17" t="s">
        <v>301</v>
      </c>
      <c r="Z9" s="17" t="s">
        <v>117</v>
      </c>
      <c r="AA9" s="17" t="s">
        <v>285</v>
      </c>
      <c r="AB9" s="17" t="s">
        <v>117</v>
      </c>
      <c r="AC9" s="17" t="s">
        <v>117</v>
      </c>
      <c r="AD9" s="57" t="s">
        <v>307</v>
      </c>
      <c r="AE9" s="17" t="s">
        <v>120</v>
      </c>
      <c r="AF9" s="29"/>
      <c r="AG9" s="17" t="s">
        <v>120</v>
      </c>
      <c r="AH9" s="29"/>
      <c r="AI9" s="17" t="s">
        <v>120</v>
      </c>
      <c r="AJ9" s="29"/>
      <c r="AK9" s="29"/>
      <c r="AL9" s="17" t="s">
        <v>129</v>
      </c>
      <c r="AM9" s="17" t="s">
        <v>242</v>
      </c>
      <c r="AN9" s="17" t="s">
        <v>124</v>
      </c>
      <c r="AO9" s="17" t="s">
        <v>138</v>
      </c>
      <c r="AP9" s="17"/>
    </row>
    <row r="10" ht="22.5" customHeight="1">
      <c r="A10" s="59" t="s">
        <v>317</v>
      </c>
      <c r="B10" s="59" t="s">
        <v>318</v>
      </c>
      <c r="C10" s="63"/>
      <c r="D10" s="60">
        <v>40518.0</v>
      </c>
      <c r="E10" s="59" t="s">
        <v>177</v>
      </c>
      <c r="F10" s="61">
        <v>5.643224477E9</v>
      </c>
      <c r="G10" s="59" t="s">
        <v>319</v>
      </c>
      <c r="H10" s="59" t="s">
        <v>150</v>
      </c>
      <c r="I10" s="59" t="s">
        <v>320</v>
      </c>
      <c r="J10" s="59" t="s">
        <v>321</v>
      </c>
      <c r="K10" s="59" t="s">
        <v>323</v>
      </c>
      <c r="L10" s="61">
        <v>5.634693681E9</v>
      </c>
      <c r="M10" s="63"/>
      <c r="N10" s="63"/>
      <c r="O10" s="63"/>
      <c r="P10" s="61">
        <v>15.0</v>
      </c>
      <c r="Q10" s="62">
        <v>46033.474803240744</v>
      </c>
      <c r="R10" s="59" t="s">
        <v>107</v>
      </c>
      <c r="S10" s="59" t="s">
        <v>109</v>
      </c>
      <c r="T10" s="59" t="s">
        <v>160</v>
      </c>
      <c r="U10" s="59" t="s">
        <v>329</v>
      </c>
      <c r="V10" s="59" t="s">
        <v>331</v>
      </c>
      <c r="W10" s="59" t="s">
        <v>332</v>
      </c>
      <c r="X10" s="59" t="s">
        <v>117</v>
      </c>
      <c r="Y10" s="59" t="s">
        <v>320</v>
      </c>
      <c r="Z10" s="59" t="s">
        <v>117</v>
      </c>
      <c r="AA10" s="64" t="s">
        <v>333</v>
      </c>
      <c r="AB10" s="59" t="s">
        <v>117</v>
      </c>
      <c r="AC10" s="59" t="s">
        <v>117</v>
      </c>
      <c r="AD10" s="57" t="s">
        <v>334</v>
      </c>
      <c r="AE10" s="59" t="s">
        <v>117</v>
      </c>
      <c r="AF10" s="65" t="s">
        <v>335</v>
      </c>
      <c r="AG10" s="59" t="s">
        <v>120</v>
      </c>
      <c r="AH10" s="63"/>
      <c r="AI10" s="59" t="s">
        <v>120</v>
      </c>
      <c r="AJ10" s="63"/>
      <c r="AK10" s="65" t="s">
        <v>336</v>
      </c>
      <c r="AL10" s="59" t="s">
        <v>185</v>
      </c>
      <c r="AM10" s="59" t="s">
        <v>240</v>
      </c>
      <c r="AN10" s="59" t="s">
        <v>126</v>
      </c>
      <c r="AO10" s="59" t="s">
        <v>124</v>
      </c>
      <c r="AP10" s="59"/>
    </row>
    <row r="11" ht="22.5" customHeight="1">
      <c r="A11" s="17" t="s">
        <v>337</v>
      </c>
      <c r="B11" s="17" t="s">
        <v>338</v>
      </c>
      <c r="C11" s="17" t="s">
        <v>339</v>
      </c>
      <c r="D11" s="19">
        <v>39963.0</v>
      </c>
      <c r="E11" s="17" t="s">
        <v>98</v>
      </c>
      <c r="F11" s="21">
        <v>5.584396993E9</v>
      </c>
      <c r="G11" s="17" t="s">
        <v>340</v>
      </c>
      <c r="H11" s="17" t="s">
        <v>150</v>
      </c>
      <c r="I11" s="17" t="s">
        <v>341</v>
      </c>
      <c r="J11" s="17" t="s">
        <v>342</v>
      </c>
      <c r="K11" s="17" t="s">
        <v>343</v>
      </c>
      <c r="L11" s="21">
        <v>5.513841801E9</v>
      </c>
      <c r="M11" s="17" t="s">
        <v>346</v>
      </c>
      <c r="N11" s="17" t="s">
        <v>348</v>
      </c>
      <c r="O11" s="21">
        <v>5.520670619E9</v>
      </c>
      <c r="P11" s="21">
        <v>16.0</v>
      </c>
      <c r="Q11" s="25">
        <v>46022.50869212963</v>
      </c>
      <c r="R11" s="17" t="s">
        <v>107</v>
      </c>
      <c r="S11" s="17" t="s">
        <v>109</v>
      </c>
      <c r="T11" s="17" t="s">
        <v>204</v>
      </c>
      <c r="U11" s="17" t="s">
        <v>357</v>
      </c>
      <c r="V11" s="17" t="s">
        <v>359</v>
      </c>
      <c r="W11" s="17" t="s">
        <v>362</v>
      </c>
      <c r="X11" s="17" t="s">
        <v>117</v>
      </c>
      <c r="Y11" s="17" t="s">
        <v>363</v>
      </c>
      <c r="Z11" s="17" t="s">
        <v>117</v>
      </c>
      <c r="AA11" s="17" t="s">
        <v>364</v>
      </c>
      <c r="AB11" s="17" t="s">
        <v>117</v>
      </c>
      <c r="AC11" s="17" t="s">
        <v>117</v>
      </c>
      <c r="AD11" s="57" t="s">
        <v>365</v>
      </c>
      <c r="AE11" s="17" t="s">
        <v>117</v>
      </c>
      <c r="AF11" s="17" t="s">
        <v>366</v>
      </c>
      <c r="AG11" s="17" t="s">
        <v>120</v>
      </c>
      <c r="AH11" s="17" t="s">
        <v>120</v>
      </c>
      <c r="AI11" s="17" t="s">
        <v>120</v>
      </c>
      <c r="AJ11" s="17" t="s">
        <v>120</v>
      </c>
      <c r="AK11" s="17" t="s">
        <v>120</v>
      </c>
      <c r="AL11" s="17" t="s">
        <v>141</v>
      </c>
      <c r="AM11" s="17" t="s">
        <v>129</v>
      </c>
      <c r="AN11" s="17" t="s">
        <v>240</v>
      </c>
      <c r="AO11" s="17" t="s">
        <v>138</v>
      </c>
      <c r="AP11" s="17"/>
    </row>
    <row r="12" ht="22.5" customHeight="1">
      <c r="A12" s="59" t="s">
        <v>370</v>
      </c>
      <c r="B12" s="59" t="s">
        <v>372</v>
      </c>
      <c r="C12" s="59" t="s">
        <v>374</v>
      </c>
      <c r="D12" s="60">
        <v>39834.0</v>
      </c>
      <c r="E12" s="59" t="s">
        <v>98</v>
      </c>
      <c r="F12" s="59" t="s">
        <v>378</v>
      </c>
      <c r="G12" s="59" t="s">
        <v>379</v>
      </c>
      <c r="H12" s="59" t="s">
        <v>382</v>
      </c>
      <c r="I12" s="59" t="s">
        <v>384</v>
      </c>
      <c r="J12" s="59" t="s">
        <v>385</v>
      </c>
      <c r="K12" s="59" t="s">
        <v>386</v>
      </c>
      <c r="L12" s="61">
        <v>5.580044851E9</v>
      </c>
      <c r="M12" s="59" t="s">
        <v>390</v>
      </c>
      <c r="N12" s="59" t="s">
        <v>393</v>
      </c>
      <c r="O12" s="61">
        <v>5.519776431E9</v>
      </c>
      <c r="P12" s="61">
        <v>17.0</v>
      </c>
      <c r="Q12" s="62">
        <v>46038.59107638889</v>
      </c>
      <c r="R12" s="59" t="s">
        <v>107</v>
      </c>
      <c r="S12" s="59" t="s">
        <v>109</v>
      </c>
      <c r="T12" s="59" t="s">
        <v>111</v>
      </c>
      <c r="U12" s="59" t="s">
        <v>398</v>
      </c>
      <c r="V12" s="59" t="s">
        <v>399</v>
      </c>
      <c r="W12" s="59" t="s">
        <v>400</v>
      </c>
      <c r="X12" s="59" t="s">
        <v>117</v>
      </c>
      <c r="Y12" s="59" t="s">
        <v>403</v>
      </c>
      <c r="Z12" s="59" t="s">
        <v>117</v>
      </c>
      <c r="AA12" s="59" t="s">
        <v>404</v>
      </c>
      <c r="AB12" s="59" t="s">
        <v>117</v>
      </c>
      <c r="AC12" s="59" t="s">
        <v>117</v>
      </c>
      <c r="AD12" s="57" t="s">
        <v>405</v>
      </c>
      <c r="AE12" s="59" t="s">
        <v>117</v>
      </c>
      <c r="AF12" s="65" t="s">
        <v>406</v>
      </c>
      <c r="AG12" s="59" t="s">
        <v>120</v>
      </c>
      <c r="AH12" s="63"/>
      <c r="AI12" s="59" t="s">
        <v>117</v>
      </c>
      <c r="AJ12" s="59" t="s">
        <v>410</v>
      </c>
      <c r="AK12" s="59" t="s">
        <v>411</v>
      </c>
      <c r="AL12" s="59" t="s">
        <v>138</v>
      </c>
      <c r="AM12" s="59" t="s">
        <v>126</v>
      </c>
      <c r="AN12" s="59" t="s">
        <v>185</v>
      </c>
      <c r="AO12" s="59" t="s">
        <v>156</v>
      </c>
      <c r="AP12" s="59"/>
    </row>
    <row r="13" ht="22.5" customHeight="1">
      <c r="A13" s="17" t="s">
        <v>412</v>
      </c>
      <c r="B13" s="17" t="s">
        <v>413</v>
      </c>
      <c r="C13" s="17" t="s">
        <v>414</v>
      </c>
      <c r="D13" s="19">
        <v>40337.0</v>
      </c>
      <c r="E13" s="17" t="s">
        <v>98</v>
      </c>
      <c r="F13" s="21">
        <v>5.616042907E9</v>
      </c>
      <c r="G13" s="17" t="s">
        <v>415</v>
      </c>
      <c r="H13" s="17" t="s">
        <v>140</v>
      </c>
      <c r="I13" s="17" t="s">
        <v>416</v>
      </c>
      <c r="J13" s="17" t="s">
        <v>417</v>
      </c>
      <c r="K13" s="17" t="s">
        <v>418</v>
      </c>
      <c r="L13" s="21">
        <v>5.530664884E9</v>
      </c>
      <c r="M13" s="29"/>
      <c r="N13" s="29"/>
      <c r="O13" s="29"/>
      <c r="P13" s="21">
        <v>15.0</v>
      </c>
      <c r="Q13" s="25">
        <v>46026.471030092594</v>
      </c>
      <c r="R13" s="17" t="s">
        <v>107</v>
      </c>
      <c r="S13" s="17" t="s">
        <v>109</v>
      </c>
      <c r="T13" s="17" t="s">
        <v>208</v>
      </c>
      <c r="U13" s="17" t="s">
        <v>228</v>
      </c>
      <c r="V13" s="17" t="s">
        <v>229</v>
      </c>
      <c r="W13" s="17" t="s">
        <v>230</v>
      </c>
      <c r="X13" s="17" t="s">
        <v>117</v>
      </c>
      <c r="Y13" s="17" t="s">
        <v>425</v>
      </c>
      <c r="Z13" s="17" t="s">
        <v>117</v>
      </c>
      <c r="AA13" s="17" t="s">
        <v>426</v>
      </c>
      <c r="AB13" s="17" t="s">
        <v>117</v>
      </c>
      <c r="AC13" s="17" t="s">
        <v>117</v>
      </c>
      <c r="AD13" s="57" t="s">
        <v>427</v>
      </c>
      <c r="AE13" s="17" t="s">
        <v>120</v>
      </c>
      <c r="AF13" s="29"/>
      <c r="AG13" s="17" t="s">
        <v>120</v>
      </c>
      <c r="AH13" s="29"/>
      <c r="AI13" s="17" t="s">
        <v>120</v>
      </c>
      <c r="AJ13" s="29"/>
      <c r="AK13" s="29"/>
      <c r="AL13" s="17" t="s">
        <v>126</v>
      </c>
      <c r="AM13" s="17" t="s">
        <v>242</v>
      </c>
      <c r="AN13" s="17" t="s">
        <v>156</v>
      </c>
      <c r="AO13" s="17" t="s">
        <v>124</v>
      </c>
      <c r="AP13" s="17"/>
    </row>
    <row r="14" ht="22.5" customHeight="1">
      <c r="A14" s="59" t="s">
        <v>438</v>
      </c>
      <c r="B14" s="59" t="s">
        <v>441</v>
      </c>
      <c r="C14" s="59" t="s">
        <v>442</v>
      </c>
      <c r="D14" s="60">
        <v>39799.0</v>
      </c>
      <c r="E14" s="59" t="s">
        <v>177</v>
      </c>
      <c r="F14" s="61">
        <v>5.636625277E9</v>
      </c>
      <c r="G14" s="59" t="s">
        <v>443</v>
      </c>
      <c r="H14" s="59" t="s">
        <v>382</v>
      </c>
      <c r="I14" s="59" t="s">
        <v>447</v>
      </c>
      <c r="J14" s="59" t="s">
        <v>448</v>
      </c>
      <c r="K14" s="59" t="s">
        <v>449</v>
      </c>
      <c r="L14" s="61">
        <v>5.571338792E9</v>
      </c>
      <c r="M14" s="63"/>
      <c r="N14" s="63"/>
      <c r="O14" s="63"/>
      <c r="P14" s="61">
        <v>17.0</v>
      </c>
      <c r="Q14" s="62">
        <v>46023.49899305555</v>
      </c>
      <c r="R14" s="59" t="s">
        <v>107</v>
      </c>
      <c r="S14" s="59" t="s">
        <v>109</v>
      </c>
      <c r="T14" s="59" t="s">
        <v>111</v>
      </c>
      <c r="U14" s="59" t="s">
        <v>398</v>
      </c>
      <c r="V14" s="59" t="s">
        <v>399</v>
      </c>
      <c r="W14" s="59" t="s">
        <v>400</v>
      </c>
      <c r="X14" s="59" t="s">
        <v>117</v>
      </c>
      <c r="Y14" s="59" t="s">
        <v>458</v>
      </c>
      <c r="Z14" s="59" t="s">
        <v>117</v>
      </c>
      <c r="AA14" s="59" t="s">
        <v>459</v>
      </c>
      <c r="AB14" s="59" t="s">
        <v>120</v>
      </c>
      <c r="AC14" s="59" t="s">
        <v>117</v>
      </c>
      <c r="AD14" s="59" t="s">
        <v>135</v>
      </c>
      <c r="AE14" s="59" t="s">
        <v>120</v>
      </c>
      <c r="AF14" s="59" t="s">
        <v>135</v>
      </c>
      <c r="AG14" s="59" t="s">
        <v>120</v>
      </c>
      <c r="AH14" s="59" t="s">
        <v>135</v>
      </c>
      <c r="AI14" s="59" t="s">
        <v>120</v>
      </c>
      <c r="AJ14" s="59" t="s">
        <v>135</v>
      </c>
      <c r="AK14" s="59" t="s">
        <v>135</v>
      </c>
      <c r="AL14" s="59" t="s">
        <v>185</v>
      </c>
      <c r="AM14" s="59" t="s">
        <v>242</v>
      </c>
      <c r="AN14" s="59" t="s">
        <v>156</v>
      </c>
      <c r="AO14" s="59" t="s">
        <v>126</v>
      </c>
      <c r="AP14" s="59"/>
    </row>
    <row r="15" ht="22.5" customHeight="1">
      <c r="A15" s="17" t="s">
        <v>460</v>
      </c>
      <c r="B15" s="17" t="s">
        <v>172</v>
      </c>
      <c r="C15" s="17" t="s">
        <v>461</v>
      </c>
      <c r="D15" s="19">
        <v>39802.0</v>
      </c>
      <c r="E15" s="17" t="s">
        <v>177</v>
      </c>
      <c r="F15" s="21">
        <v>5.588010356E9</v>
      </c>
      <c r="G15" s="17" t="s">
        <v>462</v>
      </c>
      <c r="H15" s="17" t="s">
        <v>382</v>
      </c>
      <c r="I15" s="17" t="s">
        <v>458</v>
      </c>
      <c r="J15" s="17" t="s">
        <v>465</v>
      </c>
      <c r="K15" s="17" t="s">
        <v>186</v>
      </c>
      <c r="L15" s="21">
        <v>5.562186745E9</v>
      </c>
      <c r="M15" s="17" t="s">
        <v>468</v>
      </c>
      <c r="N15" s="17" t="s">
        <v>470</v>
      </c>
      <c r="O15" s="21">
        <v>3.41104297E9</v>
      </c>
      <c r="P15" s="21">
        <v>17.0</v>
      </c>
      <c r="Q15" s="25">
        <v>46034.53467592593</v>
      </c>
      <c r="R15" s="17" t="s">
        <v>107</v>
      </c>
      <c r="S15" s="17" t="s">
        <v>109</v>
      </c>
      <c r="T15" s="17" t="s">
        <v>192</v>
      </c>
      <c r="U15" s="17" t="s">
        <v>195</v>
      </c>
      <c r="V15" s="17" t="s">
        <v>198</v>
      </c>
      <c r="W15" s="17" t="s">
        <v>200</v>
      </c>
      <c r="X15" s="17" t="s">
        <v>117</v>
      </c>
      <c r="Y15" s="29"/>
      <c r="Z15" s="17" t="s">
        <v>117</v>
      </c>
      <c r="AA15" s="29"/>
      <c r="AB15" s="17" t="s">
        <v>117</v>
      </c>
      <c r="AC15" s="17" t="s">
        <v>117</v>
      </c>
      <c r="AD15" s="29"/>
      <c r="AE15" s="17" t="s">
        <v>117</v>
      </c>
      <c r="AF15" s="29"/>
      <c r="AG15" s="17" t="s">
        <v>117</v>
      </c>
      <c r="AH15" s="29"/>
      <c r="AI15" s="17" t="s">
        <v>117</v>
      </c>
      <c r="AJ15" s="29"/>
      <c r="AK15" s="29"/>
      <c r="AL15" s="17" t="s">
        <v>138</v>
      </c>
      <c r="AM15" s="17" t="s">
        <v>126</v>
      </c>
      <c r="AN15" s="17" t="s">
        <v>156</v>
      </c>
      <c r="AO15" s="17" t="s">
        <v>185</v>
      </c>
      <c r="AP15" s="17"/>
    </row>
    <row r="16" ht="22.5" customHeight="1">
      <c r="A16" s="59" t="s">
        <v>488</v>
      </c>
      <c r="B16" s="59" t="s">
        <v>489</v>
      </c>
      <c r="C16" s="59" t="s">
        <v>490</v>
      </c>
      <c r="D16" s="60">
        <v>39622.0</v>
      </c>
      <c r="E16" s="59" t="s">
        <v>98</v>
      </c>
      <c r="F16" s="61">
        <v>5.620728299E9</v>
      </c>
      <c r="G16" s="59" t="s">
        <v>491</v>
      </c>
      <c r="H16" s="59" t="s">
        <v>140</v>
      </c>
      <c r="I16" s="59" t="s">
        <v>492</v>
      </c>
      <c r="J16" s="59" t="s">
        <v>493</v>
      </c>
      <c r="K16" s="59" t="s">
        <v>494</v>
      </c>
      <c r="L16" s="61">
        <v>5.578921929E9</v>
      </c>
      <c r="M16" s="59" t="s">
        <v>495</v>
      </c>
      <c r="N16" s="59" t="s">
        <v>496</v>
      </c>
      <c r="O16" s="61">
        <v>5.520848283E9</v>
      </c>
      <c r="P16" s="61">
        <v>17.0</v>
      </c>
      <c r="Q16" s="62">
        <v>46026.802939814814</v>
      </c>
      <c r="R16" s="59" t="s">
        <v>107</v>
      </c>
      <c r="S16" s="59" t="s">
        <v>109</v>
      </c>
      <c r="T16" s="59" t="s">
        <v>160</v>
      </c>
      <c r="U16" s="59" t="s">
        <v>161</v>
      </c>
      <c r="V16" s="59" t="s">
        <v>163</v>
      </c>
      <c r="W16" s="59" t="s">
        <v>165</v>
      </c>
      <c r="X16" s="59" t="s">
        <v>117</v>
      </c>
      <c r="Y16" s="59" t="s">
        <v>500</v>
      </c>
      <c r="Z16" s="59" t="s">
        <v>120</v>
      </c>
      <c r="AA16" s="63"/>
      <c r="AB16" s="59" t="s">
        <v>117</v>
      </c>
      <c r="AC16" s="59" t="s">
        <v>117</v>
      </c>
      <c r="AD16" s="63"/>
      <c r="AE16" s="59" t="s">
        <v>120</v>
      </c>
      <c r="AF16" s="63"/>
      <c r="AG16" s="59" t="s">
        <v>120</v>
      </c>
      <c r="AH16" s="63"/>
      <c r="AI16" s="59" t="s">
        <v>120</v>
      </c>
      <c r="AJ16" s="63"/>
      <c r="AK16" s="63"/>
      <c r="AL16" s="59" t="s">
        <v>126</v>
      </c>
      <c r="AM16" s="59" t="s">
        <v>128</v>
      </c>
      <c r="AN16" s="59" t="s">
        <v>185</v>
      </c>
      <c r="AO16" s="59" t="s">
        <v>124</v>
      </c>
      <c r="AP16" s="59"/>
    </row>
    <row r="17" ht="22.5" customHeight="1">
      <c r="A17" s="17" t="s">
        <v>508</v>
      </c>
      <c r="B17" s="17" t="s">
        <v>509</v>
      </c>
      <c r="C17" s="17" t="s">
        <v>511</v>
      </c>
      <c r="D17" s="19">
        <v>39940.0</v>
      </c>
      <c r="E17" s="17" t="s">
        <v>177</v>
      </c>
      <c r="F17" s="21">
        <v>5.533345076E9</v>
      </c>
      <c r="G17" s="17" t="s">
        <v>515</v>
      </c>
      <c r="H17" s="17" t="s">
        <v>382</v>
      </c>
      <c r="I17" s="17" t="s">
        <v>518</v>
      </c>
      <c r="J17" s="17" t="s">
        <v>520</v>
      </c>
      <c r="K17" s="17" t="s">
        <v>522</v>
      </c>
      <c r="L17" s="21">
        <v>5.662527794E9</v>
      </c>
      <c r="M17" s="17" t="s">
        <v>523</v>
      </c>
      <c r="N17" s="17" t="s">
        <v>524</v>
      </c>
      <c r="O17" s="21">
        <v>5.61861044E9</v>
      </c>
      <c r="P17" s="21">
        <v>16.0</v>
      </c>
      <c r="Q17" s="25">
        <v>46025.05503472222</v>
      </c>
      <c r="R17" s="17" t="s">
        <v>107</v>
      </c>
      <c r="S17" s="17" t="s">
        <v>109</v>
      </c>
      <c r="T17" s="17" t="s">
        <v>127</v>
      </c>
      <c r="U17" s="17" t="s">
        <v>531</v>
      </c>
      <c r="V17" s="17" t="s">
        <v>532</v>
      </c>
      <c r="W17" s="17" t="s">
        <v>534</v>
      </c>
      <c r="X17" s="17" t="s">
        <v>117</v>
      </c>
      <c r="Y17" s="17" t="s">
        <v>538</v>
      </c>
      <c r="Z17" s="17" t="s">
        <v>117</v>
      </c>
      <c r="AA17" s="17" t="s">
        <v>539</v>
      </c>
      <c r="AB17" s="17" t="s">
        <v>117</v>
      </c>
      <c r="AC17" s="17" t="s">
        <v>117</v>
      </c>
      <c r="AD17" s="57" t="s">
        <v>540</v>
      </c>
      <c r="AE17" s="17" t="s">
        <v>120</v>
      </c>
      <c r="AF17" s="29"/>
      <c r="AG17" s="17" t="s">
        <v>120</v>
      </c>
      <c r="AH17" s="29"/>
      <c r="AI17" s="17" t="s">
        <v>120</v>
      </c>
      <c r="AJ17" s="29"/>
      <c r="AK17" s="17" t="s">
        <v>135</v>
      </c>
      <c r="AL17" s="17" t="s">
        <v>141</v>
      </c>
      <c r="AM17" s="17" t="s">
        <v>185</v>
      </c>
      <c r="AN17" s="17" t="s">
        <v>124</v>
      </c>
      <c r="AO17" s="17" t="s">
        <v>138</v>
      </c>
      <c r="AP17" s="17"/>
    </row>
    <row r="18" ht="22.5" customHeight="1">
      <c r="A18" s="59" t="s">
        <v>543</v>
      </c>
      <c r="B18" s="59" t="s">
        <v>544</v>
      </c>
      <c r="C18" s="59" t="s">
        <v>545</v>
      </c>
      <c r="D18" s="60">
        <v>40046.0</v>
      </c>
      <c r="E18" s="59" t="s">
        <v>177</v>
      </c>
      <c r="F18" s="61">
        <v>5.619870319E9</v>
      </c>
      <c r="G18" s="59" t="s">
        <v>547</v>
      </c>
      <c r="H18" s="59" t="s">
        <v>382</v>
      </c>
      <c r="I18" s="59" t="s">
        <v>549</v>
      </c>
      <c r="J18" s="59" t="s">
        <v>200</v>
      </c>
      <c r="K18" s="59" t="s">
        <v>198</v>
      </c>
      <c r="L18" s="61">
        <v>5.554088968E9</v>
      </c>
      <c r="M18" s="63"/>
      <c r="N18" s="63"/>
      <c r="O18" s="63"/>
      <c r="P18" s="61">
        <v>16.0</v>
      </c>
      <c r="Q18" s="62">
        <v>46033.87835648148</v>
      </c>
      <c r="R18" s="59" t="s">
        <v>107</v>
      </c>
      <c r="S18" s="59" t="s">
        <v>109</v>
      </c>
      <c r="T18" s="59" t="s">
        <v>192</v>
      </c>
      <c r="U18" s="59" t="s">
        <v>195</v>
      </c>
      <c r="V18" s="59" t="s">
        <v>198</v>
      </c>
      <c r="W18" s="59" t="s">
        <v>200</v>
      </c>
      <c r="X18" s="59" t="s">
        <v>117</v>
      </c>
      <c r="Y18" s="59" t="s">
        <v>553</v>
      </c>
      <c r="Z18" s="59" t="s">
        <v>117</v>
      </c>
      <c r="AA18" s="64" t="s">
        <v>554</v>
      </c>
      <c r="AB18" s="59" t="s">
        <v>117</v>
      </c>
      <c r="AC18" s="59" t="s">
        <v>117</v>
      </c>
      <c r="AD18" s="57" t="s">
        <v>555</v>
      </c>
      <c r="AE18" s="59" t="s">
        <v>117</v>
      </c>
      <c r="AF18" s="59" t="s">
        <v>557</v>
      </c>
      <c r="AG18" s="59" t="s">
        <v>120</v>
      </c>
      <c r="AH18" s="63"/>
      <c r="AI18" s="59" t="s">
        <v>120</v>
      </c>
      <c r="AJ18" s="63"/>
      <c r="AK18" s="63"/>
      <c r="AL18" s="59" t="s">
        <v>185</v>
      </c>
      <c r="AM18" s="59" t="s">
        <v>126</v>
      </c>
      <c r="AN18" s="59" t="s">
        <v>124</v>
      </c>
      <c r="AO18" s="59" t="s">
        <v>242</v>
      </c>
      <c r="AP18" s="59"/>
    </row>
    <row r="19" ht="22.5" customHeight="1">
      <c r="A19" s="17" t="s">
        <v>561</v>
      </c>
      <c r="B19" s="17" t="s">
        <v>562</v>
      </c>
      <c r="C19" s="17" t="s">
        <v>564</v>
      </c>
      <c r="D19" s="19">
        <v>40627.0</v>
      </c>
      <c r="E19" s="17" t="s">
        <v>98</v>
      </c>
      <c r="F19" s="21">
        <v>8.911147794E9</v>
      </c>
      <c r="G19" s="17" t="s">
        <v>566</v>
      </c>
      <c r="H19" s="17" t="s">
        <v>101</v>
      </c>
      <c r="I19" s="17" t="s">
        <v>567</v>
      </c>
      <c r="J19" s="17" t="s">
        <v>568</v>
      </c>
      <c r="K19" s="17" t="s">
        <v>566</v>
      </c>
      <c r="L19" s="21">
        <v>8.911147794E9</v>
      </c>
      <c r="M19" s="17" t="s">
        <v>571</v>
      </c>
      <c r="N19" s="17" t="s">
        <v>572</v>
      </c>
      <c r="O19" s="21">
        <v>5.543573982E9</v>
      </c>
      <c r="P19" s="21">
        <v>14.0</v>
      </c>
      <c r="Q19" s="25">
        <v>46026.4975</v>
      </c>
      <c r="R19" s="17" t="s">
        <v>107</v>
      </c>
      <c r="S19" s="17" t="s">
        <v>109</v>
      </c>
      <c r="T19" s="17" t="s">
        <v>208</v>
      </c>
      <c r="U19" s="17" t="s">
        <v>228</v>
      </c>
      <c r="V19" s="17" t="s">
        <v>229</v>
      </c>
      <c r="W19" s="17" t="s">
        <v>230</v>
      </c>
      <c r="X19" s="17" t="s">
        <v>117</v>
      </c>
      <c r="Y19" s="17" t="s">
        <v>576</v>
      </c>
      <c r="Z19" s="17" t="s">
        <v>120</v>
      </c>
      <c r="AA19" s="29"/>
      <c r="AB19" s="17" t="s">
        <v>117</v>
      </c>
      <c r="AC19" s="17" t="s">
        <v>117</v>
      </c>
      <c r="AD19" s="57" t="s">
        <v>577</v>
      </c>
      <c r="AE19" s="17" t="s">
        <v>117</v>
      </c>
      <c r="AF19" s="17" t="s">
        <v>578</v>
      </c>
      <c r="AG19" s="17" t="s">
        <v>120</v>
      </c>
      <c r="AH19" s="29"/>
      <c r="AI19" s="17" t="s">
        <v>120</v>
      </c>
      <c r="AJ19" s="29"/>
      <c r="AK19" s="29"/>
      <c r="AL19" s="17" t="s">
        <v>126</v>
      </c>
      <c r="AM19" s="17" t="s">
        <v>185</v>
      </c>
      <c r="AN19" s="17" t="s">
        <v>138</v>
      </c>
      <c r="AO19" s="17" t="s">
        <v>242</v>
      </c>
      <c r="AP19" s="17"/>
    </row>
    <row r="20" ht="22.5" customHeight="1">
      <c r="A20" s="59" t="s">
        <v>580</v>
      </c>
      <c r="B20" s="59" t="s">
        <v>581</v>
      </c>
      <c r="C20" s="59" t="s">
        <v>582</v>
      </c>
      <c r="D20" s="60">
        <v>39669.0</v>
      </c>
      <c r="E20" s="59" t="s">
        <v>177</v>
      </c>
      <c r="F20" s="61">
        <v>5.527578972E9</v>
      </c>
      <c r="G20" s="59" t="s">
        <v>583</v>
      </c>
      <c r="H20" s="59" t="s">
        <v>382</v>
      </c>
      <c r="I20" s="59" t="s">
        <v>584</v>
      </c>
      <c r="J20" s="59" t="s">
        <v>585</v>
      </c>
      <c r="K20" s="59" t="s">
        <v>583</v>
      </c>
      <c r="L20" s="61">
        <v>5.515055669E9</v>
      </c>
      <c r="M20" s="63"/>
      <c r="N20" s="63"/>
      <c r="O20" s="63"/>
      <c r="P20" s="61">
        <v>17.0</v>
      </c>
      <c r="Q20" s="62">
        <v>46025.85971064815</v>
      </c>
      <c r="R20" s="59" t="s">
        <v>107</v>
      </c>
      <c r="S20" s="59" t="s">
        <v>109</v>
      </c>
      <c r="T20" s="59" t="s">
        <v>204</v>
      </c>
      <c r="U20" s="59" t="s">
        <v>367</v>
      </c>
      <c r="V20" s="59" t="s">
        <v>368</v>
      </c>
      <c r="W20" s="59" t="s">
        <v>369</v>
      </c>
      <c r="X20" s="59" t="s">
        <v>117</v>
      </c>
      <c r="Y20" s="59" t="s">
        <v>586</v>
      </c>
      <c r="Z20" s="59" t="s">
        <v>117</v>
      </c>
      <c r="AA20" s="63"/>
      <c r="AB20" s="59" t="s">
        <v>117</v>
      </c>
      <c r="AC20" s="59" t="s">
        <v>117</v>
      </c>
      <c r="AD20" s="63"/>
      <c r="AE20" s="59" t="s">
        <v>117</v>
      </c>
      <c r="AF20" s="63"/>
      <c r="AG20" s="59" t="s">
        <v>117</v>
      </c>
      <c r="AH20" s="63"/>
      <c r="AI20" s="59" t="s">
        <v>117</v>
      </c>
      <c r="AJ20" s="63"/>
      <c r="AK20" s="63"/>
      <c r="AL20" s="59" t="s">
        <v>141</v>
      </c>
      <c r="AM20" s="59" t="s">
        <v>240</v>
      </c>
      <c r="AN20" s="59" t="s">
        <v>242</v>
      </c>
      <c r="AO20" s="59" t="s">
        <v>138</v>
      </c>
      <c r="AP20" s="59"/>
    </row>
    <row r="21" ht="22.5" customHeight="1">
      <c r="A21" s="17" t="s">
        <v>605</v>
      </c>
      <c r="B21" s="17" t="s">
        <v>606</v>
      </c>
      <c r="C21" s="17" t="s">
        <v>607</v>
      </c>
      <c r="D21" s="19">
        <v>39870.0</v>
      </c>
      <c r="E21" s="17" t="s">
        <v>177</v>
      </c>
      <c r="F21" s="21">
        <v>5.636728152E9</v>
      </c>
      <c r="G21" s="17" t="s">
        <v>608</v>
      </c>
      <c r="H21" s="17" t="s">
        <v>140</v>
      </c>
      <c r="I21" s="29"/>
      <c r="J21" s="17" t="s">
        <v>610</v>
      </c>
      <c r="K21" s="17" t="s">
        <v>613</v>
      </c>
      <c r="L21" s="21">
        <v>5.531394312E9</v>
      </c>
      <c r="M21" s="29"/>
      <c r="N21" s="29"/>
      <c r="O21" s="29"/>
      <c r="P21" s="21">
        <v>17.0</v>
      </c>
      <c r="Q21" s="25">
        <v>46027.06466435185</v>
      </c>
      <c r="R21" s="17" t="s">
        <v>107</v>
      </c>
      <c r="S21" s="17" t="s">
        <v>109</v>
      </c>
      <c r="T21" s="17" t="s">
        <v>208</v>
      </c>
      <c r="U21" s="17" t="s">
        <v>228</v>
      </c>
      <c r="V21" s="17" t="s">
        <v>229</v>
      </c>
      <c r="W21" s="17" t="s">
        <v>230</v>
      </c>
      <c r="X21" s="17" t="s">
        <v>117</v>
      </c>
      <c r="Y21" s="29"/>
      <c r="Z21" s="17" t="s">
        <v>117</v>
      </c>
      <c r="AA21" s="29"/>
      <c r="AB21" s="17" t="s">
        <v>117</v>
      </c>
      <c r="AC21" s="29"/>
      <c r="AD21" s="29"/>
      <c r="AE21" s="17" t="s">
        <v>117</v>
      </c>
      <c r="AF21" s="29"/>
      <c r="AG21" s="17" t="s">
        <v>117</v>
      </c>
      <c r="AH21" s="29"/>
      <c r="AI21" s="17" t="s">
        <v>117</v>
      </c>
      <c r="AJ21" s="29"/>
      <c r="AK21" s="29"/>
      <c r="AL21" s="17" t="s">
        <v>141</v>
      </c>
      <c r="AM21" s="17" t="s">
        <v>138</v>
      </c>
      <c r="AN21" s="17" t="s">
        <v>185</v>
      </c>
      <c r="AO21" s="17" t="s">
        <v>156</v>
      </c>
      <c r="AP21" s="17"/>
    </row>
    <row r="22" ht="22.5" customHeight="1">
      <c r="A22" s="59" t="s">
        <v>623</v>
      </c>
      <c r="B22" s="59" t="s">
        <v>625</v>
      </c>
      <c r="C22" s="59" t="s">
        <v>627</v>
      </c>
      <c r="D22" s="60">
        <v>40642.0</v>
      </c>
      <c r="E22" s="59" t="s">
        <v>177</v>
      </c>
      <c r="F22" s="61">
        <v>5.564909632E9</v>
      </c>
      <c r="G22" s="59" t="s">
        <v>633</v>
      </c>
      <c r="H22" s="59" t="s">
        <v>140</v>
      </c>
      <c r="I22" s="63"/>
      <c r="J22" s="59" t="s">
        <v>636</v>
      </c>
      <c r="K22" s="59" t="s">
        <v>633</v>
      </c>
      <c r="L22" s="61">
        <v>5.560970646E9</v>
      </c>
      <c r="M22" s="63"/>
      <c r="N22" s="63"/>
      <c r="O22" s="63"/>
      <c r="P22" s="61">
        <v>14.0</v>
      </c>
      <c r="Q22" s="62">
        <v>46040.84354166667</v>
      </c>
      <c r="R22" s="59" t="s">
        <v>260</v>
      </c>
      <c r="S22" s="59" t="s">
        <v>109</v>
      </c>
      <c r="T22" s="59" t="s">
        <v>111</v>
      </c>
      <c r="U22" s="59" t="s">
        <v>407</v>
      </c>
      <c r="V22" s="59" t="s">
        <v>408</v>
      </c>
      <c r="W22" s="59" t="s">
        <v>409</v>
      </c>
      <c r="X22" s="59" t="s">
        <v>117</v>
      </c>
      <c r="Y22" s="63"/>
      <c r="Z22" s="59" t="s">
        <v>117</v>
      </c>
      <c r="AA22" s="63"/>
      <c r="AB22" s="59" t="s">
        <v>117</v>
      </c>
      <c r="AC22" s="59" t="s">
        <v>117</v>
      </c>
      <c r="AD22" s="63"/>
      <c r="AE22" s="59" t="s">
        <v>117</v>
      </c>
      <c r="AF22" s="63"/>
      <c r="AG22" s="59" t="s">
        <v>117</v>
      </c>
      <c r="AH22" s="63"/>
      <c r="AI22" s="59" t="s">
        <v>117</v>
      </c>
      <c r="AJ22" s="63"/>
      <c r="AK22" s="63"/>
      <c r="AL22" s="59" t="s">
        <v>128</v>
      </c>
      <c r="AM22" s="59" t="s">
        <v>138</v>
      </c>
      <c r="AN22" s="59" t="s">
        <v>242</v>
      </c>
      <c r="AO22" s="59" t="s">
        <v>156</v>
      </c>
      <c r="AP22" s="59"/>
    </row>
    <row r="23" ht="22.5" customHeight="1">
      <c r="A23" s="17" t="s">
        <v>660</v>
      </c>
      <c r="B23" s="17" t="s">
        <v>663</v>
      </c>
      <c r="C23" s="17" t="s">
        <v>665</v>
      </c>
      <c r="D23" s="19">
        <v>39569.0</v>
      </c>
      <c r="E23" s="17" t="s">
        <v>177</v>
      </c>
      <c r="F23" s="21">
        <v>5.512167565E9</v>
      </c>
      <c r="G23" s="17" t="s">
        <v>668</v>
      </c>
      <c r="H23" s="17" t="s">
        <v>150</v>
      </c>
      <c r="I23" s="17" t="s">
        <v>135</v>
      </c>
      <c r="J23" s="17" t="s">
        <v>669</v>
      </c>
      <c r="K23" s="17" t="s">
        <v>670</v>
      </c>
      <c r="L23" s="21">
        <v>5.523287678E9</v>
      </c>
      <c r="M23" s="29"/>
      <c r="N23" s="29"/>
      <c r="O23" s="29"/>
      <c r="P23" s="21">
        <v>17.0</v>
      </c>
      <c r="Q23" s="25">
        <v>46024.72972222222</v>
      </c>
      <c r="R23" s="17" t="s">
        <v>107</v>
      </c>
      <c r="S23" s="17" t="s">
        <v>109</v>
      </c>
      <c r="T23" s="17" t="s">
        <v>127</v>
      </c>
      <c r="U23" s="17" t="s">
        <v>672</v>
      </c>
      <c r="V23" s="17" t="s">
        <v>673</v>
      </c>
      <c r="W23" s="17" t="s">
        <v>674</v>
      </c>
      <c r="X23" s="17" t="s">
        <v>117</v>
      </c>
      <c r="Y23" s="29"/>
      <c r="Z23" s="17" t="s">
        <v>117</v>
      </c>
      <c r="AA23" s="29"/>
      <c r="AB23" s="17" t="s">
        <v>117</v>
      </c>
      <c r="AC23" s="17" t="s">
        <v>117</v>
      </c>
      <c r="AD23" s="29"/>
      <c r="AE23" s="17" t="s">
        <v>117</v>
      </c>
      <c r="AF23" s="29"/>
      <c r="AG23" s="17" t="s">
        <v>117</v>
      </c>
      <c r="AH23" s="29"/>
      <c r="AI23" s="17" t="s">
        <v>117</v>
      </c>
      <c r="AJ23" s="29"/>
      <c r="AK23" s="29"/>
      <c r="AL23" s="17" t="s">
        <v>129</v>
      </c>
      <c r="AM23" s="17" t="s">
        <v>129</v>
      </c>
      <c r="AN23" s="17" t="s">
        <v>138</v>
      </c>
      <c r="AO23" s="17" t="s">
        <v>156</v>
      </c>
      <c r="AP23" s="17"/>
    </row>
    <row r="24" ht="22.5" customHeight="1">
      <c r="A24" s="59" t="s">
        <v>685</v>
      </c>
      <c r="B24" s="59" t="s">
        <v>687</v>
      </c>
      <c r="C24" s="59" t="s">
        <v>688</v>
      </c>
      <c r="D24" s="60">
        <v>41035.0</v>
      </c>
      <c r="E24" s="59" t="s">
        <v>98</v>
      </c>
      <c r="F24" s="59" t="s">
        <v>692</v>
      </c>
      <c r="G24" s="59" t="s">
        <v>694</v>
      </c>
      <c r="H24" s="59" t="s">
        <v>140</v>
      </c>
      <c r="I24" s="63"/>
      <c r="J24" s="59" t="s">
        <v>695</v>
      </c>
      <c r="K24" s="59" t="s">
        <v>694</v>
      </c>
      <c r="L24" s="61">
        <v>5.572462114E9</v>
      </c>
      <c r="M24" s="63"/>
      <c r="N24" s="63"/>
      <c r="O24" s="63"/>
      <c r="P24" s="61">
        <v>13.0</v>
      </c>
      <c r="Q24" s="62">
        <v>46021.86675925926</v>
      </c>
      <c r="R24" s="59" t="s">
        <v>107</v>
      </c>
      <c r="S24" s="59" t="s">
        <v>109</v>
      </c>
      <c r="T24" s="59" t="s">
        <v>204</v>
      </c>
      <c r="U24" s="59" t="s">
        <v>699</v>
      </c>
      <c r="V24" s="59" t="s">
        <v>700</v>
      </c>
      <c r="W24" s="59" t="s">
        <v>702</v>
      </c>
      <c r="X24" s="59" t="s">
        <v>117</v>
      </c>
      <c r="Y24" s="63"/>
      <c r="Z24" s="59" t="s">
        <v>117</v>
      </c>
      <c r="AA24" s="63"/>
      <c r="AB24" s="59" t="s">
        <v>117</v>
      </c>
      <c r="AC24" s="63"/>
      <c r="AD24" s="63"/>
      <c r="AE24" s="59" t="s">
        <v>117</v>
      </c>
      <c r="AF24" s="63"/>
      <c r="AG24" s="59" t="s">
        <v>117</v>
      </c>
      <c r="AH24" s="63"/>
      <c r="AI24" s="59" t="s">
        <v>117</v>
      </c>
      <c r="AJ24" s="63"/>
      <c r="AK24" s="63"/>
      <c r="AL24" s="59" t="s">
        <v>141</v>
      </c>
      <c r="AM24" s="59" t="s">
        <v>141</v>
      </c>
      <c r="AN24" s="59" t="s">
        <v>141</v>
      </c>
      <c r="AO24" s="59" t="s">
        <v>141</v>
      </c>
      <c r="AP24" s="59"/>
    </row>
    <row r="25" ht="22.5" customHeight="1">
      <c r="A25" s="17" t="s">
        <v>710</v>
      </c>
      <c r="B25" s="17" t="s">
        <v>712</v>
      </c>
      <c r="C25" s="17" t="s">
        <v>714</v>
      </c>
      <c r="D25" s="19">
        <v>39980.0</v>
      </c>
      <c r="E25" s="17" t="s">
        <v>98</v>
      </c>
      <c r="F25" s="17" t="s">
        <v>715</v>
      </c>
      <c r="G25" s="17" t="s">
        <v>716</v>
      </c>
      <c r="H25" s="17" t="s">
        <v>140</v>
      </c>
      <c r="I25" s="29"/>
      <c r="J25" s="17" t="s">
        <v>717</v>
      </c>
      <c r="K25" s="17" t="s">
        <v>716</v>
      </c>
      <c r="L25" s="21">
        <v>5.513813704E9</v>
      </c>
      <c r="M25" s="29"/>
      <c r="N25" s="29"/>
      <c r="O25" s="29"/>
      <c r="P25" s="21">
        <v>16.0</v>
      </c>
      <c r="Q25" s="25">
        <v>46040.44840277778</v>
      </c>
      <c r="R25" s="17" t="s">
        <v>107</v>
      </c>
      <c r="S25" s="17" t="s">
        <v>109</v>
      </c>
      <c r="T25" s="17" t="s">
        <v>192</v>
      </c>
      <c r="U25" s="17" t="s">
        <v>485</v>
      </c>
      <c r="V25" s="17" t="s">
        <v>486</v>
      </c>
      <c r="W25" s="17" t="s">
        <v>487</v>
      </c>
      <c r="X25" s="17" t="s">
        <v>117</v>
      </c>
      <c r="Y25" s="29"/>
      <c r="Z25" s="17" t="s">
        <v>117</v>
      </c>
      <c r="AA25" s="29"/>
      <c r="AB25" s="17" t="s">
        <v>117</v>
      </c>
      <c r="AC25" s="29"/>
      <c r="AD25" s="29"/>
      <c r="AE25" s="17" t="s">
        <v>117</v>
      </c>
      <c r="AF25" s="29"/>
      <c r="AG25" s="17" t="s">
        <v>117</v>
      </c>
      <c r="AH25" s="29"/>
      <c r="AI25" s="17" t="s">
        <v>117</v>
      </c>
      <c r="AJ25" s="29"/>
      <c r="AK25" s="29"/>
      <c r="AL25" s="17" t="s">
        <v>129</v>
      </c>
      <c r="AM25" s="17" t="s">
        <v>141</v>
      </c>
      <c r="AN25" s="17" t="s">
        <v>240</v>
      </c>
      <c r="AO25" s="17" t="s">
        <v>128</v>
      </c>
      <c r="AP25" s="17"/>
    </row>
    <row r="26" ht="22.5" customHeight="1">
      <c r="A26" s="59" t="s">
        <v>724</v>
      </c>
      <c r="B26" s="59" t="s">
        <v>725</v>
      </c>
      <c r="C26" s="59" t="s">
        <v>726</v>
      </c>
      <c r="D26" s="60">
        <v>39961.0</v>
      </c>
      <c r="E26" s="59" t="s">
        <v>98</v>
      </c>
      <c r="F26" s="61">
        <v>5.514909252E9</v>
      </c>
      <c r="G26" s="59" t="s">
        <v>727</v>
      </c>
      <c r="H26" s="59" t="s">
        <v>140</v>
      </c>
      <c r="I26" s="63"/>
      <c r="J26" s="59" t="s">
        <v>728</v>
      </c>
      <c r="K26" s="59" t="s">
        <v>729</v>
      </c>
      <c r="L26" s="61">
        <v>5.514909252E9</v>
      </c>
      <c r="M26" s="63"/>
      <c r="N26" s="63"/>
      <c r="O26" s="63"/>
      <c r="P26" s="61">
        <v>16.0</v>
      </c>
      <c r="Q26" s="62">
        <v>46038.79127314815</v>
      </c>
      <c r="R26" s="59" t="s">
        <v>107</v>
      </c>
      <c r="S26" s="59" t="s">
        <v>109</v>
      </c>
      <c r="T26" s="59" t="s">
        <v>111</v>
      </c>
      <c r="U26" s="59" t="s">
        <v>407</v>
      </c>
      <c r="V26" s="59" t="s">
        <v>408</v>
      </c>
      <c r="W26" s="59" t="s">
        <v>409</v>
      </c>
      <c r="X26" s="59" t="s">
        <v>117</v>
      </c>
      <c r="Y26" s="63"/>
      <c r="Z26" s="59" t="s">
        <v>117</v>
      </c>
      <c r="AA26" s="63"/>
      <c r="AB26" s="59" t="s">
        <v>117</v>
      </c>
      <c r="AC26" s="59" t="s">
        <v>117</v>
      </c>
      <c r="AD26" s="63"/>
      <c r="AE26" s="59" t="s">
        <v>117</v>
      </c>
      <c r="AF26" s="63"/>
      <c r="AG26" s="59" t="s">
        <v>117</v>
      </c>
      <c r="AH26" s="63"/>
      <c r="AI26" s="59" t="s">
        <v>117</v>
      </c>
      <c r="AJ26" s="63"/>
      <c r="AK26" s="63"/>
      <c r="AL26" s="59" t="s">
        <v>141</v>
      </c>
      <c r="AM26" s="59" t="s">
        <v>242</v>
      </c>
      <c r="AN26" s="59" t="s">
        <v>128</v>
      </c>
      <c r="AO26" s="59" t="s">
        <v>138</v>
      </c>
      <c r="AP26" s="59"/>
    </row>
    <row r="27" ht="22.5" customHeight="1">
      <c r="A27" s="17" t="s">
        <v>744</v>
      </c>
      <c r="B27" s="17" t="s">
        <v>746</v>
      </c>
      <c r="C27" s="17" t="s">
        <v>747</v>
      </c>
      <c r="D27" s="19">
        <v>40295.0</v>
      </c>
      <c r="E27" s="17" t="s">
        <v>177</v>
      </c>
      <c r="F27" s="21">
        <v>5.575353004E9</v>
      </c>
      <c r="G27" s="17" t="s">
        <v>748</v>
      </c>
      <c r="H27" s="17" t="s">
        <v>101</v>
      </c>
      <c r="I27" s="29"/>
      <c r="J27" s="17" t="s">
        <v>752</v>
      </c>
      <c r="K27" s="17" t="s">
        <v>748</v>
      </c>
      <c r="L27" s="21">
        <v>5.510969087E9</v>
      </c>
      <c r="M27" s="29"/>
      <c r="N27" s="29"/>
      <c r="O27" s="29"/>
      <c r="P27" s="21">
        <v>15.0</v>
      </c>
      <c r="Q27" s="25">
        <v>46040.768958333334</v>
      </c>
      <c r="R27" s="17" t="s">
        <v>107</v>
      </c>
      <c r="S27" s="17" t="s">
        <v>109</v>
      </c>
      <c r="T27" s="17" t="s">
        <v>111</v>
      </c>
      <c r="U27" s="17" t="s">
        <v>407</v>
      </c>
      <c r="V27" s="17" t="s">
        <v>408</v>
      </c>
      <c r="W27" s="17" t="s">
        <v>409</v>
      </c>
      <c r="X27" s="17" t="s">
        <v>117</v>
      </c>
      <c r="Y27" s="29"/>
      <c r="Z27" s="17" t="s">
        <v>117</v>
      </c>
      <c r="AA27" s="29"/>
      <c r="AB27" s="17" t="s">
        <v>117</v>
      </c>
      <c r="AC27" s="17" t="s">
        <v>117</v>
      </c>
      <c r="AD27" s="29"/>
      <c r="AE27" s="17" t="s">
        <v>117</v>
      </c>
      <c r="AF27" s="29"/>
      <c r="AG27" s="17" t="s">
        <v>117</v>
      </c>
      <c r="AH27" s="29"/>
      <c r="AI27" s="17" t="s">
        <v>117</v>
      </c>
      <c r="AJ27" s="29"/>
      <c r="AK27" s="29"/>
      <c r="AL27" s="17" t="s">
        <v>242</v>
      </c>
      <c r="AM27" s="17" t="s">
        <v>128</v>
      </c>
      <c r="AN27" s="17" t="s">
        <v>138</v>
      </c>
      <c r="AO27" s="17" t="s">
        <v>128</v>
      </c>
      <c r="AP27" s="17"/>
    </row>
    <row r="28" ht="22.5" customHeight="1">
      <c r="A28" s="59" t="s">
        <v>760</v>
      </c>
      <c r="B28" s="59" t="s">
        <v>762</v>
      </c>
      <c r="C28" s="59" t="s">
        <v>763</v>
      </c>
      <c r="D28" s="60">
        <v>40719.0</v>
      </c>
      <c r="E28" s="59" t="s">
        <v>98</v>
      </c>
      <c r="F28" s="61">
        <v>5.534749703E9</v>
      </c>
      <c r="G28" s="59" t="s">
        <v>764</v>
      </c>
      <c r="H28" s="59" t="s">
        <v>140</v>
      </c>
      <c r="I28" s="63"/>
      <c r="J28" s="59" t="s">
        <v>765</v>
      </c>
      <c r="K28" s="59" t="s">
        <v>764</v>
      </c>
      <c r="L28" s="61">
        <v>5.581061672E9</v>
      </c>
      <c r="M28" s="63"/>
      <c r="N28" s="63"/>
      <c r="O28" s="63"/>
      <c r="P28" s="61">
        <v>14.0</v>
      </c>
      <c r="Q28" s="62">
        <v>46040.77322916667</v>
      </c>
      <c r="R28" s="59" t="s">
        <v>107</v>
      </c>
      <c r="S28" s="59" t="s">
        <v>109</v>
      </c>
      <c r="T28" s="59" t="s">
        <v>111</v>
      </c>
      <c r="U28" s="59" t="s">
        <v>407</v>
      </c>
      <c r="V28" s="59" t="s">
        <v>408</v>
      </c>
      <c r="W28" s="59" t="s">
        <v>409</v>
      </c>
      <c r="X28" s="59" t="s">
        <v>117</v>
      </c>
      <c r="Y28" s="63"/>
      <c r="Z28" s="59" t="s">
        <v>117</v>
      </c>
      <c r="AA28" s="63"/>
      <c r="AB28" s="59" t="s">
        <v>117</v>
      </c>
      <c r="AC28" s="59" t="s">
        <v>117</v>
      </c>
      <c r="AD28" s="63"/>
      <c r="AE28" s="59" t="s">
        <v>117</v>
      </c>
      <c r="AF28" s="63"/>
      <c r="AG28" s="59" t="s">
        <v>117</v>
      </c>
      <c r="AH28" s="63"/>
      <c r="AI28" s="59" t="s">
        <v>117</v>
      </c>
      <c r="AJ28" s="63"/>
      <c r="AK28" s="63"/>
      <c r="AL28" s="59" t="s">
        <v>128</v>
      </c>
      <c r="AM28" s="59" t="s">
        <v>156</v>
      </c>
      <c r="AN28" s="59" t="s">
        <v>138</v>
      </c>
      <c r="AO28" s="59" t="s">
        <v>242</v>
      </c>
      <c r="AP28" s="59"/>
    </row>
    <row r="29" ht="22.5" customHeight="1">
      <c r="A29" s="17" t="s">
        <v>772</v>
      </c>
      <c r="B29" s="17" t="s">
        <v>774</v>
      </c>
      <c r="C29" s="17" t="s">
        <v>775</v>
      </c>
      <c r="D29" s="19">
        <v>39823.0</v>
      </c>
      <c r="E29" s="17" t="s">
        <v>98</v>
      </c>
      <c r="F29" s="21">
        <v>5.543873856E9</v>
      </c>
      <c r="G29" s="17" t="s">
        <v>777</v>
      </c>
      <c r="H29" s="17" t="s">
        <v>140</v>
      </c>
      <c r="I29" s="29"/>
      <c r="J29" s="17" t="s">
        <v>778</v>
      </c>
      <c r="K29" s="17" t="s">
        <v>408</v>
      </c>
      <c r="L29" s="21">
        <v>5.584756348E9</v>
      </c>
      <c r="M29" s="29"/>
      <c r="N29" s="29"/>
      <c r="O29" s="29"/>
      <c r="P29" s="21">
        <v>17.0</v>
      </c>
      <c r="Q29" s="25">
        <v>46038.765625</v>
      </c>
      <c r="R29" s="17" t="s">
        <v>107</v>
      </c>
      <c r="S29" s="17" t="s">
        <v>109</v>
      </c>
      <c r="T29" s="17" t="s">
        <v>111</v>
      </c>
      <c r="U29" s="17" t="s">
        <v>407</v>
      </c>
      <c r="V29" s="17" t="s">
        <v>408</v>
      </c>
      <c r="W29" s="17" t="s">
        <v>409</v>
      </c>
      <c r="X29" s="17" t="s">
        <v>117</v>
      </c>
      <c r="Y29" s="29"/>
      <c r="Z29" s="17" t="s">
        <v>117</v>
      </c>
      <c r="AA29" s="29"/>
      <c r="AB29" s="17" t="s">
        <v>117</v>
      </c>
      <c r="AC29" s="17" t="s">
        <v>117</v>
      </c>
      <c r="AD29" s="29"/>
      <c r="AE29" s="17" t="s">
        <v>117</v>
      </c>
      <c r="AF29" s="29"/>
      <c r="AG29" s="17" t="s">
        <v>117</v>
      </c>
      <c r="AH29" s="29"/>
      <c r="AI29" s="17" t="s">
        <v>117</v>
      </c>
      <c r="AJ29" s="29"/>
      <c r="AK29" s="29"/>
      <c r="AL29" s="17" t="s">
        <v>138</v>
      </c>
      <c r="AM29" s="17" t="s">
        <v>124</v>
      </c>
      <c r="AN29" s="17" t="s">
        <v>128</v>
      </c>
      <c r="AO29" s="17" t="s">
        <v>242</v>
      </c>
      <c r="AP29" s="17"/>
    </row>
    <row r="30" ht="22.5" customHeight="1">
      <c r="A30" s="59" t="s">
        <v>796</v>
      </c>
      <c r="B30" s="59" t="s">
        <v>798</v>
      </c>
      <c r="C30" s="59" t="s">
        <v>799</v>
      </c>
      <c r="D30" s="60">
        <v>40287.0</v>
      </c>
      <c r="E30" s="59" t="s">
        <v>98</v>
      </c>
      <c r="F30" s="61">
        <f>+525572335626</f>
        <v>525572335626</v>
      </c>
      <c r="G30" s="59" t="s">
        <v>802</v>
      </c>
      <c r="H30" s="59" t="s">
        <v>101</v>
      </c>
      <c r="I30" s="63"/>
      <c r="J30" s="59" t="s">
        <v>803</v>
      </c>
      <c r="K30" s="59" t="s">
        <v>804</v>
      </c>
      <c r="L30" s="61">
        <v>5.568062583E9</v>
      </c>
      <c r="M30" s="63"/>
      <c r="N30" s="63"/>
      <c r="O30" s="63"/>
      <c r="P30" s="61">
        <v>15.0</v>
      </c>
      <c r="Q30" s="62">
        <v>46034.365648148145</v>
      </c>
      <c r="R30" s="59" t="s">
        <v>107</v>
      </c>
      <c r="S30" s="59" t="s">
        <v>109</v>
      </c>
      <c r="T30" s="59" t="s">
        <v>111</v>
      </c>
      <c r="U30" s="59" t="s">
        <v>112</v>
      </c>
      <c r="V30" s="59" t="s">
        <v>114</v>
      </c>
      <c r="W30" s="59" t="s">
        <v>115</v>
      </c>
      <c r="X30" s="59" t="s">
        <v>117</v>
      </c>
      <c r="Y30" s="59" t="s">
        <v>808</v>
      </c>
      <c r="Z30" s="59" t="s">
        <v>117</v>
      </c>
      <c r="AA30" s="59" t="s">
        <v>808</v>
      </c>
      <c r="AB30" s="59" t="s">
        <v>117</v>
      </c>
      <c r="AC30" s="59" t="s">
        <v>117</v>
      </c>
      <c r="AD30" s="59" t="s">
        <v>808</v>
      </c>
      <c r="AE30" s="59" t="s">
        <v>117</v>
      </c>
      <c r="AF30" s="59" t="s">
        <v>808</v>
      </c>
      <c r="AG30" s="59" t="s">
        <v>117</v>
      </c>
      <c r="AH30" s="59" t="s">
        <v>808</v>
      </c>
      <c r="AI30" s="59" t="s">
        <v>117</v>
      </c>
      <c r="AJ30" s="59" t="s">
        <v>808</v>
      </c>
      <c r="AK30" s="59" t="s">
        <v>808</v>
      </c>
      <c r="AL30" s="59" t="s">
        <v>138</v>
      </c>
      <c r="AM30" s="59" t="s">
        <v>141</v>
      </c>
      <c r="AN30" s="59" t="s">
        <v>156</v>
      </c>
      <c r="AO30" s="59" t="s">
        <v>124</v>
      </c>
      <c r="AP30" s="59"/>
    </row>
    <row r="31" ht="22.5" customHeight="1">
      <c r="A31" s="17" t="s">
        <v>815</v>
      </c>
      <c r="B31" s="17" t="s">
        <v>816</v>
      </c>
      <c r="C31" s="17" t="s">
        <v>817</v>
      </c>
      <c r="D31" s="19">
        <v>39582.0</v>
      </c>
      <c r="E31" s="17" t="s">
        <v>177</v>
      </c>
      <c r="F31" s="21">
        <v>5.516520403E9</v>
      </c>
      <c r="G31" s="17" t="s">
        <v>818</v>
      </c>
      <c r="H31" s="17" t="s">
        <v>110</v>
      </c>
      <c r="I31" s="17" t="s">
        <v>820</v>
      </c>
      <c r="J31" s="17" t="s">
        <v>822</v>
      </c>
      <c r="K31" s="17" t="s">
        <v>824</v>
      </c>
      <c r="L31" s="21">
        <v>5.621400748E9</v>
      </c>
      <c r="M31" s="29"/>
      <c r="N31" s="29"/>
      <c r="O31" s="29"/>
      <c r="P31" s="21">
        <v>17.0</v>
      </c>
      <c r="Q31" s="25">
        <v>46020.814722222225</v>
      </c>
      <c r="R31" s="17" t="s">
        <v>107</v>
      </c>
      <c r="S31" s="17" t="s">
        <v>109</v>
      </c>
      <c r="T31" s="17" t="s">
        <v>204</v>
      </c>
      <c r="U31" s="17" t="s">
        <v>311</v>
      </c>
      <c r="V31" s="17" t="s">
        <v>312</v>
      </c>
      <c r="W31" s="17" t="s">
        <v>313</v>
      </c>
      <c r="X31" s="17" t="s">
        <v>117</v>
      </c>
      <c r="Y31" s="17" t="s">
        <v>808</v>
      </c>
      <c r="Z31" s="17" t="s">
        <v>117</v>
      </c>
      <c r="AA31" s="17" t="s">
        <v>808</v>
      </c>
      <c r="AB31" s="17" t="s">
        <v>117</v>
      </c>
      <c r="AC31" s="17" t="s">
        <v>117</v>
      </c>
      <c r="AD31" s="17" t="s">
        <v>808</v>
      </c>
      <c r="AE31" s="17" t="s">
        <v>117</v>
      </c>
      <c r="AF31" s="17" t="s">
        <v>808</v>
      </c>
      <c r="AG31" s="17" t="s">
        <v>117</v>
      </c>
      <c r="AH31" s="17" t="s">
        <v>808</v>
      </c>
      <c r="AI31" s="17" t="s">
        <v>117</v>
      </c>
      <c r="AJ31" s="17" t="s">
        <v>808</v>
      </c>
      <c r="AK31" s="17" t="s">
        <v>808</v>
      </c>
      <c r="AL31" s="17" t="s">
        <v>138</v>
      </c>
      <c r="AM31" s="17" t="s">
        <v>141</v>
      </c>
      <c r="AN31" s="17" t="s">
        <v>242</v>
      </c>
      <c r="AO31" s="17" t="s">
        <v>216</v>
      </c>
      <c r="AP31" s="17"/>
    </row>
    <row r="32" ht="22.5" customHeight="1">
      <c r="A32" s="59" t="s">
        <v>835</v>
      </c>
      <c r="B32" s="59" t="s">
        <v>836</v>
      </c>
      <c r="C32" s="59" t="s">
        <v>837</v>
      </c>
      <c r="D32" s="60">
        <v>40675.0</v>
      </c>
      <c r="E32" s="59" t="s">
        <v>98</v>
      </c>
      <c r="F32" s="61">
        <v>5.65128028E9</v>
      </c>
      <c r="G32" s="59" t="s">
        <v>838</v>
      </c>
      <c r="H32" s="59" t="s">
        <v>101</v>
      </c>
      <c r="I32" s="63"/>
      <c r="J32" s="59" t="s">
        <v>839</v>
      </c>
      <c r="K32" s="59" t="s">
        <v>840</v>
      </c>
      <c r="L32" s="61">
        <v>5.613774776E9</v>
      </c>
      <c r="M32" s="59" t="s">
        <v>841</v>
      </c>
      <c r="N32" s="59" t="s">
        <v>842</v>
      </c>
      <c r="O32" s="61">
        <v>5.533488246E9</v>
      </c>
      <c r="P32" s="61">
        <v>14.0</v>
      </c>
      <c r="Q32" s="62">
        <v>46033.867418981485</v>
      </c>
      <c r="R32" s="59" t="s">
        <v>107</v>
      </c>
      <c r="S32" s="59" t="s">
        <v>109</v>
      </c>
      <c r="T32" s="59" t="s">
        <v>192</v>
      </c>
      <c r="U32" s="59" t="s">
        <v>195</v>
      </c>
      <c r="V32" s="59" t="s">
        <v>198</v>
      </c>
      <c r="W32" s="59" t="s">
        <v>200</v>
      </c>
      <c r="X32" s="59" t="s">
        <v>117</v>
      </c>
      <c r="Y32" s="63"/>
      <c r="Z32" s="59" t="s">
        <v>117</v>
      </c>
      <c r="AA32" s="63"/>
      <c r="AB32" s="59" t="s">
        <v>117</v>
      </c>
      <c r="AC32" s="63"/>
      <c r="AD32" s="63"/>
      <c r="AE32" s="59" t="s">
        <v>117</v>
      </c>
      <c r="AF32" s="63"/>
      <c r="AG32" s="59" t="s">
        <v>117</v>
      </c>
      <c r="AH32" s="63"/>
      <c r="AI32" s="59" t="s">
        <v>120</v>
      </c>
      <c r="AJ32" s="63"/>
      <c r="AK32" s="63"/>
      <c r="AL32" s="59" t="s">
        <v>129</v>
      </c>
      <c r="AM32" s="59" t="s">
        <v>138</v>
      </c>
      <c r="AN32" s="59" t="s">
        <v>156</v>
      </c>
      <c r="AO32" s="59" t="s">
        <v>185</v>
      </c>
      <c r="AP32" s="59"/>
    </row>
    <row r="33" ht="22.5" customHeight="1">
      <c r="A33" s="17" t="s">
        <v>851</v>
      </c>
      <c r="B33" s="17" t="s">
        <v>852</v>
      </c>
      <c r="C33" s="17" t="s">
        <v>853</v>
      </c>
      <c r="D33" s="19">
        <v>40776.0</v>
      </c>
      <c r="E33" s="17" t="s">
        <v>98</v>
      </c>
      <c r="F33" s="17" t="s">
        <v>854</v>
      </c>
      <c r="G33" s="17" t="s">
        <v>855</v>
      </c>
      <c r="H33" s="17" t="s">
        <v>101</v>
      </c>
      <c r="I33" s="17" t="s">
        <v>856</v>
      </c>
      <c r="J33" s="17" t="s">
        <v>857</v>
      </c>
      <c r="K33" s="17" t="s">
        <v>858</v>
      </c>
      <c r="L33" s="21">
        <v>5.514041685E9</v>
      </c>
      <c r="M33" s="17" t="s">
        <v>859</v>
      </c>
      <c r="N33" s="17" t="s">
        <v>860</v>
      </c>
      <c r="O33" s="21">
        <v>5.564816934E9</v>
      </c>
      <c r="P33" s="21">
        <v>14.0</v>
      </c>
      <c r="Q33" s="25">
        <v>46032.94395833334</v>
      </c>
      <c r="R33" s="17" t="s">
        <v>107</v>
      </c>
      <c r="S33" s="17" t="s">
        <v>109</v>
      </c>
      <c r="T33" s="17" t="s">
        <v>127</v>
      </c>
      <c r="U33" s="17" t="s">
        <v>234</v>
      </c>
      <c r="V33" s="17" t="s">
        <v>227</v>
      </c>
      <c r="W33" s="17" t="s">
        <v>236</v>
      </c>
      <c r="X33" s="17" t="s">
        <v>117</v>
      </c>
      <c r="Y33" s="29"/>
      <c r="Z33" s="17" t="s">
        <v>117</v>
      </c>
      <c r="AA33" s="29"/>
      <c r="AB33" s="17" t="s">
        <v>117</v>
      </c>
      <c r="AC33" s="17" t="s">
        <v>117</v>
      </c>
      <c r="AD33" s="29"/>
      <c r="AE33" s="17" t="s">
        <v>117</v>
      </c>
      <c r="AF33" s="29"/>
      <c r="AG33" s="17" t="s">
        <v>117</v>
      </c>
      <c r="AH33" s="29"/>
      <c r="AI33" s="17" t="s">
        <v>117</v>
      </c>
      <c r="AJ33" s="29"/>
      <c r="AK33" s="29"/>
      <c r="AL33" s="17" t="s">
        <v>141</v>
      </c>
      <c r="AM33" s="17" t="s">
        <v>138</v>
      </c>
      <c r="AN33" s="17" t="s">
        <v>128</v>
      </c>
      <c r="AO33" s="17" t="s">
        <v>242</v>
      </c>
      <c r="AP33" s="17"/>
    </row>
    <row r="34" ht="22.5" customHeight="1">
      <c r="A34" s="59" t="s">
        <v>865</v>
      </c>
      <c r="B34" s="59" t="s">
        <v>866</v>
      </c>
      <c r="C34" s="59" t="s">
        <v>869</v>
      </c>
      <c r="D34" s="60">
        <v>40646.0</v>
      </c>
      <c r="E34" s="59" t="s">
        <v>98</v>
      </c>
      <c r="F34" s="61">
        <v>5.551768481E9</v>
      </c>
      <c r="G34" s="59" t="s">
        <v>873</v>
      </c>
      <c r="H34" s="59" t="s">
        <v>382</v>
      </c>
      <c r="I34" s="59" t="s">
        <v>874</v>
      </c>
      <c r="J34" s="59" t="s">
        <v>875</v>
      </c>
      <c r="K34" s="59" t="s">
        <v>876</v>
      </c>
      <c r="L34" s="61">
        <v>5.517554062E9</v>
      </c>
      <c r="M34" s="63"/>
      <c r="N34" s="63"/>
      <c r="O34" s="63"/>
      <c r="P34" s="61">
        <v>14.0</v>
      </c>
      <c r="Q34" s="62">
        <v>46037.77465277778</v>
      </c>
      <c r="R34" s="59" t="s">
        <v>107</v>
      </c>
      <c r="S34" s="59" t="s">
        <v>109</v>
      </c>
      <c r="T34" s="59" t="s">
        <v>208</v>
      </c>
      <c r="U34" s="59" t="s">
        <v>209</v>
      </c>
      <c r="V34" s="59" t="s">
        <v>210</v>
      </c>
      <c r="W34" s="59" t="s">
        <v>211</v>
      </c>
      <c r="X34" s="59" t="s">
        <v>117</v>
      </c>
      <c r="Y34" s="63"/>
      <c r="Z34" s="59" t="s">
        <v>117</v>
      </c>
      <c r="AA34" s="63"/>
      <c r="AB34" s="59" t="s">
        <v>117</v>
      </c>
      <c r="AC34" s="59" t="s">
        <v>117</v>
      </c>
      <c r="AD34" s="63"/>
      <c r="AE34" s="59" t="s">
        <v>117</v>
      </c>
      <c r="AF34" s="63"/>
      <c r="AG34" s="59" t="s">
        <v>117</v>
      </c>
      <c r="AH34" s="63"/>
      <c r="AI34" s="59" t="s">
        <v>117</v>
      </c>
      <c r="AJ34" s="63"/>
      <c r="AK34" s="63"/>
      <c r="AL34" s="59" t="s">
        <v>138</v>
      </c>
      <c r="AM34" s="59" t="s">
        <v>138</v>
      </c>
      <c r="AN34" s="59" t="s">
        <v>138</v>
      </c>
      <c r="AO34" s="59" t="s">
        <v>138</v>
      </c>
      <c r="AP34" s="59"/>
    </row>
    <row r="35" ht="22.5" customHeight="1">
      <c r="A35" s="17" t="s">
        <v>893</v>
      </c>
      <c r="B35" s="17" t="s">
        <v>725</v>
      </c>
      <c r="C35" s="17" t="s">
        <v>895</v>
      </c>
      <c r="D35" s="19">
        <v>41114.0</v>
      </c>
      <c r="E35" s="17" t="s">
        <v>98</v>
      </c>
      <c r="F35" s="21">
        <v>5.514909252E9</v>
      </c>
      <c r="G35" s="17" t="s">
        <v>899</v>
      </c>
      <c r="H35" s="17" t="s">
        <v>140</v>
      </c>
      <c r="I35" s="29"/>
      <c r="J35" s="17" t="s">
        <v>728</v>
      </c>
      <c r="K35" s="17" t="s">
        <v>900</v>
      </c>
      <c r="L35" s="21">
        <v>5.514909252E9</v>
      </c>
      <c r="M35" s="29"/>
      <c r="N35" s="29"/>
      <c r="O35" s="29"/>
      <c r="P35" s="21">
        <v>13.0</v>
      </c>
      <c r="Q35" s="25">
        <v>46038.78403935185</v>
      </c>
      <c r="R35" s="17" t="s">
        <v>107</v>
      </c>
      <c r="S35" s="17" t="s">
        <v>109</v>
      </c>
      <c r="T35" s="17" t="s">
        <v>111</v>
      </c>
      <c r="U35" s="17" t="s">
        <v>407</v>
      </c>
      <c r="V35" s="17" t="s">
        <v>408</v>
      </c>
      <c r="W35" s="17" t="s">
        <v>409</v>
      </c>
      <c r="X35" s="17" t="s">
        <v>117</v>
      </c>
      <c r="Y35" s="29"/>
      <c r="Z35" s="17" t="s">
        <v>117</v>
      </c>
      <c r="AA35" s="29"/>
      <c r="AB35" s="17" t="s">
        <v>117</v>
      </c>
      <c r="AC35" s="29"/>
      <c r="AD35" s="29"/>
      <c r="AE35" s="17" t="s">
        <v>117</v>
      </c>
      <c r="AF35" s="29"/>
      <c r="AG35" s="17" t="s">
        <v>117</v>
      </c>
      <c r="AH35" s="29"/>
      <c r="AI35" s="17" t="s">
        <v>117</v>
      </c>
      <c r="AJ35" s="29"/>
      <c r="AK35" s="29"/>
      <c r="AL35" s="17" t="s">
        <v>242</v>
      </c>
      <c r="AM35" s="17" t="s">
        <v>128</v>
      </c>
      <c r="AN35" s="17" t="s">
        <v>156</v>
      </c>
      <c r="AO35" s="17" t="s">
        <v>124</v>
      </c>
      <c r="AP35" s="17"/>
    </row>
    <row r="36" ht="22.5" customHeight="1">
      <c r="A36" s="59" t="s">
        <v>905</v>
      </c>
      <c r="B36" s="59" t="s">
        <v>906</v>
      </c>
      <c r="C36" s="59" t="s">
        <v>907</v>
      </c>
      <c r="D36" s="60">
        <v>40045.0</v>
      </c>
      <c r="E36" s="59" t="s">
        <v>98</v>
      </c>
      <c r="F36" s="61">
        <v>5.647754235E9</v>
      </c>
      <c r="G36" s="59" t="s">
        <v>911</v>
      </c>
      <c r="H36" s="59" t="s">
        <v>150</v>
      </c>
      <c r="I36" s="63"/>
      <c r="J36" s="59" t="s">
        <v>913</v>
      </c>
      <c r="K36" s="59" t="s">
        <v>914</v>
      </c>
      <c r="L36" s="61">
        <v>5.647753698E9</v>
      </c>
      <c r="M36" s="59" t="s">
        <v>915</v>
      </c>
      <c r="N36" s="59" t="s">
        <v>916</v>
      </c>
      <c r="O36" s="61">
        <v>5.584788686E9</v>
      </c>
      <c r="P36" s="61">
        <v>16.0</v>
      </c>
      <c r="Q36" s="62">
        <v>46020.79752314815</v>
      </c>
      <c r="R36" s="59" t="s">
        <v>107</v>
      </c>
      <c r="S36" s="59" t="s">
        <v>109</v>
      </c>
      <c r="T36" s="59" t="s">
        <v>204</v>
      </c>
      <c r="U36" s="59" t="s">
        <v>367</v>
      </c>
      <c r="V36" s="59" t="s">
        <v>368</v>
      </c>
      <c r="W36" s="59" t="s">
        <v>369</v>
      </c>
      <c r="X36" s="59" t="s">
        <v>117</v>
      </c>
      <c r="Y36" s="63"/>
      <c r="Z36" s="59" t="s">
        <v>117</v>
      </c>
      <c r="AA36" s="63"/>
      <c r="AB36" s="59" t="s">
        <v>117</v>
      </c>
      <c r="AC36" s="59" t="s">
        <v>117</v>
      </c>
      <c r="AD36" s="63"/>
      <c r="AE36" s="59" t="s">
        <v>117</v>
      </c>
      <c r="AF36" s="63"/>
      <c r="AG36" s="59" t="s">
        <v>117</v>
      </c>
      <c r="AH36" s="63"/>
      <c r="AI36" s="59" t="s">
        <v>117</v>
      </c>
      <c r="AJ36" s="63"/>
      <c r="AK36" s="63"/>
      <c r="AL36" s="59" t="s">
        <v>124</v>
      </c>
      <c r="AM36" s="59" t="s">
        <v>141</v>
      </c>
      <c r="AN36" s="59" t="s">
        <v>156</v>
      </c>
      <c r="AO36" s="59" t="s">
        <v>128</v>
      </c>
      <c r="AP36" s="59"/>
    </row>
    <row r="37" ht="22.5" customHeight="1">
      <c r="A37" s="17" t="s">
        <v>919</v>
      </c>
      <c r="B37" s="17" t="s">
        <v>920</v>
      </c>
      <c r="C37" s="17" t="s">
        <v>923</v>
      </c>
      <c r="D37" s="19">
        <v>40182.0</v>
      </c>
      <c r="E37" s="17" t="s">
        <v>177</v>
      </c>
      <c r="F37" s="21">
        <v>5.56860443E9</v>
      </c>
      <c r="G37" s="17" t="s">
        <v>925</v>
      </c>
      <c r="H37" s="17" t="s">
        <v>101</v>
      </c>
      <c r="I37" s="29"/>
      <c r="J37" s="17" t="s">
        <v>928</v>
      </c>
      <c r="K37" s="17" t="s">
        <v>925</v>
      </c>
      <c r="L37" s="21">
        <v>5.612161641E9</v>
      </c>
      <c r="M37" s="29"/>
      <c r="N37" s="29"/>
      <c r="O37" s="29"/>
      <c r="P37" s="21">
        <v>16.0</v>
      </c>
      <c r="Q37" s="25">
        <v>46039.512604166666</v>
      </c>
      <c r="R37" s="17" t="s">
        <v>107</v>
      </c>
      <c r="S37" s="17" t="s">
        <v>109</v>
      </c>
      <c r="T37" s="17" t="s">
        <v>111</v>
      </c>
      <c r="U37" s="17" t="s">
        <v>407</v>
      </c>
      <c r="V37" s="17" t="s">
        <v>408</v>
      </c>
      <c r="W37" s="17" t="s">
        <v>409</v>
      </c>
      <c r="X37" s="17" t="s">
        <v>117</v>
      </c>
      <c r="Y37" s="29"/>
      <c r="Z37" s="17" t="s">
        <v>117</v>
      </c>
      <c r="AA37" s="29"/>
      <c r="AB37" s="17" t="s">
        <v>117</v>
      </c>
      <c r="AC37" s="17" t="s">
        <v>117</v>
      </c>
      <c r="AD37" s="29"/>
      <c r="AE37" s="17" t="s">
        <v>117</v>
      </c>
      <c r="AF37" s="29"/>
      <c r="AG37" s="17" t="s">
        <v>117</v>
      </c>
      <c r="AH37" s="29"/>
      <c r="AI37" s="17" t="s">
        <v>117</v>
      </c>
      <c r="AJ37" s="29"/>
      <c r="AK37" s="29"/>
      <c r="AL37" s="17" t="s">
        <v>138</v>
      </c>
      <c r="AM37" s="17" t="s">
        <v>242</v>
      </c>
      <c r="AN37" s="17" t="s">
        <v>128</v>
      </c>
      <c r="AO37" s="17" t="s">
        <v>141</v>
      </c>
      <c r="AP37" s="17"/>
    </row>
    <row r="38" ht="22.5" customHeight="1">
      <c r="A38" s="59" t="s">
        <v>937</v>
      </c>
      <c r="B38" s="59" t="s">
        <v>939</v>
      </c>
      <c r="C38" s="59" t="s">
        <v>941</v>
      </c>
      <c r="D38" s="60">
        <v>40014.0</v>
      </c>
      <c r="E38" s="59" t="s">
        <v>177</v>
      </c>
      <c r="F38" s="61">
        <v>5.574806546E9</v>
      </c>
      <c r="G38" s="59" t="s">
        <v>944</v>
      </c>
      <c r="H38" s="59" t="s">
        <v>150</v>
      </c>
      <c r="I38" s="59" t="s">
        <v>947</v>
      </c>
      <c r="J38" s="59" t="s">
        <v>948</v>
      </c>
      <c r="K38" s="59" t="s">
        <v>944</v>
      </c>
      <c r="L38" s="61">
        <v>2.202344935E9</v>
      </c>
      <c r="M38" s="63"/>
      <c r="N38" s="63"/>
      <c r="O38" s="63"/>
      <c r="P38" s="61">
        <v>16.0</v>
      </c>
      <c r="Q38" s="62">
        <v>46040.81049768518</v>
      </c>
      <c r="R38" s="59" t="s">
        <v>107</v>
      </c>
      <c r="S38" s="59" t="s">
        <v>109</v>
      </c>
      <c r="T38" s="59" t="s">
        <v>192</v>
      </c>
      <c r="U38" s="59" t="s">
        <v>195</v>
      </c>
      <c r="V38" s="59" t="s">
        <v>198</v>
      </c>
      <c r="W38" s="59" t="s">
        <v>200</v>
      </c>
      <c r="X38" s="59" t="s">
        <v>117</v>
      </c>
      <c r="Y38" s="63"/>
      <c r="Z38" s="59" t="s">
        <v>117</v>
      </c>
      <c r="AA38" s="63"/>
      <c r="AB38" s="59" t="s">
        <v>117</v>
      </c>
      <c r="AC38" s="59" t="s">
        <v>117</v>
      </c>
      <c r="AD38" s="63"/>
      <c r="AE38" s="59" t="s">
        <v>117</v>
      </c>
      <c r="AF38" s="63"/>
      <c r="AG38" s="59" t="s">
        <v>117</v>
      </c>
      <c r="AH38" s="63"/>
      <c r="AI38" s="59" t="s">
        <v>117</v>
      </c>
      <c r="AJ38" s="63"/>
      <c r="AK38" s="63"/>
      <c r="AL38" s="59" t="s">
        <v>129</v>
      </c>
      <c r="AM38" s="59" t="s">
        <v>240</v>
      </c>
      <c r="AN38" s="59" t="s">
        <v>138</v>
      </c>
      <c r="AO38" s="59" t="s">
        <v>185</v>
      </c>
      <c r="AP38" s="59"/>
    </row>
    <row r="39" ht="22.5" customHeight="1">
      <c r="A39" s="17" t="s">
        <v>970</v>
      </c>
      <c r="B39" s="17" t="s">
        <v>972</v>
      </c>
      <c r="C39" s="17" t="s">
        <v>974</v>
      </c>
      <c r="D39" s="19">
        <v>40092.0</v>
      </c>
      <c r="E39" s="17" t="s">
        <v>98</v>
      </c>
      <c r="F39" s="21">
        <v>5.559449773E9</v>
      </c>
      <c r="G39" s="17" t="s">
        <v>977</v>
      </c>
      <c r="H39" s="17" t="s">
        <v>382</v>
      </c>
      <c r="I39" s="17" t="s">
        <v>979</v>
      </c>
      <c r="J39" s="17" t="s">
        <v>980</v>
      </c>
      <c r="K39" s="17" t="s">
        <v>981</v>
      </c>
      <c r="L39" s="21">
        <v>5.591612552E9</v>
      </c>
      <c r="M39" s="29"/>
      <c r="N39" s="29"/>
      <c r="O39" s="29"/>
      <c r="P39" s="21">
        <v>16.0</v>
      </c>
      <c r="Q39" s="25">
        <v>46019.71203703704</v>
      </c>
      <c r="R39" s="17" t="s">
        <v>107</v>
      </c>
      <c r="S39" s="17" t="s">
        <v>109</v>
      </c>
      <c r="T39" s="17" t="s">
        <v>127</v>
      </c>
      <c r="U39" s="17" t="s">
        <v>234</v>
      </c>
      <c r="V39" s="17" t="s">
        <v>227</v>
      </c>
      <c r="W39" s="17" t="s">
        <v>236</v>
      </c>
      <c r="X39" s="17" t="s">
        <v>117</v>
      </c>
      <c r="Y39" s="29"/>
      <c r="Z39" s="17" t="s">
        <v>117</v>
      </c>
      <c r="AA39" s="29"/>
      <c r="AB39" s="17" t="s">
        <v>117</v>
      </c>
      <c r="AC39" s="29"/>
      <c r="AD39" s="29"/>
      <c r="AE39" s="17" t="s">
        <v>117</v>
      </c>
      <c r="AF39" s="29"/>
      <c r="AG39" s="17" t="s">
        <v>117</v>
      </c>
      <c r="AH39" s="29"/>
      <c r="AI39" s="17" t="s">
        <v>117</v>
      </c>
      <c r="AJ39" s="29"/>
      <c r="AK39" s="29"/>
      <c r="AL39" s="17" t="s">
        <v>156</v>
      </c>
      <c r="AM39" s="17" t="s">
        <v>185</v>
      </c>
      <c r="AN39" s="17" t="s">
        <v>124</v>
      </c>
      <c r="AO39" s="17" t="s">
        <v>156</v>
      </c>
      <c r="AP39" s="17"/>
    </row>
    <row r="40" ht="22.5" customHeight="1">
      <c r="A40" s="59" t="s">
        <v>997</v>
      </c>
      <c r="B40" s="59" t="s">
        <v>998</v>
      </c>
      <c r="C40" s="59" t="s">
        <v>999</v>
      </c>
      <c r="D40" s="60">
        <v>41133.0</v>
      </c>
      <c r="E40" s="59" t="s">
        <v>98</v>
      </c>
      <c r="F40" s="61">
        <v>5.650286797E9</v>
      </c>
      <c r="G40" s="59" t="s">
        <v>925</v>
      </c>
      <c r="H40" s="59" t="s">
        <v>140</v>
      </c>
      <c r="I40" s="63"/>
      <c r="J40" s="59" t="s">
        <v>928</v>
      </c>
      <c r="K40" s="59" t="s">
        <v>925</v>
      </c>
      <c r="L40" s="61">
        <v>5.612161641E9</v>
      </c>
      <c r="M40" s="63"/>
      <c r="N40" s="63"/>
      <c r="O40" s="63"/>
      <c r="P40" s="61">
        <v>13.0</v>
      </c>
      <c r="Q40" s="62">
        <v>46039.50915509259</v>
      </c>
      <c r="R40" s="59" t="s">
        <v>107</v>
      </c>
      <c r="S40" s="59" t="s">
        <v>109</v>
      </c>
      <c r="T40" s="59" t="s">
        <v>111</v>
      </c>
      <c r="U40" s="59" t="s">
        <v>407</v>
      </c>
      <c r="V40" s="59" t="s">
        <v>408</v>
      </c>
      <c r="W40" s="59" t="s">
        <v>409</v>
      </c>
      <c r="X40" s="59" t="s">
        <v>117</v>
      </c>
      <c r="Y40" s="63"/>
      <c r="Z40" s="59" t="s">
        <v>117</v>
      </c>
      <c r="AA40" s="63"/>
      <c r="AB40" s="59" t="s">
        <v>117</v>
      </c>
      <c r="AC40" s="59" t="s">
        <v>117</v>
      </c>
      <c r="AD40" s="63"/>
      <c r="AE40" s="59" t="s">
        <v>117</v>
      </c>
      <c r="AF40" s="63"/>
      <c r="AG40" s="59" t="s">
        <v>117</v>
      </c>
      <c r="AH40" s="63"/>
      <c r="AI40" s="59" t="s">
        <v>117</v>
      </c>
      <c r="AJ40" s="63"/>
      <c r="AK40" s="63"/>
      <c r="AL40" s="59" t="s">
        <v>242</v>
      </c>
      <c r="AM40" s="59" t="s">
        <v>128</v>
      </c>
      <c r="AN40" s="59" t="s">
        <v>138</v>
      </c>
      <c r="AO40" s="59" t="s">
        <v>141</v>
      </c>
      <c r="AP40" s="59"/>
    </row>
    <row r="41" ht="22.5" customHeight="1">
      <c r="A41" s="17" t="s">
        <v>1010</v>
      </c>
      <c r="B41" s="17" t="s">
        <v>1011</v>
      </c>
      <c r="C41" s="17" t="s">
        <v>1014</v>
      </c>
      <c r="D41" s="19">
        <v>40269.0</v>
      </c>
      <c r="E41" s="17" t="s">
        <v>177</v>
      </c>
      <c r="F41" s="21">
        <v>5.535717433E9</v>
      </c>
      <c r="G41" s="17" t="s">
        <v>1015</v>
      </c>
      <c r="H41" s="17" t="s">
        <v>140</v>
      </c>
      <c r="I41" s="29"/>
      <c r="J41" s="17" t="s">
        <v>1019</v>
      </c>
      <c r="K41" s="17" t="s">
        <v>1020</v>
      </c>
      <c r="L41" s="21">
        <v>5.547821504E9</v>
      </c>
      <c r="M41" s="29"/>
      <c r="N41" s="29"/>
      <c r="O41" s="29"/>
      <c r="P41" s="21">
        <v>15.0</v>
      </c>
      <c r="Q41" s="25">
        <v>46031.51908564815</v>
      </c>
      <c r="R41" s="17" t="s">
        <v>107</v>
      </c>
      <c r="S41" s="17" t="s">
        <v>109</v>
      </c>
      <c r="T41" s="17" t="s">
        <v>127</v>
      </c>
      <c r="U41" s="17" t="s">
        <v>234</v>
      </c>
      <c r="V41" s="17" t="s">
        <v>227</v>
      </c>
      <c r="W41" s="17" t="s">
        <v>236</v>
      </c>
      <c r="X41" s="17" t="s">
        <v>117</v>
      </c>
      <c r="Y41" s="29"/>
      <c r="Z41" s="17" t="s">
        <v>117</v>
      </c>
      <c r="AA41" s="29"/>
      <c r="AB41" s="17" t="s">
        <v>117</v>
      </c>
      <c r="AC41" s="17" t="s">
        <v>117</v>
      </c>
      <c r="AD41" s="29"/>
      <c r="AE41" s="17" t="s">
        <v>117</v>
      </c>
      <c r="AF41" s="29"/>
      <c r="AG41" s="17" t="s">
        <v>117</v>
      </c>
      <c r="AH41" s="29"/>
      <c r="AI41" s="17" t="s">
        <v>117</v>
      </c>
      <c r="AJ41" s="29"/>
      <c r="AK41" s="29"/>
      <c r="AL41" s="17" t="s">
        <v>141</v>
      </c>
      <c r="AM41" s="17" t="s">
        <v>185</v>
      </c>
      <c r="AN41" s="17" t="s">
        <v>128</v>
      </c>
      <c r="AO41" s="17" t="s">
        <v>129</v>
      </c>
      <c r="AP41" s="17"/>
    </row>
    <row r="42" ht="22.5" customHeight="1">
      <c r="A42" s="59" t="s">
        <v>955</v>
      </c>
      <c r="B42" s="59" t="s">
        <v>959</v>
      </c>
      <c r="C42" s="59" t="s">
        <v>960</v>
      </c>
      <c r="D42" s="60">
        <v>40113.0</v>
      </c>
      <c r="E42" s="59" t="s">
        <v>177</v>
      </c>
      <c r="F42" s="61">
        <v>5.645755195E9</v>
      </c>
      <c r="G42" s="59" t="s">
        <v>963</v>
      </c>
      <c r="H42" s="59" t="s">
        <v>101</v>
      </c>
      <c r="I42" s="59" t="s">
        <v>964</v>
      </c>
      <c r="J42" s="59" t="s">
        <v>965</v>
      </c>
      <c r="K42" s="59" t="s">
        <v>966</v>
      </c>
      <c r="L42" s="61">
        <v>5.56611599E9</v>
      </c>
      <c r="M42" s="63"/>
      <c r="N42" s="63"/>
      <c r="O42" s="63"/>
      <c r="P42" s="61">
        <v>16.0</v>
      </c>
      <c r="Q42" s="62">
        <v>46040.4921412037</v>
      </c>
      <c r="R42" s="59" t="s">
        <v>107</v>
      </c>
      <c r="S42" s="59" t="s">
        <v>109</v>
      </c>
      <c r="T42" s="59" t="s">
        <v>111</v>
      </c>
      <c r="U42" s="59" t="s">
        <v>657</v>
      </c>
      <c r="V42" s="59" t="s">
        <v>659</v>
      </c>
      <c r="W42" s="59" t="s">
        <v>662</v>
      </c>
      <c r="X42" s="59" t="s">
        <v>120</v>
      </c>
      <c r="Y42" s="63"/>
      <c r="Z42" s="59" t="s">
        <v>120</v>
      </c>
      <c r="AA42" s="63"/>
      <c r="AB42" s="59" t="s">
        <v>117</v>
      </c>
      <c r="AC42" s="59" t="s">
        <v>117</v>
      </c>
      <c r="AD42" s="57" t="s">
        <v>990</v>
      </c>
      <c r="AE42" s="59" t="s">
        <v>120</v>
      </c>
      <c r="AF42" s="63"/>
      <c r="AG42" s="59" t="s">
        <v>120</v>
      </c>
      <c r="AH42" s="63"/>
      <c r="AI42" s="59" t="s">
        <v>117</v>
      </c>
      <c r="AJ42" s="59" t="s">
        <v>992</v>
      </c>
      <c r="AK42" s="63"/>
      <c r="AL42" s="59" t="s">
        <v>216</v>
      </c>
      <c r="AM42" s="59" t="s">
        <v>138</v>
      </c>
      <c r="AN42" s="59" t="s">
        <v>129</v>
      </c>
      <c r="AO42" s="59" t="s">
        <v>124</v>
      </c>
      <c r="AP42" s="59"/>
    </row>
    <row r="43" ht="22.5" customHeight="1">
      <c r="A43" s="17" t="s">
        <v>1059</v>
      </c>
      <c r="B43" s="17" t="s">
        <v>1060</v>
      </c>
      <c r="C43" s="17" t="s">
        <v>1062</v>
      </c>
      <c r="D43" s="19">
        <v>39912.0</v>
      </c>
      <c r="E43" s="17" t="s">
        <v>98</v>
      </c>
      <c r="F43" s="21">
        <v>5.61482481E8</v>
      </c>
      <c r="G43" s="17" t="s">
        <v>1067</v>
      </c>
      <c r="H43" s="17" t="s">
        <v>150</v>
      </c>
      <c r="I43" s="17" t="s">
        <v>1069</v>
      </c>
      <c r="J43" s="17" t="s">
        <v>1071</v>
      </c>
      <c r="K43" s="17" t="s">
        <v>1073</v>
      </c>
      <c r="L43" s="21">
        <v>5.518772662E9</v>
      </c>
      <c r="M43" s="17" t="s">
        <v>1075</v>
      </c>
      <c r="N43" s="17" t="s">
        <v>1077</v>
      </c>
      <c r="O43" s="21">
        <v>5.626967095E9</v>
      </c>
      <c r="P43" s="21">
        <v>16.0</v>
      </c>
      <c r="Q43" s="25">
        <v>46038.86342592593</v>
      </c>
      <c r="R43" s="17" t="s">
        <v>107</v>
      </c>
      <c r="S43" s="17" t="s">
        <v>109</v>
      </c>
      <c r="T43" s="17" t="s">
        <v>171</v>
      </c>
      <c r="U43" s="17" t="s">
        <v>526</v>
      </c>
      <c r="V43" s="17" t="s">
        <v>527</v>
      </c>
      <c r="W43" s="17" t="s">
        <v>528</v>
      </c>
      <c r="X43" s="17" t="s">
        <v>120</v>
      </c>
      <c r="Y43" s="29"/>
      <c r="Z43" s="17" t="s">
        <v>117</v>
      </c>
      <c r="AA43" s="17" t="s">
        <v>1084</v>
      </c>
      <c r="AB43" s="17" t="s">
        <v>117</v>
      </c>
      <c r="AC43" s="17" t="s">
        <v>117</v>
      </c>
      <c r="AD43" s="57" t="s">
        <v>1086</v>
      </c>
      <c r="AE43" s="17" t="s">
        <v>117</v>
      </c>
      <c r="AF43" s="17" t="s">
        <v>366</v>
      </c>
      <c r="AG43" s="17" t="s">
        <v>120</v>
      </c>
      <c r="AH43" s="29"/>
      <c r="AI43" s="17" t="s">
        <v>120</v>
      </c>
      <c r="AJ43" s="29"/>
      <c r="AK43" s="29"/>
      <c r="AL43" s="17" t="s">
        <v>138</v>
      </c>
      <c r="AM43" s="17" t="s">
        <v>242</v>
      </c>
      <c r="AN43" s="17" t="s">
        <v>124</v>
      </c>
      <c r="AO43" s="17" t="s">
        <v>128</v>
      </c>
      <c r="AP43" s="17"/>
    </row>
    <row r="44" ht="22.5" customHeight="1">
      <c r="A44" s="59" t="s">
        <v>1097</v>
      </c>
      <c r="B44" s="59" t="s">
        <v>1099</v>
      </c>
      <c r="C44" s="63"/>
      <c r="D44" s="60">
        <v>39608.0</v>
      </c>
      <c r="E44" s="59" t="s">
        <v>98</v>
      </c>
      <c r="F44" s="61">
        <v>5.547121529E9</v>
      </c>
      <c r="G44" s="59" t="s">
        <v>1103</v>
      </c>
      <c r="H44" s="59" t="s">
        <v>150</v>
      </c>
      <c r="I44" s="59" t="s">
        <v>1105</v>
      </c>
      <c r="J44" s="59" t="s">
        <v>1106</v>
      </c>
      <c r="K44" s="59" t="s">
        <v>1108</v>
      </c>
      <c r="L44" s="61">
        <v>5.661176233E9</v>
      </c>
      <c r="M44" s="63"/>
      <c r="N44" s="63"/>
      <c r="O44" s="63"/>
      <c r="P44" s="61">
        <v>17.0</v>
      </c>
      <c r="Q44" s="62">
        <v>46036.391875</v>
      </c>
      <c r="R44" s="59" t="s">
        <v>107</v>
      </c>
      <c r="S44" s="59" t="s">
        <v>109</v>
      </c>
      <c r="T44" s="59" t="s">
        <v>208</v>
      </c>
      <c r="U44" s="59" t="s">
        <v>788</v>
      </c>
      <c r="V44" s="59" t="s">
        <v>789</v>
      </c>
      <c r="W44" s="59" t="s">
        <v>790</v>
      </c>
      <c r="X44" s="59" t="s">
        <v>120</v>
      </c>
      <c r="Y44" s="63"/>
      <c r="Z44" s="59" t="s">
        <v>117</v>
      </c>
      <c r="AA44" s="59" t="s">
        <v>1122</v>
      </c>
      <c r="AB44" s="59" t="s">
        <v>117</v>
      </c>
      <c r="AC44" s="59" t="s">
        <v>117</v>
      </c>
      <c r="AD44" s="63"/>
      <c r="AE44" s="59" t="s">
        <v>117</v>
      </c>
      <c r="AF44" s="65" t="s">
        <v>1123</v>
      </c>
      <c r="AG44" s="59" t="s">
        <v>120</v>
      </c>
      <c r="AH44" s="59" t="s">
        <v>1124</v>
      </c>
      <c r="AI44" s="59" t="s">
        <v>117</v>
      </c>
      <c r="AJ44" s="65" t="s">
        <v>1125</v>
      </c>
      <c r="AK44" s="63"/>
      <c r="AL44" s="59" t="s">
        <v>126</v>
      </c>
      <c r="AM44" s="59" t="s">
        <v>156</v>
      </c>
      <c r="AN44" s="59" t="s">
        <v>242</v>
      </c>
      <c r="AO44" s="59" t="s">
        <v>185</v>
      </c>
      <c r="AP44" s="59"/>
    </row>
    <row r="45" ht="22.5" customHeight="1">
      <c r="A45" s="17" t="s">
        <v>1025</v>
      </c>
      <c r="B45" s="17" t="s">
        <v>1027</v>
      </c>
      <c r="C45" s="17" t="s">
        <v>1028</v>
      </c>
      <c r="D45" s="19">
        <v>41264.0</v>
      </c>
      <c r="E45" s="17" t="s">
        <v>177</v>
      </c>
      <c r="F45" s="21">
        <v>5.520905035E9</v>
      </c>
      <c r="G45" s="17" t="s">
        <v>1029</v>
      </c>
      <c r="H45" s="17" t="s">
        <v>150</v>
      </c>
      <c r="I45" s="17" t="s">
        <v>1030</v>
      </c>
      <c r="J45" s="17" t="s">
        <v>1031</v>
      </c>
      <c r="K45" s="17" t="s">
        <v>1032</v>
      </c>
      <c r="L45" s="21">
        <v>5.520905035E9</v>
      </c>
      <c r="M45" s="17" t="s">
        <v>1034</v>
      </c>
      <c r="N45" s="17" t="s">
        <v>1036</v>
      </c>
      <c r="O45" s="21">
        <v>5.5149201E9</v>
      </c>
      <c r="P45" s="21">
        <v>13.0</v>
      </c>
      <c r="Q45" s="25">
        <v>46029.42487268519</v>
      </c>
      <c r="R45" s="17" t="s">
        <v>107</v>
      </c>
      <c r="S45" s="17" t="s">
        <v>109</v>
      </c>
      <c r="T45" s="17" t="s">
        <v>111</v>
      </c>
      <c r="U45" s="17" t="s">
        <v>112</v>
      </c>
      <c r="V45" s="17" t="s">
        <v>114</v>
      </c>
      <c r="W45" s="17" t="s">
        <v>115</v>
      </c>
      <c r="X45" s="17" t="s">
        <v>120</v>
      </c>
      <c r="Y45" s="29"/>
      <c r="Z45" s="17" t="s">
        <v>117</v>
      </c>
      <c r="AA45" s="17" t="s">
        <v>1049</v>
      </c>
      <c r="AB45" s="17" t="s">
        <v>117</v>
      </c>
      <c r="AC45" s="17" t="s">
        <v>120</v>
      </c>
      <c r="AD45" s="57" t="s">
        <v>1053</v>
      </c>
      <c r="AE45" s="17" t="s">
        <v>120</v>
      </c>
      <c r="AF45" s="29"/>
      <c r="AG45" s="17" t="s">
        <v>120</v>
      </c>
      <c r="AH45" s="29"/>
      <c r="AI45" s="17" t="s">
        <v>120</v>
      </c>
      <c r="AJ45" s="29"/>
      <c r="AK45" s="17" t="s">
        <v>1055</v>
      </c>
      <c r="AL45" s="17" t="s">
        <v>126</v>
      </c>
      <c r="AM45" s="17" t="s">
        <v>240</v>
      </c>
      <c r="AN45" s="17" t="s">
        <v>242</v>
      </c>
      <c r="AO45" s="17" t="s">
        <v>124</v>
      </c>
      <c r="AP45" s="17"/>
    </row>
    <row r="46" ht="22.5" customHeight="1">
      <c r="A46" s="59" t="s">
        <v>1155</v>
      </c>
      <c r="B46" s="59" t="s">
        <v>1156</v>
      </c>
      <c r="C46" s="59" t="s">
        <v>1157</v>
      </c>
      <c r="D46" s="60">
        <v>41263.0</v>
      </c>
      <c r="E46" s="59" t="s">
        <v>98</v>
      </c>
      <c r="F46" s="61">
        <v>5.664799779E9</v>
      </c>
      <c r="G46" s="59" t="s">
        <v>1161</v>
      </c>
      <c r="H46" s="59" t="s">
        <v>140</v>
      </c>
      <c r="I46" s="59" t="s">
        <v>1163</v>
      </c>
      <c r="J46" s="59" t="s">
        <v>662</v>
      </c>
      <c r="K46" s="59" t="s">
        <v>659</v>
      </c>
      <c r="L46" s="61">
        <v>5.548321876E9</v>
      </c>
      <c r="M46" s="59" t="s">
        <v>1164</v>
      </c>
      <c r="N46" s="59" t="s">
        <v>1166</v>
      </c>
      <c r="O46" s="61">
        <v>5.568740439E9</v>
      </c>
      <c r="P46" s="61">
        <v>13.0</v>
      </c>
      <c r="Q46" s="62">
        <v>46032.85679398148</v>
      </c>
      <c r="R46" s="59" t="s">
        <v>107</v>
      </c>
      <c r="S46" s="59" t="s">
        <v>109</v>
      </c>
      <c r="T46" s="59" t="s">
        <v>111</v>
      </c>
      <c r="U46" s="59" t="s">
        <v>657</v>
      </c>
      <c r="V46" s="59" t="s">
        <v>659</v>
      </c>
      <c r="W46" s="59" t="s">
        <v>662</v>
      </c>
      <c r="X46" s="59" t="s">
        <v>120</v>
      </c>
      <c r="Y46" s="59" t="s">
        <v>667</v>
      </c>
      <c r="Z46" s="59" t="s">
        <v>117</v>
      </c>
      <c r="AA46" s="64" t="s">
        <v>1168</v>
      </c>
      <c r="AB46" s="59" t="s">
        <v>117</v>
      </c>
      <c r="AC46" s="59" t="s">
        <v>117</v>
      </c>
      <c r="AD46" s="57" t="s">
        <v>1175</v>
      </c>
      <c r="AE46" s="59" t="s">
        <v>117</v>
      </c>
      <c r="AF46" s="59" t="s">
        <v>1176</v>
      </c>
      <c r="AG46" s="59" t="s">
        <v>120</v>
      </c>
      <c r="AH46" s="59" t="s">
        <v>667</v>
      </c>
      <c r="AI46" s="59" t="s">
        <v>120</v>
      </c>
      <c r="AJ46" s="59" t="s">
        <v>667</v>
      </c>
      <c r="AK46" s="59" t="s">
        <v>667</v>
      </c>
      <c r="AL46" s="59" t="s">
        <v>156</v>
      </c>
      <c r="AM46" s="59" t="s">
        <v>242</v>
      </c>
      <c r="AN46" s="59" t="s">
        <v>240</v>
      </c>
      <c r="AO46" s="59" t="s">
        <v>138</v>
      </c>
      <c r="AP46" s="59"/>
    </row>
    <row r="47" ht="22.5" customHeight="1">
      <c r="A47" s="17" t="s">
        <v>1190</v>
      </c>
      <c r="B47" s="17" t="s">
        <v>1192</v>
      </c>
      <c r="C47" s="17" t="s">
        <v>1193</v>
      </c>
      <c r="D47" s="19">
        <v>40111.0</v>
      </c>
      <c r="E47" s="17" t="s">
        <v>98</v>
      </c>
      <c r="F47" s="21">
        <v>5.612971051E9</v>
      </c>
      <c r="G47" s="17" t="s">
        <v>1196</v>
      </c>
      <c r="H47" s="17" t="s">
        <v>140</v>
      </c>
      <c r="I47" s="17" t="s">
        <v>1197</v>
      </c>
      <c r="J47" s="17" t="s">
        <v>1198</v>
      </c>
      <c r="K47" s="17" t="s">
        <v>1199</v>
      </c>
      <c r="L47" s="21">
        <v>5.554632295E9</v>
      </c>
      <c r="M47" s="29"/>
      <c r="N47" s="29"/>
      <c r="O47" s="29"/>
      <c r="P47" s="21">
        <v>16.0</v>
      </c>
      <c r="Q47" s="25">
        <v>46033.373391203706</v>
      </c>
      <c r="R47" s="17" t="s">
        <v>107</v>
      </c>
      <c r="S47" s="17" t="s">
        <v>109</v>
      </c>
      <c r="T47" s="17" t="s">
        <v>160</v>
      </c>
      <c r="U47" s="17" t="s">
        <v>308</v>
      </c>
      <c r="V47" s="17" t="s">
        <v>309</v>
      </c>
      <c r="W47" s="17" t="s">
        <v>310</v>
      </c>
      <c r="X47" s="17" t="s">
        <v>120</v>
      </c>
      <c r="Y47" s="29"/>
      <c r="Z47" s="17" t="s">
        <v>120</v>
      </c>
      <c r="AA47" s="29"/>
      <c r="AB47" s="17" t="s">
        <v>117</v>
      </c>
      <c r="AC47" s="17" t="s">
        <v>117</v>
      </c>
      <c r="AD47" s="57" t="s">
        <v>1208</v>
      </c>
      <c r="AE47" s="17" t="s">
        <v>120</v>
      </c>
      <c r="AF47" s="29"/>
      <c r="AG47" s="17" t="s">
        <v>117</v>
      </c>
      <c r="AH47" s="17" t="s">
        <v>1210</v>
      </c>
      <c r="AI47" s="17" t="s">
        <v>120</v>
      </c>
      <c r="AJ47" s="29"/>
      <c r="AK47" s="29"/>
      <c r="AL47" s="17" t="s">
        <v>185</v>
      </c>
      <c r="AM47" s="17" t="s">
        <v>156</v>
      </c>
      <c r="AN47" s="17" t="s">
        <v>126</v>
      </c>
      <c r="AO47" s="17" t="s">
        <v>138</v>
      </c>
      <c r="AP47" s="17"/>
    </row>
    <row r="48" ht="22.5" customHeight="1">
      <c r="A48" s="59" t="s">
        <v>1219</v>
      </c>
      <c r="B48" s="59" t="s">
        <v>1156</v>
      </c>
      <c r="C48" s="59" t="s">
        <v>1223</v>
      </c>
      <c r="D48" s="60">
        <v>40654.0</v>
      </c>
      <c r="E48" s="59" t="s">
        <v>177</v>
      </c>
      <c r="F48" s="61">
        <v>5.563536685E9</v>
      </c>
      <c r="G48" s="59" t="s">
        <v>1226</v>
      </c>
      <c r="H48" s="59" t="s">
        <v>101</v>
      </c>
      <c r="I48" s="59" t="s">
        <v>1228</v>
      </c>
      <c r="J48" s="59" t="s">
        <v>1229</v>
      </c>
      <c r="K48" s="59" t="s">
        <v>659</v>
      </c>
      <c r="L48" s="61">
        <v>5.548321876E9</v>
      </c>
      <c r="M48" s="59" t="s">
        <v>1232</v>
      </c>
      <c r="N48" s="59" t="s">
        <v>1166</v>
      </c>
      <c r="O48" s="61">
        <v>5.568740439E9</v>
      </c>
      <c r="P48" s="61">
        <v>14.0</v>
      </c>
      <c r="Q48" s="62">
        <v>46032.86601851852</v>
      </c>
      <c r="R48" s="59" t="s">
        <v>107</v>
      </c>
      <c r="S48" s="59" t="s">
        <v>109</v>
      </c>
      <c r="T48" s="59" t="s">
        <v>111</v>
      </c>
      <c r="U48" s="59" t="s">
        <v>657</v>
      </c>
      <c r="V48" s="59" t="s">
        <v>659</v>
      </c>
      <c r="W48" s="59" t="s">
        <v>662</v>
      </c>
      <c r="X48" s="59" t="s">
        <v>120</v>
      </c>
      <c r="Y48" s="59" t="s">
        <v>667</v>
      </c>
      <c r="Z48" s="59" t="s">
        <v>117</v>
      </c>
      <c r="AA48" s="64" t="s">
        <v>1239</v>
      </c>
      <c r="AB48" s="59" t="s">
        <v>117</v>
      </c>
      <c r="AC48" s="59" t="s">
        <v>117</v>
      </c>
      <c r="AD48" s="57" t="s">
        <v>1175</v>
      </c>
      <c r="AE48" s="59" t="s">
        <v>117</v>
      </c>
      <c r="AF48" s="59" t="s">
        <v>1176</v>
      </c>
      <c r="AG48" s="59" t="s">
        <v>120</v>
      </c>
      <c r="AH48" s="59" t="s">
        <v>667</v>
      </c>
      <c r="AI48" s="59" t="s">
        <v>120</v>
      </c>
      <c r="AJ48" s="59" t="s">
        <v>667</v>
      </c>
      <c r="AK48" s="59" t="s">
        <v>667</v>
      </c>
      <c r="AL48" s="59" t="s">
        <v>240</v>
      </c>
      <c r="AM48" s="59" t="s">
        <v>124</v>
      </c>
      <c r="AN48" s="59" t="s">
        <v>129</v>
      </c>
      <c r="AO48" s="59" t="s">
        <v>185</v>
      </c>
      <c r="AP48" s="59"/>
    </row>
    <row r="49" ht="22.5" customHeight="1">
      <c r="A49" s="17" t="s">
        <v>1107</v>
      </c>
      <c r="B49" s="17" t="s">
        <v>1109</v>
      </c>
      <c r="C49" s="17" t="s">
        <v>1110</v>
      </c>
      <c r="D49" s="19">
        <v>41035.0</v>
      </c>
      <c r="E49" s="17" t="s">
        <v>98</v>
      </c>
      <c r="F49" s="21">
        <v>5.587931444E9</v>
      </c>
      <c r="G49" s="17" t="s">
        <v>1114</v>
      </c>
      <c r="H49" s="17" t="s">
        <v>140</v>
      </c>
      <c r="I49" s="17" t="s">
        <v>1116</v>
      </c>
      <c r="J49" s="17" t="s">
        <v>1118</v>
      </c>
      <c r="K49" s="17" t="s">
        <v>1120</v>
      </c>
      <c r="L49" s="21">
        <v>5.587931444E9</v>
      </c>
      <c r="M49" s="29"/>
      <c r="N49" s="29"/>
      <c r="O49" s="29"/>
      <c r="P49" s="21">
        <v>13.0</v>
      </c>
      <c r="Q49" s="25">
        <v>46032.68609953704</v>
      </c>
      <c r="R49" s="17" t="s">
        <v>107</v>
      </c>
      <c r="S49" s="17" t="s">
        <v>109</v>
      </c>
      <c r="T49" s="17" t="s">
        <v>204</v>
      </c>
      <c r="U49" s="17" t="s">
        <v>357</v>
      </c>
      <c r="V49" s="17" t="s">
        <v>359</v>
      </c>
      <c r="W49" s="17" t="s">
        <v>362</v>
      </c>
      <c r="X49" s="17" t="s">
        <v>120</v>
      </c>
      <c r="Y49" s="29"/>
      <c r="Z49" s="17" t="s">
        <v>117</v>
      </c>
      <c r="AA49" s="17" t="s">
        <v>1129</v>
      </c>
      <c r="AB49" s="17" t="s">
        <v>117</v>
      </c>
      <c r="AC49" s="17" t="s">
        <v>117</v>
      </c>
      <c r="AD49" s="57" t="s">
        <v>1131</v>
      </c>
      <c r="AE49" s="17" t="s">
        <v>120</v>
      </c>
      <c r="AF49" s="29"/>
      <c r="AG49" s="17" t="s">
        <v>120</v>
      </c>
      <c r="AH49" s="29"/>
      <c r="AI49" s="17" t="s">
        <v>117</v>
      </c>
      <c r="AJ49" s="17" t="s">
        <v>1137</v>
      </c>
      <c r="AK49" s="29"/>
      <c r="AL49" s="17" t="s">
        <v>216</v>
      </c>
      <c r="AM49" s="17" t="s">
        <v>138</v>
      </c>
      <c r="AN49" s="17" t="s">
        <v>156</v>
      </c>
      <c r="AO49" s="17" t="s">
        <v>141</v>
      </c>
      <c r="AP49" s="17"/>
    </row>
    <row r="50" ht="22.5" customHeight="1">
      <c r="A50" s="59" t="s">
        <v>1272</v>
      </c>
      <c r="B50" s="59" t="s">
        <v>1273</v>
      </c>
      <c r="C50" s="59" t="s">
        <v>1274</v>
      </c>
      <c r="D50" s="60">
        <v>39661.0</v>
      </c>
      <c r="E50" s="59" t="s">
        <v>98</v>
      </c>
      <c r="F50" s="61">
        <v>5.574094787E9</v>
      </c>
      <c r="G50" s="59" t="s">
        <v>1276</v>
      </c>
      <c r="H50" s="59" t="s">
        <v>140</v>
      </c>
      <c r="I50" s="59" t="s">
        <v>1279</v>
      </c>
      <c r="J50" s="59" t="s">
        <v>1281</v>
      </c>
      <c r="K50" s="59" t="s">
        <v>1283</v>
      </c>
      <c r="L50" s="61">
        <v>5.610396535E9</v>
      </c>
      <c r="M50" s="63"/>
      <c r="N50" s="63"/>
      <c r="O50" s="63"/>
      <c r="P50" s="61">
        <v>17.0</v>
      </c>
      <c r="Q50" s="62">
        <v>46037.795219907406</v>
      </c>
      <c r="R50" s="59" t="s">
        <v>107</v>
      </c>
      <c r="S50" s="59" t="s">
        <v>109</v>
      </c>
      <c r="T50" s="59" t="s">
        <v>111</v>
      </c>
      <c r="U50" s="59" t="s">
        <v>657</v>
      </c>
      <c r="V50" s="59" t="s">
        <v>659</v>
      </c>
      <c r="W50" s="59" t="s">
        <v>662</v>
      </c>
      <c r="X50" s="59" t="s">
        <v>120</v>
      </c>
      <c r="Y50" s="59" t="s">
        <v>697</v>
      </c>
      <c r="Z50" s="59" t="s">
        <v>120</v>
      </c>
      <c r="AA50" s="59" t="s">
        <v>698</v>
      </c>
      <c r="AB50" s="59" t="s">
        <v>117</v>
      </c>
      <c r="AC50" s="59" t="s">
        <v>117</v>
      </c>
      <c r="AD50" s="57" t="s">
        <v>1165</v>
      </c>
      <c r="AE50" s="59" t="s">
        <v>120</v>
      </c>
      <c r="AF50" s="59" t="s">
        <v>667</v>
      </c>
      <c r="AG50" s="59" t="s">
        <v>120</v>
      </c>
      <c r="AH50" s="59" t="s">
        <v>667</v>
      </c>
      <c r="AI50" s="59" t="s">
        <v>120</v>
      </c>
      <c r="AJ50" s="59" t="s">
        <v>667</v>
      </c>
      <c r="AK50" s="59" t="s">
        <v>667</v>
      </c>
      <c r="AL50" s="59" t="s">
        <v>141</v>
      </c>
      <c r="AM50" s="59" t="s">
        <v>156</v>
      </c>
      <c r="AN50" s="59" t="s">
        <v>185</v>
      </c>
      <c r="AO50" s="59" t="s">
        <v>138</v>
      </c>
      <c r="AP50" s="59"/>
    </row>
    <row r="51" ht="22.5" customHeight="1">
      <c r="A51" s="17" t="s">
        <v>1299</v>
      </c>
      <c r="B51" s="17" t="s">
        <v>1300</v>
      </c>
      <c r="C51" s="17" t="s">
        <v>1301</v>
      </c>
      <c r="D51" s="19">
        <v>39927.0</v>
      </c>
      <c r="E51" s="17" t="s">
        <v>177</v>
      </c>
      <c r="F51" s="17" t="s">
        <v>1302</v>
      </c>
      <c r="G51" s="17" t="s">
        <v>1303</v>
      </c>
      <c r="H51" s="17" t="s">
        <v>150</v>
      </c>
      <c r="I51" s="17" t="s">
        <v>1304</v>
      </c>
      <c r="J51" s="17" t="s">
        <v>1305</v>
      </c>
      <c r="K51" s="17" t="s">
        <v>1306</v>
      </c>
      <c r="L51" s="100" t="str">
        <f>+52 55 3297 1748</f>
        <v>#ERROR!</v>
      </c>
      <c r="M51" s="29"/>
      <c r="N51" s="29"/>
      <c r="O51" s="29"/>
      <c r="P51" s="21">
        <v>16.0</v>
      </c>
      <c r="Q51" s="25">
        <v>46020.52248842592</v>
      </c>
      <c r="R51" s="17" t="s">
        <v>107</v>
      </c>
      <c r="S51" s="17" t="s">
        <v>109</v>
      </c>
      <c r="T51" s="17" t="s">
        <v>208</v>
      </c>
      <c r="U51" s="17" t="s">
        <v>228</v>
      </c>
      <c r="V51" s="17" t="s">
        <v>229</v>
      </c>
      <c r="W51" s="17" t="s">
        <v>230</v>
      </c>
      <c r="X51" s="17" t="s">
        <v>120</v>
      </c>
      <c r="Y51" s="29"/>
      <c r="Z51" s="17" t="s">
        <v>117</v>
      </c>
      <c r="AA51" s="17" t="s">
        <v>1316</v>
      </c>
      <c r="AB51" s="17" t="s">
        <v>117</v>
      </c>
      <c r="AC51" s="17" t="s">
        <v>117</v>
      </c>
      <c r="AD51" s="57" t="s">
        <v>1320</v>
      </c>
      <c r="AE51" s="17" t="s">
        <v>117</v>
      </c>
      <c r="AF51" s="17" t="s">
        <v>366</v>
      </c>
      <c r="AG51" s="17" t="s">
        <v>120</v>
      </c>
      <c r="AH51" s="29"/>
      <c r="AI51" s="17" t="s">
        <v>120</v>
      </c>
      <c r="AJ51" s="29"/>
      <c r="AK51" s="29"/>
      <c r="AL51" s="17" t="s">
        <v>129</v>
      </c>
      <c r="AM51" s="17" t="s">
        <v>141</v>
      </c>
      <c r="AN51" s="17" t="s">
        <v>242</v>
      </c>
      <c r="AO51" s="17" t="s">
        <v>185</v>
      </c>
      <c r="AP51" s="17"/>
    </row>
    <row r="52" ht="22.5" customHeight="1">
      <c r="A52" s="59" t="s">
        <v>1334</v>
      </c>
      <c r="B52" s="59" t="s">
        <v>1335</v>
      </c>
      <c r="C52" s="59" t="s">
        <v>1337</v>
      </c>
      <c r="D52" s="60">
        <v>39623.0</v>
      </c>
      <c r="E52" s="59" t="s">
        <v>98</v>
      </c>
      <c r="F52" s="61">
        <v>5.563179379E9</v>
      </c>
      <c r="G52" s="59" t="s">
        <v>1341</v>
      </c>
      <c r="H52" s="59" t="s">
        <v>101</v>
      </c>
      <c r="I52" s="59" t="s">
        <v>1343</v>
      </c>
      <c r="J52" s="59" t="s">
        <v>1346</v>
      </c>
      <c r="K52" s="59" t="s">
        <v>1347</v>
      </c>
      <c r="L52" s="61">
        <v>5.582471633E9</v>
      </c>
      <c r="M52" s="59" t="s">
        <v>1350</v>
      </c>
      <c r="N52" s="59" t="s">
        <v>1352</v>
      </c>
      <c r="O52" s="61">
        <v>5.577152422E9</v>
      </c>
      <c r="P52" s="61">
        <v>17.0</v>
      </c>
      <c r="Q52" s="62">
        <v>46038.82268518519</v>
      </c>
      <c r="R52" s="59" t="s">
        <v>107</v>
      </c>
      <c r="S52" s="59" t="s">
        <v>109</v>
      </c>
      <c r="T52" s="59" t="s">
        <v>160</v>
      </c>
      <c r="U52" s="59" t="s">
        <v>329</v>
      </c>
      <c r="V52" s="59" t="s">
        <v>331</v>
      </c>
      <c r="W52" s="59" t="s">
        <v>332</v>
      </c>
      <c r="X52" s="59" t="s">
        <v>120</v>
      </c>
      <c r="Y52" s="63"/>
      <c r="Z52" s="59" t="s">
        <v>117</v>
      </c>
      <c r="AA52" s="64" t="s">
        <v>1357</v>
      </c>
      <c r="AB52" s="59" t="s">
        <v>117</v>
      </c>
      <c r="AC52" s="59" t="s">
        <v>117</v>
      </c>
      <c r="AD52" s="57" t="s">
        <v>365</v>
      </c>
      <c r="AE52" s="59" t="s">
        <v>117</v>
      </c>
      <c r="AF52" s="59" t="s">
        <v>366</v>
      </c>
      <c r="AG52" s="59" t="s">
        <v>120</v>
      </c>
      <c r="AH52" s="63"/>
      <c r="AI52" s="59" t="s">
        <v>120</v>
      </c>
      <c r="AJ52" s="63"/>
      <c r="AK52" s="63"/>
      <c r="AL52" s="59" t="s">
        <v>141</v>
      </c>
      <c r="AM52" s="59" t="s">
        <v>242</v>
      </c>
      <c r="AN52" s="59" t="s">
        <v>240</v>
      </c>
      <c r="AO52" s="59" t="s">
        <v>124</v>
      </c>
      <c r="AP52" s="59"/>
    </row>
    <row r="53" ht="22.5" customHeight="1">
      <c r="A53" s="17" t="s">
        <v>1376</v>
      </c>
      <c r="B53" s="17" t="s">
        <v>1378</v>
      </c>
      <c r="C53" s="17" t="s">
        <v>1381</v>
      </c>
      <c r="D53" s="19">
        <v>40081.0</v>
      </c>
      <c r="E53" s="17" t="s">
        <v>177</v>
      </c>
      <c r="F53" s="21">
        <v>5.563186578E9</v>
      </c>
      <c r="G53" s="17" t="s">
        <v>1385</v>
      </c>
      <c r="H53" s="17" t="s">
        <v>150</v>
      </c>
      <c r="I53" s="17" t="s">
        <v>1387</v>
      </c>
      <c r="J53" s="17" t="s">
        <v>1389</v>
      </c>
      <c r="K53" s="17" t="s">
        <v>1390</v>
      </c>
      <c r="L53" s="21">
        <v>5.530415126E9</v>
      </c>
      <c r="M53" s="29"/>
      <c r="N53" s="29"/>
      <c r="O53" s="29"/>
      <c r="P53" s="21">
        <v>16.0</v>
      </c>
      <c r="Q53" s="25">
        <v>46033.92826388889</v>
      </c>
      <c r="R53" s="17" t="s">
        <v>107</v>
      </c>
      <c r="S53" s="17" t="s">
        <v>109</v>
      </c>
      <c r="T53" s="17" t="s">
        <v>171</v>
      </c>
      <c r="U53" s="17" t="s">
        <v>1048</v>
      </c>
      <c r="V53" s="17" t="s">
        <v>1050</v>
      </c>
      <c r="W53" s="17" t="s">
        <v>1051</v>
      </c>
      <c r="X53" s="17" t="s">
        <v>120</v>
      </c>
      <c r="Y53" s="29"/>
      <c r="Z53" s="17" t="s">
        <v>117</v>
      </c>
      <c r="AA53" s="17" t="s">
        <v>1396</v>
      </c>
      <c r="AB53" s="17" t="s">
        <v>117</v>
      </c>
      <c r="AC53" s="17" t="s">
        <v>117</v>
      </c>
      <c r="AD53" s="57" t="s">
        <v>1399</v>
      </c>
      <c r="AE53" s="17" t="s">
        <v>120</v>
      </c>
      <c r="AF53" s="29"/>
      <c r="AG53" s="17" t="s">
        <v>120</v>
      </c>
      <c r="AH53" s="29"/>
      <c r="AI53" s="17" t="s">
        <v>120</v>
      </c>
      <c r="AJ53" s="29"/>
      <c r="AK53" s="17" t="s">
        <v>1325</v>
      </c>
      <c r="AL53" s="17" t="s">
        <v>129</v>
      </c>
      <c r="AM53" s="17" t="s">
        <v>185</v>
      </c>
      <c r="AN53" s="17" t="s">
        <v>124</v>
      </c>
      <c r="AO53" s="17" t="s">
        <v>138</v>
      </c>
      <c r="AP53" s="17"/>
    </row>
    <row r="54" ht="22.5" customHeight="1">
      <c r="A54" s="59" t="s">
        <v>1403</v>
      </c>
      <c r="B54" s="59" t="s">
        <v>1404</v>
      </c>
      <c r="C54" s="59" t="s">
        <v>1405</v>
      </c>
      <c r="D54" s="60">
        <v>40259.0</v>
      </c>
      <c r="E54" s="59" t="s">
        <v>98</v>
      </c>
      <c r="F54" s="61">
        <v>5.566667606E9</v>
      </c>
      <c r="G54" s="59" t="s">
        <v>1410</v>
      </c>
      <c r="H54" s="59" t="s">
        <v>101</v>
      </c>
      <c r="I54" s="63"/>
      <c r="J54" s="59" t="s">
        <v>1413</v>
      </c>
      <c r="K54" s="59" t="s">
        <v>1414</v>
      </c>
      <c r="L54" s="61">
        <v>5.626001027E9</v>
      </c>
      <c r="M54" s="59" t="s">
        <v>1415</v>
      </c>
      <c r="N54" s="59" t="s">
        <v>1417</v>
      </c>
      <c r="O54" s="61">
        <v>5.518227581E9</v>
      </c>
      <c r="P54" s="61">
        <v>15.0</v>
      </c>
      <c r="Q54" s="62">
        <v>46020.69278935185</v>
      </c>
      <c r="R54" s="59" t="s">
        <v>107</v>
      </c>
      <c r="S54" s="59" t="s">
        <v>109</v>
      </c>
      <c r="T54" s="59" t="s">
        <v>208</v>
      </c>
      <c r="U54" s="59" t="s">
        <v>788</v>
      </c>
      <c r="V54" s="59" t="s">
        <v>789</v>
      </c>
      <c r="W54" s="59" t="s">
        <v>790</v>
      </c>
      <c r="X54" s="59" t="s">
        <v>120</v>
      </c>
      <c r="Y54" s="63"/>
      <c r="Z54" s="59" t="s">
        <v>120</v>
      </c>
      <c r="AA54" s="63"/>
      <c r="AB54" s="59" t="s">
        <v>117</v>
      </c>
      <c r="AC54" s="59" t="s">
        <v>117</v>
      </c>
      <c r="AD54" s="57" t="s">
        <v>1429</v>
      </c>
      <c r="AE54" s="59" t="s">
        <v>120</v>
      </c>
      <c r="AF54" s="63"/>
      <c r="AG54" s="59" t="s">
        <v>120</v>
      </c>
      <c r="AH54" s="63"/>
      <c r="AI54" s="59" t="s">
        <v>120</v>
      </c>
      <c r="AJ54" s="63"/>
      <c r="AK54" s="63"/>
      <c r="AL54" s="59" t="s">
        <v>138</v>
      </c>
      <c r="AM54" s="59" t="s">
        <v>185</v>
      </c>
      <c r="AN54" s="59" t="s">
        <v>156</v>
      </c>
      <c r="AO54" s="59" t="s">
        <v>128</v>
      </c>
      <c r="AP54" s="59"/>
    </row>
    <row r="55" ht="22.5" customHeight="1">
      <c r="A55" s="17" t="s">
        <v>1435</v>
      </c>
      <c r="B55" s="17" t="s">
        <v>1438</v>
      </c>
      <c r="C55" s="17" t="s">
        <v>1440</v>
      </c>
      <c r="D55" s="19">
        <v>40093.0</v>
      </c>
      <c r="E55" s="17" t="s">
        <v>177</v>
      </c>
      <c r="F55" s="21">
        <v>5.627963261E9</v>
      </c>
      <c r="G55" s="17" t="s">
        <v>1445</v>
      </c>
      <c r="H55" s="17" t="s">
        <v>110</v>
      </c>
      <c r="I55" s="17" t="s">
        <v>135</v>
      </c>
      <c r="J55" s="17" t="s">
        <v>1448</v>
      </c>
      <c r="K55" s="17" t="s">
        <v>1450</v>
      </c>
      <c r="L55" s="21">
        <v>5.546531305E9</v>
      </c>
      <c r="M55" s="17" t="s">
        <v>1451</v>
      </c>
      <c r="N55" s="17" t="s">
        <v>1452</v>
      </c>
      <c r="O55" s="21">
        <v>5.546531305E9</v>
      </c>
      <c r="P55" s="21">
        <v>16.0</v>
      </c>
      <c r="Q55" s="25">
        <v>46018.44907407407</v>
      </c>
      <c r="R55" s="17" t="s">
        <v>107</v>
      </c>
      <c r="S55" s="17" t="s">
        <v>109</v>
      </c>
      <c r="T55" s="17" t="s">
        <v>204</v>
      </c>
      <c r="U55" s="17" t="s">
        <v>357</v>
      </c>
      <c r="V55" s="17" t="s">
        <v>359</v>
      </c>
      <c r="W55" s="17" t="s">
        <v>362</v>
      </c>
      <c r="X55" s="17" t="s">
        <v>120</v>
      </c>
      <c r="Y55" s="29"/>
      <c r="Z55" s="17" t="s">
        <v>120</v>
      </c>
      <c r="AA55" s="29"/>
      <c r="AB55" s="17" t="s">
        <v>117</v>
      </c>
      <c r="AC55" s="17" t="s">
        <v>117</v>
      </c>
      <c r="AD55" s="57" t="s">
        <v>1464</v>
      </c>
      <c r="AE55" s="17" t="s">
        <v>120</v>
      </c>
      <c r="AF55" s="29"/>
      <c r="AG55" s="17" t="s">
        <v>120</v>
      </c>
      <c r="AH55" s="29"/>
      <c r="AI55" s="17" t="s">
        <v>120</v>
      </c>
      <c r="AJ55" s="29"/>
      <c r="AK55" s="29"/>
      <c r="AL55" s="17" t="s">
        <v>156</v>
      </c>
      <c r="AM55" s="17" t="s">
        <v>129</v>
      </c>
      <c r="AN55" s="17" t="s">
        <v>124</v>
      </c>
      <c r="AO55" s="17" t="s">
        <v>185</v>
      </c>
      <c r="AP55" s="17"/>
    </row>
    <row r="56" ht="22.5" customHeight="1">
      <c r="A56" s="59" t="s">
        <v>1477</v>
      </c>
      <c r="B56" s="59" t="s">
        <v>1478</v>
      </c>
      <c r="C56" s="59" t="s">
        <v>1479</v>
      </c>
      <c r="D56" s="60">
        <v>41037.0</v>
      </c>
      <c r="E56" s="59" t="s">
        <v>177</v>
      </c>
      <c r="F56" s="61">
        <v>5.547520411E9</v>
      </c>
      <c r="G56" s="59" t="s">
        <v>1480</v>
      </c>
      <c r="H56" s="59" t="s">
        <v>101</v>
      </c>
      <c r="I56" s="59" t="s">
        <v>135</v>
      </c>
      <c r="J56" s="59" t="s">
        <v>1481</v>
      </c>
      <c r="K56" s="59" t="s">
        <v>1482</v>
      </c>
      <c r="L56" s="61">
        <v>5.53714428E9</v>
      </c>
      <c r="M56" s="59" t="s">
        <v>1484</v>
      </c>
      <c r="N56" s="59" t="s">
        <v>1485</v>
      </c>
      <c r="O56" s="61">
        <v>5.53938741E9</v>
      </c>
      <c r="P56" s="61">
        <v>13.0</v>
      </c>
      <c r="Q56" s="62">
        <v>46034.84743055556</v>
      </c>
      <c r="R56" s="59" t="s">
        <v>107</v>
      </c>
      <c r="S56" s="59" t="s">
        <v>109</v>
      </c>
      <c r="T56" s="59" t="s">
        <v>171</v>
      </c>
      <c r="U56" s="59" t="s">
        <v>1048</v>
      </c>
      <c r="V56" s="59" t="s">
        <v>1050</v>
      </c>
      <c r="W56" s="59" t="s">
        <v>1051</v>
      </c>
      <c r="X56" s="59" t="s">
        <v>120</v>
      </c>
      <c r="Y56" s="63"/>
      <c r="Z56" s="59" t="s">
        <v>120</v>
      </c>
      <c r="AA56" s="63"/>
      <c r="AB56" s="59" t="s">
        <v>117</v>
      </c>
      <c r="AC56" s="59" t="s">
        <v>120</v>
      </c>
      <c r="AD56" s="57" t="s">
        <v>1500</v>
      </c>
      <c r="AE56" s="59" t="s">
        <v>120</v>
      </c>
      <c r="AF56" s="63"/>
      <c r="AG56" s="59" t="s">
        <v>120</v>
      </c>
      <c r="AH56" s="63"/>
      <c r="AI56" s="59" t="s">
        <v>120</v>
      </c>
      <c r="AJ56" s="63"/>
      <c r="AK56" s="63"/>
      <c r="AL56" s="59" t="s">
        <v>124</v>
      </c>
      <c r="AM56" s="59" t="s">
        <v>156</v>
      </c>
      <c r="AN56" s="59" t="s">
        <v>242</v>
      </c>
      <c r="AO56" s="59" t="s">
        <v>216</v>
      </c>
      <c r="AP56" s="59"/>
    </row>
    <row r="57" ht="22.5" customHeight="1">
      <c r="A57" s="17" t="s">
        <v>1285</v>
      </c>
      <c r="B57" s="17" t="s">
        <v>1286</v>
      </c>
      <c r="C57" s="17" t="s">
        <v>1287</v>
      </c>
      <c r="D57" s="19">
        <v>39963.0</v>
      </c>
      <c r="E57" s="17" t="s">
        <v>98</v>
      </c>
      <c r="F57" s="21">
        <v>5.517126623E9</v>
      </c>
      <c r="G57" s="17" t="s">
        <v>1290</v>
      </c>
      <c r="H57" s="17" t="s">
        <v>140</v>
      </c>
      <c r="I57" s="29"/>
      <c r="J57" s="17" t="s">
        <v>1292</v>
      </c>
      <c r="K57" s="17" t="s">
        <v>1294</v>
      </c>
      <c r="L57" s="21">
        <v>0.0</v>
      </c>
      <c r="M57" s="17" t="s">
        <v>1297</v>
      </c>
      <c r="N57" s="17" t="s">
        <v>1298</v>
      </c>
      <c r="O57" s="21">
        <v>5.548772614E9</v>
      </c>
      <c r="P57" s="21">
        <v>16.0</v>
      </c>
      <c r="Q57" s="25">
        <v>46035.62359953704</v>
      </c>
      <c r="R57" s="17" t="s">
        <v>107</v>
      </c>
      <c r="S57" s="17" t="s">
        <v>109</v>
      </c>
      <c r="T57" s="17" t="s">
        <v>192</v>
      </c>
      <c r="U57" s="17" t="s">
        <v>485</v>
      </c>
      <c r="V57" s="17" t="s">
        <v>486</v>
      </c>
      <c r="W57" s="17" t="s">
        <v>487</v>
      </c>
      <c r="X57" s="17" t="s">
        <v>120</v>
      </c>
      <c r="Y57" s="29"/>
      <c r="Z57" s="17" t="s">
        <v>120</v>
      </c>
      <c r="AA57" s="29"/>
      <c r="AB57" s="17" t="s">
        <v>117</v>
      </c>
      <c r="AC57" s="17" t="s">
        <v>117</v>
      </c>
      <c r="AD57" s="102" t="s">
        <v>1517</v>
      </c>
      <c r="AE57" s="17" t="s">
        <v>117</v>
      </c>
      <c r="AF57" s="17" t="s">
        <v>1309</v>
      </c>
      <c r="AG57" s="17" t="s">
        <v>120</v>
      </c>
      <c r="AH57" s="17" t="s">
        <v>1311</v>
      </c>
      <c r="AI57" s="17" t="s">
        <v>120</v>
      </c>
      <c r="AJ57" s="29"/>
      <c r="AK57" s="17" t="s">
        <v>1311</v>
      </c>
      <c r="AL57" s="17" t="s">
        <v>185</v>
      </c>
      <c r="AM57" s="17" t="s">
        <v>129</v>
      </c>
      <c r="AN57" s="17" t="s">
        <v>216</v>
      </c>
      <c r="AO57" s="17" t="s">
        <v>124</v>
      </c>
      <c r="AP57" s="17"/>
    </row>
    <row r="58" ht="22.5" customHeight="1">
      <c r="A58" s="59" t="s">
        <v>1526</v>
      </c>
      <c r="B58" s="59" t="s">
        <v>1527</v>
      </c>
      <c r="C58" s="59" t="s">
        <v>1528</v>
      </c>
      <c r="D58" s="60">
        <v>40304.0</v>
      </c>
      <c r="E58" s="59" t="s">
        <v>177</v>
      </c>
      <c r="F58" s="61">
        <v>5.537488846E9</v>
      </c>
      <c r="G58" s="59" t="s">
        <v>1529</v>
      </c>
      <c r="H58" s="59" t="s">
        <v>101</v>
      </c>
      <c r="I58" s="59" t="s">
        <v>1530</v>
      </c>
      <c r="J58" s="59" t="s">
        <v>1531</v>
      </c>
      <c r="K58" s="59" t="s">
        <v>1532</v>
      </c>
      <c r="L58" s="61">
        <v>5.591084594E9</v>
      </c>
      <c r="M58" s="63"/>
      <c r="N58" s="63"/>
      <c r="O58" s="63"/>
      <c r="P58" s="61">
        <v>15.0</v>
      </c>
      <c r="Q58" s="62">
        <v>46025.90515046296</v>
      </c>
      <c r="R58" s="59" t="s">
        <v>107</v>
      </c>
      <c r="S58" s="59" t="s">
        <v>109</v>
      </c>
      <c r="T58" s="59" t="s">
        <v>204</v>
      </c>
      <c r="U58" s="59" t="s">
        <v>311</v>
      </c>
      <c r="V58" s="59" t="s">
        <v>312</v>
      </c>
      <c r="W58" s="59" t="s">
        <v>313</v>
      </c>
      <c r="X58" s="59" t="s">
        <v>120</v>
      </c>
      <c r="Y58" s="63"/>
      <c r="Z58" s="59" t="s">
        <v>117</v>
      </c>
      <c r="AA58" s="64" t="s">
        <v>1541</v>
      </c>
      <c r="AB58" s="59" t="s">
        <v>117</v>
      </c>
      <c r="AC58" s="59" t="s">
        <v>117</v>
      </c>
      <c r="AD58" s="57" t="s">
        <v>365</v>
      </c>
      <c r="AE58" s="59" t="s">
        <v>117</v>
      </c>
      <c r="AF58" s="59" t="s">
        <v>366</v>
      </c>
      <c r="AG58" s="59" t="s">
        <v>120</v>
      </c>
      <c r="AH58" s="63"/>
      <c r="AI58" s="59" t="s">
        <v>120</v>
      </c>
      <c r="AJ58" s="63"/>
      <c r="AK58" s="63"/>
      <c r="AL58" s="59" t="s">
        <v>129</v>
      </c>
      <c r="AM58" s="59" t="s">
        <v>138</v>
      </c>
      <c r="AN58" s="59" t="s">
        <v>126</v>
      </c>
      <c r="AO58" s="59" t="s">
        <v>242</v>
      </c>
      <c r="AP58" s="59"/>
    </row>
    <row r="59" ht="22.5" customHeight="1">
      <c r="A59" s="27" t="s">
        <v>1545</v>
      </c>
      <c r="B59" s="27" t="s">
        <v>1546</v>
      </c>
      <c r="C59" s="103"/>
      <c r="D59" s="104">
        <v>41241.0</v>
      </c>
      <c r="E59" s="27" t="s">
        <v>98</v>
      </c>
      <c r="F59" s="27">
        <v>7.295119155E9</v>
      </c>
      <c r="G59" s="27" t="s">
        <v>1553</v>
      </c>
      <c r="H59" s="27" t="s">
        <v>140</v>
      </c>
      <c r="I59" s="103"/>
      <c r="J59" s="27" t="s">
        <v>1558</v>
      </c>
      <c r="K59" s="27" t="s">
        <v>1553</v>
      </c>
      <c r="L59" s="27">
        <v>7.295119155E9</v>
      </c>
      <c r="M59" s="103"/>
      <c r="N59" s="103"/>
      <c r="O59" s="103"/>
      <c r="P59" s="105">
        <v>13.0</v>
      </c>
      <c r="Q59" s="106">
        <v>46029.49931712963</v>
      </c>
      <c r="R59" s="27" t="s">
        <v>107</v>
      </c>
      <c r="S59" s="27" t="s">
        <v>109</v>
      </c>
      <c r="T59" s="27" t="s">
        <v>204</v>
      </c>
      <c r="U59" s="27" t="s">
        <v>205</v>
      </c>
      <c r="V59" s="27" t="s">
        <v>206</v>
      </c>
      <c r="W59" s="27" t="s">
        <v>207</v>
      </c>
      <c r="X59" s="27" t="s">
        <v>120</v>
      </c>
      <c r="Y59" s="103"/>
      <c r="Z59" s="27" t="s">
        <v>117</v>
      </c>
      <c r="AA59" s="107" t="s">
        <v>1565</v>
      </c>
      <c r="AB59" s="27" t="s">
        <v>117</v>
      </c>
      <c r="AC59" s="27" t="s">
        <v>117</v>
      </c>
      <c r="AD59" s="108" t="s">
        <v>886</v>
      </c>
      <c r="AE59" s="27" t="s">
        <v>120</v>
      </c>
      <c r="AF59" s="103"/>
      <c r="AG59" s="27" t="s">
        <v>120</v>
      </c>
      <c r="AH59" s="103"/>
      <c r="AI59" s="27" t="s">
        <v>120</v>
      </c>
      <c r="AJ59" s="103"/>
      <c r="AK59" s="103"/>
      <c r="AL59" s="27" t="s">
        <v>216</v>
      </c>
      <c r="AM59" s="27" t="s">
        <v>138</v>
      </c>
      <c r="AN59" s="27" t="s">
        <v>156</v>
      </c>
      <c r="AO59" s="27" t="s">
        <v>126</v>
      </c>
      <c r="AP59" s="27"/>
    </row>
    <row r="60" ht="22.5" customHeight="1">
      <c r="A60" s="23" t="s">
        <v>1577</v>
      </c>
      <c r="B60" s="23" t="s">
        <v>1579</v>
      </c>
      <c r="C60" s="23" t="s">
        <v>1581</v>
      </c>
      <c r="D60" s="68">
        <v>40022.0</v>
      </c>
      <c r="E60" s="23" t="s">
        <v>98</v>
      </c>
      <c r="F60" s="23">
        <v>2.202773459E9</v>
      </c>
      <c r="G60" s="23" t="s">
        <v>1583</v>
      </c>
      <c r="H60" s="23" t="s">
        <v>150</v>
      </c>
      <c r="I60" s="23" t="s">
        <v>135</v>
      </c>
      <c r="J60" s="23" t="s">
        <v>1585</v>
      </c>
      <c r="K60" s="23" t="s">
        <v>1587</v>
      </c>
      <c r="L60" s="23">
        <v>5.581232117E9</v>
      </c>
      <c r="M60" s="23" t="s">
        <v>1589</v>
      </c>
      <c r="N60" s="23" t="s">
        <v>1590</v>
      </c>
      <c r="O60" s="23">
        <v>5.585680312E9</v>
      </c>
      <c r="P60" s="70">
        <v>16.0</v>
      </c>
      <c r="Q60" s="71">
        <v>46025.83627314815</v>
      </c>
      <c r="R60" s="23" t="s">
        <v>107</v>
      </c>
      <c r="S60" s="23" t="s">
        <v>109</v>
      </c>
      <c r="T60" s="23" t="s">
        <v>127</v>
      </c>
      <c r="U60" s="23" t="s">
        <v>234</v>
      </c>
      <c r="V60" s="23" t="s">
        <v>227</v>
      </c>
      <c r="W60" s="23" t="s">
        <v>236</v>
      </c>
      <c r="X60" s="23" t="s">
        <v>120</v>
      </c>
      <c r="Y60" s="69"/>
      <c r="Z60" s="23" t="s">
        <v>120</v>
      </c>
      <c r="AA60" s="69"/>
      <c r="AB60" s="23" t="s">
        <v>117</v>
      </c>
      <c r="AC60" s="23" t="s">
        <v>117</v>
      </c>
      <c r="AD60" s="108" t="s">
        <v>334</v>
      </c>
      <c r="AE60" s="23" t="s">
        <v>120</v>
      </c>
      <c r="AF60" s="69"/>
      <c r="AG60" s="23" t="s">
        <v>117</v>
      </c>
      <c r="AH60" s="23" t="s">
        <v>1598</v>
      </c>
      <c r="AI60" s="23" t="s">
        <v>120</v>
      </c>
      <c r="AJ60" s="69"/>
      <c r="AK60" s="23" t="s">
        <v>135</v>
      </c>
      <c r="AL60" s="23" t="s">
        <v>185</v>
      </c>
      <c r="AM60" s="23" t="s">
        <v>124</v>
      </c>
      <c r="AN60" s="23" t="s">
        <v>240</v>
      </c>
      <c r="AO60" s="23" t="s">
        <v>128</v>
      </c>
      <c r="AP60" s="23"/>
    </row>
    <row r="61" ht="22.5" customHeight="1">
      <c r="A61" s="27" t="s">
        <v>1603</v>
      </c>
      <c r="B61" s="27" t="s">
        <v>1604</v>
      </c>
      <c r="C61" s="27" t="s">
        <v>1605</v>
      </c>
      <c r="D61" s="104">
        <v>39944.0</v>
      </c>
      <c r="E61" s="27" t="s">
        <v>177</v>
      </c>
      <c r="F61" s="27">
        <v>2.414197617E9</v>
      </c>
      <c r="G61" s="27" t="s">
        <v>1608</v>
      </c>
      <c r="H61" s="27" t="s">
        <v>101</v>
      </c>
      <c r="I61" s="27" t="s">
        <v>584</v>
      </c>
      <c r="J61" s="27" t="s">
        <v>1609</v>
      </c>
      <c r="K61" s="27" t="s">
        <v>1610</v>
      </c>
      <c r="L61" s="27">
        <v>5.537705539E9</v>
      </c>
      <c r="M61" s="103"/>
      <c r="N61" s="103"/>
      <c r="O61" s="103"/>
      <c r="P61" s="105">
        <v>16.0</v>
      </c>
      <c r="Q61" s="106">
        <v>46031.84113425926</v>
      </c>
      <c r="R61" s="27" t="s">
        <v>107</v>
      </c>
      <c r="S61" s="27" t="s">
        <v>109</v>
      </c>
      <c r="T61" s="27" t="s">
        <v>208</v>
      </c>
      <c r="U61" s="27" t="s">
        <v>228</v>
      </c>
      <c r="V61" s="27" t="s">
        <v>229</v>
      </c>
      <c r="W61" s="27" t="s">
        <v>230</v>
      </c>
      <c r="X61" s="27" t="s">
        <v>120</v>
      </c>
      <c r="Y61" s="27" t="s">
        <v>135</v>
      </c>
      <c r="Z61" s="27" t="s">
        <v>120</v>
      </c>
      <c r="AA61" s="27" t="s">
        <v>135</v>
      </c>
      <c r="AB61" s="27" t="s">
        <v>117</v>
      </c>
      <c r="AC61" s="27" t="s">
        <v>117</v>
      </c>
      <c r="AD61" s="108" t="s">
        <v>1620</v>
      </c>
      <c r="AE61" s="27" t="s">
        <v>120</v>
      </c>
      <c r="AF61" s="27" t="s">
        <v>135</v>
      </c>
      <c r="AG61" s="27" t="s">
        <v>120</v>
      </c>
      <c r="AH61" s="27" t="s">
        <v>135</v>
      </c>
      <c r="AI61" s="27" t="s">
        <v>120</v>
      </c>
      <c r="AJ61" s="27" t="s">
        <v>135</v>
      </c>
      <c r="AK61" s="27" t="s">
        <v>135</v>
      </c>
      <c r="AL61" s="27" t="s">
        <v>141</v>
      </c>
      <c r="AM61" s="27" t="s">
        <v>129</v>
      </c>
      <c r="AN61" s="27" t="s">
        <v>138</v>
      </c>
      <c r="AO61" s="27" t="s">
        <v>124</v>
      </c>
      <c r="AP61" s="27"/>
    </row>
    <row r="62" ht="22.5" customHeight="1">
      <c r="A62" s="23" t="s">
        <v>1627</v>
      </c>
      <c r="B62" s="23" t="s">
        <v>1060</v>
      </c>
      <c r="C62" s="23" t="s">
        <v>1629</v>
      </c>
      <c r="D62" s="68">
        <v>40417.0</v>
      </c>
      <c r="E62" s="23" t="s">
        <v>98</v>
      </c>
      <c r="F62" s="23">
        <v>5.610338282E9</v>
      </c>
      <c r="G62" s="23" t="s">
        <v>1631</v>
      </c>
      <c r="H62" s="23" t="s">
        <v>101</v>
      </c>
      <c r="I62" s="69"/>
      <c r="J62" s="23" t="s">
        <v>1071</v>
      </c>
      <c r="K62" s="23" t="s">
        <v>1073</v>
      </c>
      <c r="L62" s="23">
        <v>5.518772662E9</v>
      </c>
      <c r="M62" s="69"/>
      <c r="N62" s="69"/>
      <c r="O62" s="69"/>
      <c r="P62" s="70">
        <v>15.0</v>
      </c>
      <c r="Q62" s="71">
        <v>46038.85186342592</v>
      </c>
      <c r="R62" s="23" t="s">
        <v>107</v>
      </c>
      <c r="S62" s="23" t="s">
        <v>109</v>
      </c>
      <c r="T62" s="23" t="s">
        <v>171</v>
      </c>
      <c r="U62" s="23" t="s">
        <v>526</v>
      </c>
      <c r="V62" s="23" t="s">
        <v>527</v>
      </c>
      <c r="W62" s="23" t="s">
        <v>528</v>
      </c>
      <c r="X62" s="23" t="s">
        <v>120</v>
      </c>
      <c r="Y62" s="69"/>
      <c r="Z62" s="23" t="s">
        <v>120</v>
      </c>
      <c r="AA62" s="69"/>
      <c r="AB62" s="23" t="s">
        <v>117</v>
      </c>
      <c r="AC62" s="23" t="s">
        <v>117</v>
      </c>
      <c r="AD62" s="108" t="s">
        <v>1639</v>
      </c>
      <c r="AE62" s="23" t="s">
        <v>117</v>
      </c>
      <c r="AF62" s="23" t="s">
        <v>366</v>
      </c>
      <c r="AG62" s="23" t="s">
        <v>120</v>
      </c>
      <c r="AH62" s="69"/>
      <c r="AI62" s="23" t="s">
        <v>120</v>
      </c>
      <c r="AJ62" s="69"/>
      <c r="AK62" s="69"/>
      <c r="AL62" s="23" t="s">
        <v>124</v>
      </c>
      <c r="AM62" s="23" t="s">
        <v>138</v>
      </c>
      <c r="AN62" s="23" t="s">
        <v>129</v>
      </c>
      <c r="AO62" s="23" t="s">
        <v>128</v>
      </c>
      <c r="AP62" s="23"/>
    </row>
    <row r="63" ht="22.5" customHeight="1">
      <c r="A63" s="27" t="s">
        <v>1646</v>
      </c>
      <c r="B63" s="27" t="s">
        <v>1647</v>
      </c>
      <c r="C63" s="27" t="s">
        <v>1649</v>
      </c>
      <c r="D63" s="104">
        <v>40624.0</v>
      </c>
      <c r="E63" s="27" t="s">
        <v>98</v>
      </c>
      <c r="F63" s="27">
        <v>5.620882283E9</v>
      </c>
      <c r="G63" s="27" t="s">
        <v>1654</v>
      </c>
      <c r="H63" s="27" t="s">
        <v>140</v>
      </c>
      <c r="I63" s="103"/>
      <c r="J63" s="27" t="s">
        <v>1657</v>
      </c>
      <c r="K63" s="27" t="s">
        <v>1658</v>
      </c>
      <c r="L63" s="27">
        <v>5.585786026E9</v>
      </c>
      <c r="M63" s="27" t="s">
        <v>1661</v>
      </c>
      <c r="N63" s="27" t="s">
        <v>1662</v>
      </c>
      <c r="O63" s="27">
        <v>5.551590965E9</v>
      </c>
      <c r="P63" s="105">
        <v>14.0</v>
      </c>
      <c r="Q63" s="106">
        <v>46033.48384259259</v>
      </c>
      <c r="R63" s="27" t="s">
        <v>107</v>
      </c>
      <c r="S63" s="27" t="s">
        <v>109</v>
      </c>
      <c r="T63" s="27" t="s">
        <v>208</v>
      </c>
      <c r="U63" s="27" t="s">
        <v>478</v>
      </c>
      <c r="V63" s="27" t="s">
        <v>480</v>
      </c>
      <c r="W63" s="27" t="s">
        <v>481</v>
      </c>
      <c r="X63" s="27" t="s">
        <v>120</v>
      </c>
      <c r="Y63" s="103"/>
      <c r="Z63" s="27" t="s">
        <v>117</v>
      </c>
      <c r="AA63" s="107" t="s">
        <v>1663</v>
      </c>
      <c r="AB63" s="27" t="s">
        <v>117</v>
      </c>
      <c r="AC63" s="27" t="s">
        <v>117</v>
      </c>
      <c r="AD63" s="108" t="s">
        <v>1664</v>
      </c>
      <c r="AE63" s="27" t="s">
        <v>120</v>
      </c>
      <c r="AF63" s="103"/>
      <c r="AG63" s="27" t="s">
        <v>120</v>
      </c>
      <c r="AH63" s="103"/>
      <c r="AI63" s="27" t="s">
        <v>120</v>
      </c>
      <c r="AJ63" s="103"/>
      <c r="AK63" s="103"/>
      <c r="AL63" s="27" t="s">
        <v>185</v>
      </c>
      <c r="AM63" s="27" t="s">
        <v>242</v>
      </c>
      <c r="AN63" s="27" t="s">
        <v>216</v>
      </c>
      <c r="AO63" s="27" t="s">
        <v>129</v>
      </c>
      <c r="AP63" s="27"/>
    </row>
    <row r="64" ht="22.5" customHeight="1">
      <c r="A64" s="23" t="s">
        <v>1676</v>
      </c>
      <c r="B64" s="23" t="s">
        <v>1678</v>
      </c>
      <c r="C64" s="23" t="s">
        <v>1680</v>
      </c>
      <c r="D64" s="68">
        <v>39545.0</v>
      </c>
      <c r="E64" s="23" t="s">
        <v>98</v>
      </c>
      <c r="F64" s="23">
        <v>5.588032892E9</v>
      </c>
      <c r="G64" s="23" t="s">
        <v>1685</v>
      </c>
      <c r="H64" s="23" t="s">
        <v>101</v>
      </c>
      <c r="I64" s="69"/>
      <c r="J64" s="23" t="s">
        <v>1687</v>
      </c>
      <c r="K64" s="23" t="s">
        <v>1688</v>
      </c>
      <c r="L64" s="23">
        <v>5.580325992E9</v>
      </c>
      <c r="M64" s="69"/>
      <c r="N64" s="69"/>
      <c r="O64" s="69"/>
      <c r="P64" s="70">
        <v>17.0</v>
      </c>
      <c r="Q64" s="71">
        <v>46036.9050462963</v>
      </c>
      <c r="R64" s="23" t="s">
        <v>107</v>
      </c>
      <c r="S64" s="23" t="s">
        <v>109</v>
      </c>
      <c r="T64" s="23" t="s">
        <v>160</v>
      </c>
      <c r="U64" s="23" t="s">
        <v>308</v>
      </c>
      <c r="V64" s="23" t="s">
        <v>309</v>
      </c>
      <c r="W64" s="23" t="s">
        <v>310</v>
      </c>
      <c r="X64" s="23" t="s">
        <v>120</v>
      </c>
      <c r="Y64" s="69"/>
      <c r="Z64" s="23" t="s">
        <v>120</v>
      </c>
      <c r="AA64" s="69"/>
      <c r="AB64" s="23" t="s">
        <v>117</v>
      </c>
      <c r="AC64" s="23" t="s">
        <v>117</v>
      </c>
      <c r="AD64" s="108" t="s">
        <v>1699</v>
      </c>
      <c r="AE64" s="23" t="s">
        <v>120</v>
      </c>
      <c r="AF64" s="69"/>
      <c r="AG64" s="23" t="s">
        <v>120</v>
      </c>
      <c r="AH64" s="69"/>
      <c r="AI64" s="23" t="s">
        <v>120</v>
      </c>
      <c r="AJ64" s="69"/>
      <c r="AK64" s="69"/>
      <c r="AL64" s="23" t="s">
        <v>141</v>
      </c>
      <c r="AM64" s="23" t="s">
        <v>242</v>
      </c>
      <c r="AN64" s="23" t="s">
        <v>128</v>
      </c>
      <c r="AO64" s="23" t="s">
        <v>129</v>
      </c>
      <c r="AP64" s="23"/>
    </row>
    <row r="65" ht="22.5" customHeight="1">
      <c r="A65" s="27" t="s">
        <v>1542</v>
      </c>
      <c r="B65" s="27" t="s">
        <v>1543</v>
      </c>
      <c r="C65" s="27" t="s">
        <v>1544</v>
      </c>
      <c r="D65" s="104">
        <v>40653.0</v>
      </c>
      <c r="E65" s="27" t="s">
        <v>177</v>
      </c>
      <c r="F65" s="27">
        <v>5.610274297E9</v>
      </c>
      <c r="G65" s="27" t="s">
        <v>1547</v>
      </c>
      <c r="H65" s="27" t="s">
        <v>140</v>
      </c>
      <c r="I65" s="27" t="s">
        <v>1549</v>
      </c>
      <c r="J65" s="27" t="s">
        <v>1551</v>
      </c>
      <c r="K65" s="27" t="s">
        <v>1547</v>
      </c>
      <c r="L65" s="27">
        <v>5.610274297E9</v>
      </c>
      <c r="M65" s="103"/>
      <c r="N65" s="103"/>
      <c r="O65" s="103"/>
      <c r="P65" s="105">
        <v>14.0</v>
      </c>
      <c r="Q65" s="106">
        <v>46039.70263888889</v>
      </c>
      <c r="R65" s="27" t="s">
        <v>107</v>
      </c>
      <c r="S65" s="27" t="s">
        <v>109</v>
      </c>
      <c r="T65" s="27" t="s">
        <v>204</v>
      </c>
      <c r="U65" s="27" t="s">
        <v>311</v>
      </c>
      <c r="V65" s="27" t="s">
        <v>312</v>
      </c>
      <c r="W65" s="27" t="s">
        <v>313</v>
      </c>
      <c r="X65" s="27" t="s">
        <v>120</v>
      </c>
      <c r="Y65" s="103"/>
      <c r="Z65" s="27" t="s">
        <v>120</v>
      </c>
      <c r="AA65" s="103"/>
      <c r="AB65" s="27" t="s">
        <v>117</v>
      </c>
      <c r="AC65" s="27" t="s">
        <v>117</v>
      </c>
      <c r="AD65" s="108" t="s">
        <v>1566</v>
      </c>
      <c r="AE65" s="27" t="s">
        <v>120</v>
      </c>
      <c r="AF65" s="103"/>
      <c r="AG65" s="27" t="s">
        <v>120</v>
      </c>
      <c r="AH65" s="103"/>
      <c r="AI65" s="27" t="s">
        <v>117</v>
      </c>
      <c r="AJ65" s="27" t="s">
        <v>178</v>
      </c>
      <c r="AK65" s="103"/>
      <c r="AL65" s="27" t="s">
        <v>141</v>
      </c>
      <c r="AM65" s="27" t="s">
        <v>129</v>
      </c>
      <c r="AN65" s="27" t="s">
        <v>138</v>
      </c>
      <c r="AO65" s="27" t="s">
        <v>126</v>
      </c>
      <c r="AP65" s="27"/>
    </row>
    <row r="66" ht="22.5" customHeight="1">
      <c r="A66" s="23" t="s">
        <v>1730</v>
      </c>
      <c r="B66" s="23" t="s">
        <v>1731</v>
      </c>
      <c r="C66" s="23" t="s">
        <v>1733</v>
      </c>
      <c r="D66" s="68">
        <v>40382.0</v>
      </c>
      <c r="E66" s="23" t="s">
        <v>177</v>
      </c>
      <c r="F66" s="23">
        <v>8.434719935E9</v>
      </c>
      <c r="G66" s="23" t="s">
        <v>1735</v>
      </c>
      <c r="H66" s="23" t="s">
        <v>101</v>
      </c>
      <c r="I66" s="69"/>
      <c r="J66" s="23" t="s">
        <v>1736</v>
      </c>
      <c r="K66" s="23" t="s">
        <v>1737</v>
      </c>
      <c r="L66" s="23">
        <v>5.522714514E9</v>
      </c>
      <c r="M66" s="69"/>
      <c r="N66" s="69"/>
      <c r="O66" s="69"/>
      <c r="P66" s="70">
        <v>15.0</v>
      </c>
      <c r="Q66" s="71">
        <v>46037.40195601852</v>
      </c>
      <c r="R66" s="23" t="s">
        <v>260</v>
      </c>
      <c r="S66" s="23" t="s">
        <v>109</v>
      </c>
      <c r="T66" s="23" t="s">
        <v>171</v>
      </c>
      <c r="U66" s="23" t="s">
        <v>1048</v>
      </c>
      <c r="V66" s="23" t="s">
        <v>1050</v>
      </c>
      <c r="W66" s="23" t="s">
        <v>1051</v>
      </c>
      <c r="X66" s="23" t="s">
        <v>120</v>
      </c>
      <c r="Y66" s="69"/>
      <c r="Z66" s="23" t="s">
        <v>117</v>
      </c>
      <c r="AA66" s="23" t="s">
        <v>1742</v>
      </c>
      <c r="AB66" s="23" t="s">
        <v>117</v>
      </c>
      <c r="AC66" s="23" t="s">
        <v>117</v>
      </c>
      <c r="AD66" s="108" t="s">
        <v>1743</v>
      </c>
      <c r="AE66" s="23" t="s">
        <v>120</v>
      </c>
      <c r="AF66" s="69"/>
      <c r="AG66" s="23" t="s">
        <v>120</v>
      </c>
      <c r="AH66" s="69"/>
      <c r="AI66" s="23" t="s">
        <v>120</v>
      </c>
      <c r="AJ66" s="69"/>
      <c r="AK66" s="69"/>
      <c r="AL66" s="23" t="s">
        <v>126</v>
      </c>
      <c r="AM66" s="23" t="s">
        <v>138</v>
      </c>
      <c r="AN66" s="23" t="s">
        <v>141</v>
      </c>
      <c r="AO66" s="23" t="s">
        <v>185</v>
      </c>
      <c r="AP66" s="23"/>
    </row>
    <row r="67" ht="22.5" customHeight="1">
      <c r="A67" s="17" t="s">
        <v>1749</v>
      </c>
      <c r="B67" s="17" t="s">
        <v>1751</v>
      </c>
      <c r="C67" s="17" t="s">
        <v>1752</v>
      </c>
      <c r="D67" s="19">
        <v>39958.0</v>
      </c>
      <c r="E67" s="17" t="s">
        <v>98</v>
      </c>
      <c r="F67" s="21">
        <v>5.537331039E9</v>
      </c>
      <c r="G67" s="17" t="s">
        <v>1753</v>
      </c>
      <c r="H67" s="17" t="s">
        <v>101</v>
      </c>
      <c r="I67" s="17" t="s">
        <v>1325</v>
      </c>
      <c r="J67" s="17" t="s">
        <v>1755</v>
      </c>
      <c r="K67" s="17" t="s">
        <v>1756</v>
      </c>
      <c r="L67" s="21">
        <v>5.537331039E9</v>
      </c>
      <c r="M67" s="17" t="s">
        <v>1759</v>
      </c>
      <c r="N67" s="17" t="s">
        <v>1760</v>
      </c>
      <c r="O67" s="21">
        <v>5.554159611E9</v>
      </c>
      <c r="P67" s="21">
        <v>16.0</v>
      </c>
      <c r="Q67" s="25">
        <v>46044.63643518519</v>
      </c>
      <c r="R67" s="17" t="s">
        <v>107</v>
      </c>
      <c r="S67" s="17" t="s">
        <v>109</v>
      </c>
      <c r="T67" s="17" t="s">
        <v>171</v>
      </c>
      <c r="U67" s="17" t="s">
        <v>526</v>
      </c>
      <c r="V67" s="17" t="s">
        <v>527</v>
      </c>
      <c r="W67" s="17" t="s">
        <v>528</v>
      </c>
      <c r="X67" s="17" t="s">
        <v>120</v>
      </c>
      <c r="Y67" s="29"/>
      <c r="Z67" s="17" t="s">
        <v>120</v>
      </c>
      <c r="AA67" s="29"/>
      <c r="AB67" s="17" t="s">
        <v>117</v>
      </c>
      <c r="AC67" s="17" t="s">
        <v>117</v>
      </c>
      <c r="AD67" s="57" t="s">
        <v>1773</v>
      </c>
      <c r="AE67" s="17" t="s">
        <v>120</v>
      </c>
      <c r="AF67" s="29"/>
      <c r="AG67" s="17" t="s">
        <v>120</v>
      </c>
      <c r="AH67" s="29"/>
      <c r="AI67" s="17" t="s">
        <v>120</v>
      </c>
      <c r="AJ67" s="29"/>
      <c r="AK67" s="29"/>
      <c r="AL67" s="17" t="s">
        <v>138</v>
      </c>
      <c r="AM67" s="17" t="s">
        <v>129</v>
      </c>
      <c r="AN67" s="17" t="s">
        <v>141</v>
      </c>
      <c r="AO67" s="17" t="s">
        <v>185</v>
      </c>
      <c r="AP67" s="17"/>
    </row>
    <row r="68" ht="22.5" customHeight="1">
      <c r="A68" s="59" t="s">
        <v>1606</v>
      </c>
      <c r="B68" s="59" t="s">
        <v>1607</v>
      </c>
      <c r="C68" s="63"/>
      <c r="D68" s="60">
        <v>40159.0</v>
      </c>
      <c r="E68" s="59" t="s">
        <v>177</v>
      </c>
      <c r="F68" s="61">
        <v>5.588061619E9</v>
      </c>
      <c r="G68" s="59" t="s">
        <v>1613</v>
      </c>
      <c r="H68" s="59" t="s">
        <v>140</v>
      </c>
      <c r="I68" s="63"/>
      <c r="J68" s="59" t="s">
        <v>1616</v>
      </c>
      <c r="K68" s="59" t="s">
        <v>1613</v>
      </c>
      <c r="L68" s="61">
        <v>5.588061619E9</v>
      </c>
      <c r="M68" s="63"/>
      <c r="N68" s="63"/>
      <c r="O68" s="63"/>
      <c r="P68" s="61">
        <v>16.0</v>
      </c>
      <c r="Q68" s="62">
        <v>46040.59087962963</v>
      </c>
      <c r="R68" s="59" t="s">
        <v>107</v>
      </c>
      <c r="S68" s="59" t="s">
        <v>109</v>
      </c>
      <c r="T68" s="59" t="s">
        <v>192</v>
      </c>
      <c r="U68" s="59" t="s">
        <v>485</v>
      </c>
      <c r="V68" s="59" t="s">
        <v>486</v>
      </c>
      <c r="W68" s="59" t="s">
        <v>487</v>
      </c>
      <c r="X68" s="59" t="s">
        <v>120</v>
      </c>
      <c r="Y68" s="63"/>
      <c r="Z68" s="59" t="s">
        <v>117</v>
      </c>
      <c r="AA68" s="59" t="s">
        <v>1630</v>
      </c>
      <c r="AB68" s="59" t="s">
        <v>117</v>
      </c>
      <c r="AC68" s="59" t="s">
        <v>117</v>
      </c>
      <c r="AD68" s="57" t="s">
        <v>1634</v>
      </c>
      <c r="AE68" s="59" t="s">
        <v>117</v>
      </c>
      <c r="AF68" s="59" t="s">
        <v>843</v>
      </c>
      <c r="AG68" s="59" t="s">
        <v>120</v>
      </c>
      <c r="AH68" s="63"/>
      <c r="AI68" s="59" t="s">
        <v>117</v>
      </c>
      <c r="AJ68" s="59" t="s">
        <v>178</v>
      </c>
      <c r="AK68" s="59" t="s">
        <v>1638</v>
      </c>
      <c r="AL68" s="59" t="s">
        <v>129</v>
      </c>
      <c r="AM68" s="59" t="s">
        <v>156</v>
      </c>
      <c r="AN68" s="59" t="s">
        <v>216</v>
      </c>
      <c r="AO68" s="59" t="s">
        <v>185</v>
      </c>
      <c r="AP68" s="59"/>
    </row>
    <row r="69" ht="22.5" customHeight="1">
      <c r="A69" s="27" t="s">
        <v>1802</v>
      </c>
      <c r="B69" s="27" t="s">
        <v>1803</v>
      </c>
      <c r="C69" s="27" t="s">
        <v>1804</v>
      </c>
      <c r="D69" s="104">
        <v>40969.0</v>
      </c>
      <c r="E69" s="27" t="s">
        <v>177</v>
      </c>
      <c r="F69" s="27">
        <v>5.5513217637E10</v>
      </c>
      <c r="G69" s="27" t="s">
        <v>1805</v>
      </c>
      <c r="H69" s="27" t="s">
        <v>140</v>
      </c>
      <c r="I69" s="103"/>
      <c r="J69" s="27" t="s">
        <v>1806</v>
      </c>
      <c r="K69" s="27" t="s">
        <v>1805</v>
      </c>
      <c r="L69" s="27">
        <v>5.539074387E9</v>
      </c>
      <c r="M69" s="103"/>
      <c r="N69" s="103"/>
      <c r="O69" s="103"/>
      <c r="P69" s="105">
        <v>14.0</v>
      </c>
      <c r="Q69" s="106">
        <v>46026.84447916667</v>
      </c>
      <c r="R69" s="27" t="s">
        <v>107</v>
      </c>
      <c r="S69" s="27" t="s">
        <v>109</v>
      </c>
      <c r="T69" s="27" t="s">
        <v>208</v>
      </c>
      <c r="U69" s="27" t="s">
        <v>228</v>
      </c>
      <c r="V69" s="27" t="s">
        <v>229</v>
      </c>
      <c r="W69" s="27" t="s">
        <v>230</v>
      </c>
      <c r="X69" s="27" t="s">
        <v>120</v>
      </c>
      <c r="Y69" s="103"/>
      <c r="Z69" s="27" t="s">
        <v>120</v>
      </c>
      <c r="AA69" s="103"/>
      <c r="AB69" s="27" t="s">
        <v>117</v>
      </c>
      <c r="AC69" s="27" t="s">
        <v>120</v>
      </c>
      <c r="AD69" s="110"/>
      <c r="AE69" s="27" t="s">
        <v>120</v>
      </c>
      <c r="AF69" s="103"/>
      <c r="AG69" s="27" t="s">
        <v>120</v>
      </c>
      <c r="AH69" s="103"/>
      <c r="AI69" s="27" t="s">
        <v>120</v>
      </c>
      <c r="AJ69" s="103"/>
      <c r="AK69" s="103"/>
      <c r="AL69" s="27" t="s">
        <v>242</v>
      </c>
      <c r="AM69" s="27" t="s">
        <v>156</v>
      </c>
      <c r="AN69" s="27" t="s">
        <v>216</v>
      </c>
      <c r="AO69" s="27" t="s">
        <v>185</v>
      </c>
      <c r="AP69" s="27"/>
    </row>
    <row r="70" ht="22.5" customHeight="1">
      <c r="A70" s="59" t="s">
        <v>934</v>
      </c>
      <c r="B70" s="59" t="s">
        <v>1826</v>
      </c>
      <c r="C70" s="59" t="s">
        <v>1827</v>
      </c>
      <c r="D70" s="60">
        <v>39823.0</v>
      </c>
      <c r="E70" s="59" t="s">
        <v>98</v>
      </c>
      <c r="F70" s="61">
        <v>5.540573868E9</v>
      </c>
      <c r="G70" s="59" t="s">
        <v>1829</v>
      </c>
      <c r="H70" s="59" t="s">
        <v>101</v>
      </c>
      <c r="I70" s="63"/>
      <c r="J70" s="59" t="s">
        <v>1830</v>
      </c>
      <c r="K70" s="59" t="s">
        <v>1831</v>
      </c>
      <c r="L70" s="61">
        <v>5.537869718E9</v>
      </c>
      <c r="M70" s="63"/>
      <c r="N70" s="63"/>
      <c r="O70" s="63"/>
      <c r="P70" s="61">
        <v>17.0</v>
      </c>
      <c r="Q70" s="62">
        <v>46040.591840277775</v>
      </c>
      <c r="R70" s="59" t="s">
        <v>107</v>
      </c>
      <c r="S70" s="59" t="s">
        <v>109</v>
      </c>
      <c r="T70" s="59" t="s">
        <v>192</v>
      </c>
      <c r="U70" s="59" t="s">
        <v>485</v>
      </c>
      <c r="V70" s="59" t="s">
        <v>486</v>
      </c>
      <c r="W70" s="59" t="s">
        <v>487</v>
      </c>
      <c r="X70" s="59" t="s">
        <v>120</v>
      </c>
      <c r="Y70" s="63"/>
      <c r="Z70" s="59" t="s">
        <v>117</v>
      </c>
      <c r="AA70" s="59" t="s">
        <v>1846</v>
      </c>
      <c r="AB70" s="59" t="s">
        <v>117</v>
      </c>
      <c r="AC70" s="59" t="s">
        <v>117</v>
      </c>
      <c r="AD70" s="112"/>
      <c r="AE70" s="59" t="s">
        <v>120</v>
      </c>
      <c r="AF70" s="63"/>
      <c r="AG70" s="59" t="s">
        <v>117</v>
      </c>
      <c r="AH70" s="59" t="s">
        <v>1850</v>
      </c>
      <c r="AI70" s="59" t="s">
        <v>120</v>
      </c>
      <c r="AJ70" s="63"/>
      <c r="AK70" s="63"/>
      <c r="AL70" s="59" t="s">
        <v>216</v>
      </c>
      <c r="AM70" s="59" t="s">
        <v>141</v>
      </c>
      <c r="AN70" s="59" t="s">
        <v>138</v>
      </c>
      <c r="AO70" s="59" t="s">
        <v>156</v>
      </c>
      <c r="AP70" s="59"/>
    </row>
    <row r="71" ht="22.5" customHeight="1">
      <c r="A71" s="17" t="s">
        <v>1854</v>
      </c>
      <c r="B71" s="17" t="s">
        <v>1855</v>
      </c>
      <c r="C71" s="17" t="s">
        <v>1856</v>
      </c>
      <c r="D71" s="19">
        <v>41033.0</v>
      </c>
      <c r="E71" s="17" t="s">
        <v>177</v>
      </c>
      <c r="F71" s="21">
        <v>5.635348445E9</v>
      </c>
      <c r="G71" s="17" t="s">
        <v>1860</v>
      </c>
      <c r="H71" s="17" t="s">
        <v>101</v>
      </c>
      <c r="I71" s="29"/>
      <c r="J71" s="17" t="s">
        <v>1861</v>
      </c>
      <c r="K71" s="17" t="s">
        <v>1863</v>
      </c>
      <c r="L71" s="21">
        <v>5.542196096E9</v>
      </c>
      <c r="M71" s="17" t="s">
        <v>1864</v>
      </c>
      <c r="N71" s="17" t="s">
        <v>1868</v>
      </c>
      <c r="O71" s="21">
        <v>5.528508502E9</v>
      </c>
      <c r="P71" s="21">
        <v>13.0</v>
      </c>
      <c r="Q71" s="25">
        <v>46040.583715277775</v>
      </c>
      <c r="R71" s="17" t="s">
        <v>107</v>
      </c>
      <c r="S71" s="17" t="s">
        <v>109</v>
      </c>
      <c r="T71" s="17" t="s">
        <v>171</v>
      </c>
      <c r="U71" s="17" t="s">
        <v>1474</v>
      </c>
      <c r="V71" s="17" t="s">
        <v>1475</v>
      </c>
      <c r="W71" s="17" t="s">
        <v>1476</v>
      </c>
      <c r="X71" s="17" t="s">
        <v>120</v>
      </c>
      <c r="Y71" s="29"/>
      <c r="Z71" s="17" t="s">
        <v>117</v>
      </c>
      <c r="AA71" s="59" t="s">
        <v>1875</v>
      </c>
      <c r="AB71" s="17" t="s">
        <v>117</v>
      </c>
      <c r="AC71" s="17" t="s">
        <v>117</v>
      </c>
      <c r="AD71" s="57" t="s">
        <v>1876</v>
      </c>
      <c r="AE71" s="17" t="s">
        <v>117</v>
      </c>
      <c r="AF71" s="17" t="s">
        <v>1878</v>
      </c>
      <c r="AG71" s="17" t="s">
        <v>120</v>
      </c>
      <c r="AH71" s="29"/>
      <c r="AI71" s="17" t="s">
        <v>120</v>
      </c>
      <c r="AJ71" s="29"/>
      <c r="AK71" s="17" t="s">
        <v>1880</v>
      </c>
      <c r="AL71" s="17" t="s">
        <v>185</v>
      </c>
      <c r="AM71" s="17" t="s">
        <v>126</v>
      </c>
      <c r="AN71" s="17" t="s">
        <v>216</v>
      </c>
      <c r="AO71" s="17" t="s">
        <v>242</v>
      </c>
      <c r="AP71" s="17"/>
    </row>
    <row r="72" ht="22.5" customHeight="1">
      <c r="A72" s="59" t="s">
        <v>1884</v>
      </c>
      <c r="B72" s="59" t="s">
        <v>1885</v>
      </c>
      <c r="C72" s="59" t="s">
        <v>1886</v>
      </c>
      <c r="D72" s="60">
        <v>40529.0</v>
      </c>
      <c r="E72" s="59" t="s">
        <v>98</v>
      </c>
      <c r="F72" s="61">
        <v>5.626599942E9</v>
      </c>
      <c r="G72" s="59" t="s">
        <v>1893</v>
      </c>
      <c r="H72" s="59" t="s">
        <v>101</v>
      </c>
      <c r="I72" s="63"/>
      <c r="J72" s="59" t="s">
        <v>1896</v>
      </c>
      <c r="K72" s="59" t="s">
        <v>1898</v>
      </c>
      <c r="L72" s="61">
        <v>5.522527367E9</v>
      </c>
      <c r="M72" s="59" t="s">
        <v>1902</v>
      </c>
      <c r="N72" s="59" t="s">
        <v>1904</v>
      </c>
      <c r="O72" s="61">
        <v>5.517298132E9</v>
      </c>
      <c r="P72" s="61">
        <v>15.0</v>
      </c>
      <c r="Q72" s="62">
        <v>46024.79935185185</v>
      </c>
      <c r="R72" s="59" t="s">
        <v>107</v>
      </c>
      <c r="S72" s="59" t="s">
        <v>109</v>
      </c>
      <c r="T72" s="59" t="s">
        <v>127</v>
      </c>
      <c r="U72" s="59" t="s">
        <v>531</v>
      </c>
      <c r="V72" s="59" t="s">
        <v>532</v>
      </c>
      <c r="W72" s="59" t="s">
        <v>534</v>
      </c>
      <c r="X72" s="59" t="s">
        <v>120</v>
      </c>
      <c r="Y72" s="63"/>
      <c r="Z72" s="59" t="s">
        <v>117</v>
      </c>
      <c r="AA72" s="64" t="s">
        <v>1910</v>
      </c>
      <c r="AB72" s="59" t="s">
        <v>117</v>
      </c>
      <c r="AC72" s="59" t="s">
        <v>117</v>
      </c>
      <c r="AD72" s="57" t="s">
        <v>1053</v>
      </c>
      <c r="AE72" s="59" t="s">
        <v>120</v>
      </c>
      <c r="AF72" s="63"/>
      <c r="AG72" s="59" t="s">
        <v>120</v>
      </c>
      <c r="AH72" s="63"/>
      <c r="AI72" s="59" t="s">
        <v>120</v>
      </c>
      <c r="AJ72" s="63"/>
      <c r="AK72" s="63"/>
      <c r="AL72" s="59" t="s">
        <v>185</v>
      </c>
      <c r="AM72" s="59" t="s">
        <v>216</v>
      </c>
      <c r="AN72" s="59" t="s">
        <v>126</v>
      </c>
      <c r="AO72" s="59" t="s">
        <v>129</v>
      </c>
      <c r="AP72" s="59"/>
    </row>
    <row r="73" ht="22.5" customHeight="1">
      <c r="A73" s="17" t="s">
        <v>1914</v>
      </c>
      <c r="B73" s="17" t="s">
        <v>1916</v>
      </c>
      <c r="C73" s="17" t="s">
        <v>1917</v>
      </c>
      <c r="D73" s="19">
        <v>40219.0</v>
      </c>
      <c r="E73" s="17" t="s">
        <v>98</v>
      </c>
      <c r="F73" s="21">
        <v>5.591250945E9</v>
      </c>
      <c r="G73" s="17" t="s">
        <v>1921</v>
      </c>
      <c r="H73" s="17" t="s">
        <v>140</v>
      </c>
      <c r="I73" s="29"/>
      <c r="J73" s="17" t="s">
        <v>1926</v>
      </c>
      <c r="K73" s="17" t="s">
        <v>1927</v>
      </c>
      <c r="L73" s="21">
        <v>5.526562276E9</v>
      </c>
      <c r="M73" s="17" t="s">
        <v>1930</v>
      </c>
      <c r="N73" s="17" t="s">
        <v>1931</v>
      </c>
      <c r="O73" s="21">
        <v>5.548543468E9</v>
      </c>
      <c r="P73" s="21">
        <v>16.0</v>
      </c>
      <c r="Q73" s="25">
        <v>46033.55971064815</v>
      </c>
      <c r="R73" s="17" t="s">
        <v>107</v>
      </c>
      <c r="S73" s="17" t="s">
        <v>109</v>
      </c>
      <c r="T73" s="17" t="s">
        <v>208</v>
      </c>
      <c r="U73" s="17" t="s">
        <v>1599</v>
      </c>
      <c r="V73" s="17" t="s">
        <v>1600</v>
      </c>
      <c r="W73" s="17" t="s">
        <v>1602</v>
      </c>
      <c r="X73" s="17" t="s">
        <v>120</v>
      </c>
      <c r="Y73" s="29"/>
      <c r="Z73" s="17" t="s">
        <v>117</v>
      </c>
      <c r="AA73" s="59" t="s">
        <v>1932</v>
      </c>
      <c r="AB73" s="17" t="s">
        <v>117</v>
      </c>
      <c r="AC73" s="17" t="s">
        <v>117</v>
      </c>
      <c r="AD73" s="57" t="s">
        <v>1639</v>
      </c>
      <c r="AE73" s="17" t="s">
        <v>120</v>
      </c>
      <c r="AF73" s="29"/>
      <c r="AG73" s="17" t="s">
        <v>120</v>
      </c>
      <c r="AH73" s="29"/>
      <c r="AI73" s="17" t="s">
        <v>120</v>
      </c>
      <c r="AJ73" s="29"/>
      <c r="AK73" s="29"/>
      <c r="AL73" s="17" t="s">
        <v>138</v>
      </c>
      <c r="AM73" s="17" t="s">
        <v>128</v>
      </c>
      <c r="AN73" s="17" t="s">
        <v>242</v>
      </c>
      <c r="AO73" s="17" t="s">
        <v>185</v>
      </c>
      <c r="AP73" s="17"/>
    </row>
    <row r="74" ht="22.5" customHeight="1">
      <c r="A74" s="59" t="s">
        <v>1941</v>
      </c>
      <c r="B74" s="59" t="s">
        <v>1943</v>
      </c>
      <c r="C74" s="59" t="s">
        <v>1945</v>
      </c>
      <c r="D74" s="60">
        <v>40014.0</v>
      </c>
      <c r="E74" s="59" t="s">
        <v>98</v>
      </c>
      <c r="F74" s="59" t="s">
        <v>1950</v>
      </c>
      <c r="G74" s="59" t="s">
        <v>1952</v>
      </c>
      <c r="H74" s="59" t="s">
        <v>101</v>
      </c>
      <c r="I74" s="63"/>
      <c r="J74" s="59" t="s">
        <v>1962</v>
      </c>
      <c r="K74" s="59" t="s">
        <v>1963</v>
      </c>
      <c r="L74" s="59" t="s">
        <v>1950</v>
      </c>
      <c r="M74" s="63"/>
      <c r="N74" s="63"/>
      <c r="O74" s="63"/>
      <c r="P74" s="61">
        <v>16.0</v>
      </c>
      <c r="Q74" s="62">
        <v>46040.87321759259</v>
      </c>
      <c r="R74" s="59" t="s">
        <v>107</v>
      </c>
      <c r="S74" s="59" t="s">
        <v>109</v>
      </c>
      <c r="T74" s="59" t="s">
        <v>171</v>
      </c>
      <c r="U74" s="59" t="s">
        <v>388</v>
      </c>
      <c r="V74" s="59" t="s">
        <v>389</v>
      </c>
      <c r="W74" s="59" t="s">
        <v>392</v>
      </c>
      <c r="X74" s="59" t="s">
        <v>120</v>
      </c>
      <c r="Y74" s="63"/>
      <c r="Z74" s="59" t="s">
        <v>117</v>
      </c>
      <c r="AA74" s="59" t="s">
        <v>1970</v>
      </c>
      <c r="AB74" s="59" t="s">
        <v>117</v>
      </c>
      <c r="AC74" s="59" t="s">
        <v>117</v>
      </c>
      <c r="AD74" s="57" t="s">
        <v>1972</v>
      </c>
      <c r="AE74" s="59" t="s">
        <v>120</v>
      </c>
      <c r="AF74" s="63"/>
      <c r="AG74" s="59" t="s">
        <v>120</v>
      </c>
      <c r="AH74" s="63"/>
      <c r="AI74" s="59" t="s">
        <v>120</v>
      </c>
      <c r="AJ74" s="63"/>
      <c r="AK74" s="63"/>
      <c r="AL74" s="59" t="s">
        <v>126</v>
      </c>
      <c r="AM74" s="59" t="s">
        <v>141</v>
      </c>
      <c r="AN74" s="59" t="s">
        <v>240</v>
      </c>
      <c r="AO74" s="59" t="s">
        <v>138</v>
      </c>
      <c r="AP74" s="59"/>
    </row>
    <row r="75" ht="22.5" customHeight="1">
      <c r="A75" s="17" t="s">
        <v>1754</v>
      </c>
      <c r="B75" s="17" t="s">
        <v>1757</v>
      </c>
      <c r="C75" s="17" t="s">
        <v>1758</v>
      </c>
      <c r="D75" s="19">
        <v>41197.0</v>
      </c>
      <c r="E75" s="17" t="s">
        <v>98</v>
      </c>
      <c r="F75" s="21">
        <v>5.540167442E9</v>
      </c>
      <c r="G75" s="17" t="s">
        <v>1762</v>
      </c>
      <c r="H75" s="17" t="s">
        <v>150</v>
      </c>
      <c r="I75" s="29"/>
      <c r="J75" s="17" t="s">
        <v>1764</v>
      </c>
      <c r="K75" s="17" t="s">
        <v>1766</v>
      </c>
      <c r="L75" s="21">
        <v>5.539984743E9</v>
      </c>
      <c r="M75" s="17" t="s">
        <v>1769</v>
      </c>
      <c r="N75" s="17" t="s">
        <v>1770</v>
      </c>
      <c r="O75" s="21">
        <v>5.511350907E9</v>
      </c>
      <c r="P75" s="21">
        <v>13.0</v>
      </c>
      <c r="Q75" s="25">
        <v>46021.54019675926</v>
      </c>
      <c r="R75" s="17" t="s">
        <v>107</v>
      </c>
      <c r="S75" s="17" t="s">
        <v>109</v>
      </c>
      <c r="T75" s="17" t="s">
        <v>204</v>
      </c>
      <c r="U75" s="17" t="s">
        <v>205</v>
      </c>
      <c r="V75" s="17" t="s">
        <v>206</v>
      </c>
      <c r="W75" s="17" t="s">
        <v>207</v>
      </c>
      <c r="X75" s="17" t="s">
        <v>120</v>
      </c>
      <c r="Y75" s="29"/>
      <c r="Z75" s="17" t="s">
        <v>120</v>
      </c>
      <c r="AA75" s="29"/>
      <c r="AB75" s="17" t="s">
        <v>117</v>
      </c>
      <c r="AC75" s="17" t="s">
        <v>117</v>
      </c>
      <c r="AD75" s="102" t="s">
        <v>1777</v>
      </c>
      <c r="AE75" s="17" t="s">
        <v>117</v>
      </c>
      <c r="AF75" s="17" t="s">
        <v>1778</v>
      </c>
      <c r="AG75" s="17" t="s">
        <v>117</v>
      </c>
      <c r="AH75" s="65" t="s">
        <v>1779</v>
      </c>
      <c r="AI75" s="17" t="s">
        <v>117</v>
      </c>
      <c r="AJ75" s="65" t="s">
        <v>1780</v>
      </c>
      <c r="AK75" s="29"/>
      <c r="AL75" s="17" t="s">
        <v>138</v>
      </c>
      <c r="AM75" s="17" t="s">
        <v>156</v>
      </c>
      <c r="AN75" s="17" t="s">
        <v>126</v>
      </c>
      <c r="AO75" s="17" t="s">
        <v>185</v>
      </c>
      <c r="AP75" s="17"/>
    </row>
    <row r="76" ht="22.5" customHeight="1">
      <c r="A76" s="59" t="s">
        <v>1996</v>
      </c>
      <c r="B76" s="59" t="s">
        <v>1678</v>
      </c>
      <c r="C76" s="59" t="s">
        <v>1997</v>
      </c>
      <c r="D76" s="60">
        <v>40003.0</v>
      </c>
      <c r="E76" s="59" t="s">
        <v>177</v>
      </c>
      <c r="F76" s="61">
        <v>5.640030363E9</v>
      </c>
      <c r="G76" s="59" t="s">
        <v>1998</v>
      </c>
      <c r="H76" s="59" t="s">
        <v>101</v>
      </c>
      <c r="I76" s="59" t="s">
        <v>2001</v>
      </c>
      <c r="J76" s="59" t="s">
        <v>2003</v>
      </c>
      <c r="K76" s="59" t="s">
        <v>2004</v>
      </c>
      <c r="L76" s="61">
        <v>5.510464135E9</v>
      </c>
      <c r="M76" s="59" t="s">
        <v>1687</v>
      </c>
      <c r="N76" s="59" t="s">
        <v>1688</v>
      </c>
      <c r="O76" s="61">
        <v>5.580325992E9</v>
      </c>
      <c r="P76" s="61">
        <v>16.0</v>
      </c>
      <c r="Q76" s="62">
        <v>46036.91539351852</v>
      </c>
      <c r="R76" s="59" t="s">
        <v>107</v>
      </c>
      <c r="S76" s="59" t="s">
        <v>109</v>
      </c>
      <c r="T76" s="59" t="s">
        <v>160</v>
      </c>
      <c r="U76" s="59" t="s">
        <v>308</v>
      </c>
      <c r="V76" s="59" t="s">
        <v>309</v>
      </c>
      <c r="W76" s="59" t="s">
        <v>310</v>
      </c>
      <c r="X76" s="59" t="s">
        <v>120</v>
      </c>
      <c r="Y76" s="63"/>
      <c r="Z76" s="59" t="s">
        <v>117</v>
      </c>
      <c r="AA76" s="59" t="s">
        <v>2020</v>
      </c>
      <c r="AB76" s="59" t="s">
        <v>117</v>
      </c>
      <c r="AC76" s="59" t="s">
        <v>117</v>
      </c>
      <c r="AD76" s="57" t="s">
        <v>2023</v>
      </c>
      <c r="AE76" s="59" t="s">
        <v>120</v>
      </c>
      <c r="AF76" s="63"/>
      <c r="AG76" s="59" t="s">
        <v>120</v>
      </c>
      <c r="AH76" s="63"/>
      <c r="AI76" s="59" t="s">
        <v>120</v>
      </c>
      <c r="AJ76" s="63"/>
      <c r="AK76" s="63"/>
      <c r="AL76" s="59" t="s">
        <v>141</v>
      </c>
      <c r="AM76" s="59" t="s">
        <v>129</v>
      </c>
      <c r="AN76" s="59" t="s">
        <v>138</v>
      </c>
      <c r="AO76" s="59" t="s">
        <v>128</v>
      </c>
      <c r="AP76" s="59"/>
    </row>
    <row r="77" ht="22.5" customHeight="1">
      <c r="A77" s="17" t="s">
        <v>2025</v>
      </c>
      <c r="B77" s="17" t="s">
        <v>2026</v>
      </c>
      <c r="C77" s="17" t="s">
        <v>2027</v>
      </c>
      <c r="D77" s="19">
        <v>39665.0</v>
      </c>
      <c r="E77" s="17" t="s">
        <v>98</v>
      </c>
      <c r="F77" s="21">
        <v>5.562253593E9</v>
      </c>
      <c r="G77" s="17" t="s">
        <v>2035</v>
      </c>
      <c r="H77" s="17" t="s">
        <v>140</v>
      </c>
      <c r="I77" s="29"/>
      <c r="J77" s="17" t="s">
        <v>2039</v>
      </c>
      <c r="K77" s="17" t="s">
        <v>2041</v>
      </c>
      <c r="L77" s="21">
        <v>5.529227098E9</v>
      </c>
      <c r="M77" s="17" t="s">
        <v>2044</v>
      </c>
      <c r="N77" s="17" t="s">
        <v>2047</v>
      </c>
      <c r="O77" s="21">
        <v>5.540300525E9</v>
      </c>
      <c r="P77" s="21">
        <v>17.0</v>
      </c>
      <c r="Q77" s="25">
        <v>46026.468125</v>
      </c>
      <c r="R77" s="17" t="s">
        <v>107</v>
      </c>
      <c r="S77" s="17" t="s">
        <v>109</v>
      </c>
      <c r="T77" s="17" t="s">
        <v>208</v>
      </c>
      <c r="U77" s="17" t="s">
        <v>209</v>
      </c>
      <c r="V77" s="17" t="s">
        <v>210</v>
      </c>
      <c r="W77" s="17" t="s">
        <v>211</v>
      </c>
      <c r="X77" s="17" t="s">
        <v>120</v>
      </c>
      <c r="Y77" s="29"/>
      <c r="Z77" s="17" t="s">
        <v>117</v>
      </c>
      <c r="AA77" s="17" t="s">
        <v>2051</v>
      </c>
      <c r="AB77" s="17" t="s">
        <v>117</v>
      </c>
      <c r="AC77" s="17" t="s">
        <v>117</v>
      </c>
      <c r="AD77" s="57" t="s">
        <v>2052</v>
      </c>
      <c r="AE77" s="17" t="s">
        <v>120</v>
      </c>
      <c r="AF77" s="29"/>
      <c r="AG77" s="17" t="s">
        <v>120</v>
      </c>
      <c r="AH77" s="29"/>
      <c r="AI77" s="17" t="s">
        <v>117</v>
      </c>
      <c r="AJ77" s="29"/>
      <c r="AK77" s="29"/>
      <c r="AL77" s="17" t="s">
        <v>141</v>
      </c>
      <c r="AM77" s="17" t="s">
        <v>185</v>
      </c>
      <c r="AN77" s="17" t="s">
        <v>156</v>
      </c>
      <c r="AO77" s="17" t="s">
        <v>185</v>
      </c>
      <c r="AP77" s="17"/>
    </row>
    <row r="78" ht="22.5" customHeight="1">
      <c r="A78" s="59" t="s">
        <v>1749</v>
      </c>
      <c r="B78" s="59" t="s">
        <v>1751</v>
      </c>
      <c r="C78" s="59" t="s">
        <v>1752</v>
      </c>
      <c r="D78" s="60">
        <v>39958.0</v>
      </c>
      <c r="E78" s="59" t="s">
        <v>98</v>
      </c>
      <c r="F78" s="61">
        <v>5.537331039E9</v>
      </c>
      <c r="G78" s="59" t="s">
        <v>1753</v>
      </c>
      <c r="H78" s="59" t="s">
        <v>101</v>
      </c>
      <c r="I78" s="59" t="s">
        <v>2062</v>
      </c>
      <c r="J78" s="59" t="s">
        <v>2064</v>
      </c>
      <c r="K78" s="59" t="s">
        <v>1760</v>
      </c>
      <c r="L78" s="61">
        <v>5.554159611E9</v>
      </c>
      <c r="M78" s="59" t="s">
        <v>1755</v>
      </c>
      <c r="N78" s="59" t="s">
        <v>1756</v>
      </c>
      <c r="O78" s="61">
        <v>5.537331039E9</v>
      </c>
      <c r="P78" s="61">
        <v>16.0</v>
      </c>
      <c r="Q78" s="62">
        <v>46033.79350694444</v>
      </c>
      <c r="R78" s="59" t="s">
        <v>546</v>
      </c>
      <c r="S78" s="59" t="s">
        <v>109</v>
      </c>
      <c r="T78" s="59" t="s">
        <v>171</v>
      </c>
      <c r="U78" s="59" t="s">
        <v>526</v>
      </c>
      <c r="V78" s="59" t="s">
        <v>527</v>
      </c>
      <c r="W78" s="59" t="s">
        <v>528</v>
      </c>
      <c r="X78" s="59" t="s">
        <v>120</v>
      </c>
      <c r="Y78" s="63"/>
      <c r="Z78" s="59" t="s">
        <v>120</v>
      </c>
      <c r="AA78" s="63"/>
      <c r="AB78" s="59" t="s">
        <v>117</v>
      </c>
      <c r="AC78" s="59" t="s">
        <v>117</v>
      </c>
      <c r="AD78" s="57" t="s">
        <v>2072</v>
      </c>
      <c r="AE78" s="59" t="s">
        <v>120</v>
      </c>
      <c r="AF78" s="63"/>
      <c r="AG78" s="59" t="s">
        <v>120</v>
      </c>
      <c r="AH78" s="63"/>
      <c r="AI78" s="59" t="s">
        <v>120</v>
      </c>
      <c r="AJ78" s="63"/>
      <c r="AK78" s="59" t="s">
        <v>135</v>
      </c>
      <c r="AL78" s="59" t="s">
        <v>126</v>
      </c>
      <c r="AM78" s="59" t="s">
        <v>242</v>
      </c>
      <c r="AN78" s="59" t="s">
        <v>156</v>
      </c>
      <c r="AO78" s="59" t="s">
        <v>129</v>
      </c>
      <c r="AP78" s="59"/>
    </row>
    <row r="79" ht="22.5" customHeight="1">
      <c r="A79" s="17" t="s">
        <v>2075</v>
      </c>
      <c r="B79" s="17" t="s">
        <v>2077</v>
      </c>
      <c r="C79" s="17" t="s">
        <v>2079</v>
      </c>
      <c r="D79" s="19">
        <v>39850.0</v>
      </c>
      <c r="E79" s="17" t="s">
        <v>98</v>
      </c>
      <c r="F79" s="21">
        <v>5.549421273E9</v>
      </c>
      <c r="G79" s="17" t="s">
        <v>2082</v>
      </c>
      <c r="H79" s="17" t="s">
        <v>140</v>
      </c>
      <c r="I79" s="29"/>
      <c r="J79" s="17" t="s">
        <v>2083</v>
      </c>
      <c r="K79" s="17" t="s">
        <v>2084</v>
      </c>
      <c r="L79" s="21">
        <v>5.5101181E9</v>
      </c>
      <c r="M79" s="17" t="s">
        <v>2085</v>
      </c>
      <c r="N79" s="17" t="s">
        <v>2086</v>
      </c>
      <c r="O79" s="21">
        <v>5.549421318E9</v>
      </c>
      <c r="P79" s="21">
        <v>17.0</v>
      </c>
      <c r="Q79" s="25">
        <v>46026.91018518519</v>
      </c>
      <c r="R79" s="17" t="s">
        <v>107</v>
      </c>
      <c r="S79" s="17" t="s">
        <v>109</v>
      </c>
      <c r="T79" s="17" t="s">
        <v>192</v>
      </c>
      <c r="U79" s="17" t="s">
        <v>505</v>
      </c>
      <c r="V79" s="17" t="s">
        <v>506</v>
      </c>
      <c r="W79" s="17" t="s">
        <v>507</v>
      </c>
      <c r="X79" s="17" t="s">
        <v>120</v>
      </c>
      <c r="Y79" s="29"/>
      <c r="Z79" s="17" t="s">
        <v>117</v>
      </c>
      <c r="AA79" s="59" t="s">
        <v>2090</v>
      </c>
      <c r="AB79" s="17" t="s">
        <v>117</v>
      </c>
      <c r="AC79" s="17" t="s">
        <v>117</v>
      </c>
      <c r="AD79" s="57" t="s">
        <v>2092</v>
      </c>
      <c r="AE79" s="17" t="s">
        <v>120</v>
      </c>
      <c r="AF79" s="29"/>
      <c r="AG79" s="17" t="s">
        <v>120</v>
      </c>
      <c r="AH79" s="29"/>
      <c r="AI79" s="17" t="s">
        <v>120</v>
      </c>
      <c r="AJ79" s="29"/>
      <c r="AK79" s="29"/>
      <c r="AL79" s="17" t="s">
        <v>124</v>
      </c>
      <c r="AM79" s="17" t="s">
        <v>185</v>
      </c>
      <c r="AN79" s="17" t="s">
        <v>242</v>
      </c>
      <c r="AO79" s="17" t="s">
        <v>129</v>
      </c>
      <c r="AP79" s="17"/>
    </row>
    <row r="80" ht="22.5" customHeight="1">
      <c r="A80" s="59" t="s">
        <v>1730</v>
      </c>
      <c r="B80" s="59" t="s">
        <v>1731</v>
      </c>
      <c r="C80" s="59" t="s">
        <v>1733</v>
      </c>
      <c r="D80" s="60">
        <v>40382.0</v>
      </c>
      <c r="E80" s="59" t="s">
        <v>177</v>
      </c>
      <c r="F80" s="61">
        <v>8.434719935E9</v>
      </c>
      <c r="G80" s="59" t="s">
        <v>1735</v>
      </c>
      <c r="H80" s="59" t="s">
        <v>101</v>
      </c>
      <c r="I80" s="63"/>
      <c r="J80" s="59" t="s">
        <v>1736</v>
      </c>
      <c r="K80" s="59" t="s">
        <v>1737</v>
      </c>
      <c r="L80" s="61">
        <v>5.522714514E9</v>
      </c>
      <c r="M80" s="63"/>
      <c r="N80" s="63"/>
      <c r="O80" s="63"/>
      <c r="P80" s="61">
        <v>15.0</v>
      </c>
      <c r="Q80" s="62">
        <v>46036.405069444445</v>
      </c>
      <c r="R80" s="59" t="s">
        <v>546</v>
      </c>
      <c r="S80" s="59" t="s">
        <v>109</v>
      </c>
      <c r="T80" s="59" t="s">
        <v>171</v>
      </c>
      <c r="U80" s="59" t="s">
        <v>1048</v>
      </c>
      <c r="V80" s="59" t="s">
        <v>1050</v>
      </c>
      <c r="W80" s="59" t="s">
        <v>1051</v>
      </c>
      <c r="X80" s="59" t="s">
        <v>120</v>
      </c>
      <c r="Y80" s="63"/>
      <c r="Z80" s="59" t="s">
        <v>117</v>
      </c>
      <c r="AA80" s="59" t="s">
        <v>1742</v>
      </c>
      <c r="AB80" s="59" t="s">
        <v>117</v>
      </c>
      <c r="AC80" s="59" t="s">
        <v>117</v>
      </c>
      <c r="AD80" s="57" t="s">
        <v>2112</v>
      </c>
      <c r="AE80" s="59" t="s">
        <v>120</v>
      </c>
      <c r="AF80" s="63"/>
      <c r="AG80" s="59" t="s">
        <v>120</v>
      </c>
      <c r="AH80" s="63"/>
      <c r="AI80" s="59" t="s">
        <v>120</v>
      </c>
      <c r="AJ80" s="63"/>
      <c r="AK80" s="63"/>
      <c r="AL80" s="59" t="s">
        <v>126</v>
      </c>
      <c r="AM80" s="59" t="s">
        <v>138</v>
      </c>
      <c r="AN80" s="59" t="s">
        <v>185</v>
      </c>
      <c r="AO80" s="59" t="s">
        <v>141</v>
      </c>
      <c r="AP80" s="59"/>
    </row>
    <row r="81" ht="22.5" customHeight="1">
      <c r="A81" s="27" t="s">
        <v>136</v>
      </c>
      <c r="B81" s="27" t="s">
        <v>1943</v>
      </c>
      <c r="C81" s="27" t="s">
        <v>2121</v>
      </c>
      <c r="D81" s="104">
        <v>41237.0</v>
      </c>
      <c r="E81" s="27" t="s">
        <v>98</v>
      </c>
      <c r="F81" s="27">
        <v>5.585328242E9</v>
      </c>
      <c r="G81" s="27" t="s">
        <v>2122</v>
      </c>
      <c r="H81" s="27" t="s">
        <v>101</v>
      </c>
      <c r="I81" s="103"/>
      <c r="J81" s="27" t="s">
        <v>1962</v>
      </c>
      <c r="K81" s="27" t="s">
        <v>1963</v>
      </c>
      <c r="L81" s="27" t="s">
        <v>1950</v>
      </c>
      <c r="M81" s="103"/>
      <c r="N81" s="103"/>
      <c r="O81" s="103"/>
      <c r="P81" s="105">
        <v>13.0</v>
      </c>
      <c r="Q81" s="106">
        <v>46040.85821759259</v>
      </c>
      <c r="R81" s="27" t="s">
        <v>107</v>
      </c>
      <c r="S81" s="27" t="s">
        <v>109</v>
      </c>
      <c r="T81" s="27" t="s">
        <v>171</v>
      </c>
      <c r="U81" s="27" t="s">
        <v>388</v>
      </c>
      <c r="V81" s="27" t="s">
        <v>389</v>
      </c>
      <c r="W81" s="27" t="s">
        <v>392</v>
      </c>
      <c r="X81" s="27" t="s">
        <v>120</v>
      </c>
      <c r="Y81" s="103"/>
      <c r="Z81" s="27" t="s">
        <v>117</v>
      </c>
      <c r="AA81" s="27" t="s">
        <v>1970</v>
      </c>
      <c r="AB81" s="27" t="s">
        <v>117</v>
      </c>
      <c r="AC81" s="27" t="s">
        <v>117</v>
      </c>
      <c r="AD81" s="108" t="s">
        <v>1972</v>
      </c>
      <c r="AE81" s="27" t="s">
        <v>120</v>
      </c>
      <c r="AF81" s="103"/>
      <c r="AG81" s="27" t="s">
        <v>120</v>
      </c>
      <c r="AH81" s="103"/>
      <c r="AI81" s="27" t="s">
        <v>120</v>
      </c>
      <c r="AJ81" s="103"/>
      <c r="AK81" s="103"/>
      <c r="AL81" s="27" t="s">
        <v>240</v>
      </c>
      <c r="AM81" s="27" t="s">
        <v>185</v>
      </c>
      <c r="AN81" s="27" t="s">
        <v>216</v>
      </c>
      <c r="AO81" s="27" t="s">
        <v>138</v>
      </c>
      <c r="AP81" s="27"/>
    </row>
    <row r="82" ht="22.5" customHeight="1">
      <c r="A82" s="23" t="s">
        <v>2145</v>
      </c>
      <c r="B82" s="23" t="s">
        <v>2147</v>
      </c>
      <c r="C82" s="23" t="s">
        <v>2148</v>
      </c>
      <c r="D82" s="68">
        <v>40571.0</v>
      </c>
      <c r="E82" s="23" t="s">
        <v>177</v>
      </c>
      <c r="F82" s="23">
        <v>5.561712405E9</v>
      </c>
      <c r="G82" s="23" t="s">
        <v>2150</v>
      </c>
      <c r="H82" s="23" t="s">
        <v>382</v>
      </c>
      <c r="I82" s="69"/>
      <c r="J82" s="23" t="s">
        <v>2152</v>
      </c>
      <c r="K82" s="23" t="s">
        <v>2150</v>
      </c>
      <c r="L82" s="23">
        <v>5.523204252E9</v>
      </c>
      <c r="M82" s="69"/>
      <c r="N82" s="69"/>
      <c r="O82" s="69"/>
      <c r="P82" s="70">
        <v>15.0</v>
      </c>
      <c r="Q82" s="71">
        <v>46029.070081018515</v>
      </c>
      <c r="R82" s="23" t="s">
        <v>107</v>
      </c>
      <c r="S82" s="23" t="s">
        <v>109</v>
      </c>
      <c r="T82" s="23" t="s">
        <v>204</v>
      </c>
      <c r="U82" s="23" t="s">
        <v>295</v>
      </c>
      <c r="V82" s="23" t="s">
        <v>298</v>
      </c>
      <c r="W82" s="23" t="s">
        <v>299</v>
      </c>
      <c r="X82" s="23" t="s">
        <v>120</v>
      </c>
      <c r="Y82" s="69"/>
      <c r="Z82" s="23" t="s">
        <v>120</v>
      </c>
      <c r="AA82" s="69"/>
      <c r="AB82" s="23" t="s">
        <v>117</v>
      </c>
      <c r="AC82" s="23" t="s">
        <v>117</v>
      </c>
      <c r="AD82" s="108" t="s">
        <v>1053</v>
      </c>
      <c r="AE82" s="23" t="s">
        <v>120</v>
      </c>
      <c r="AF82" s="69"/>
      <c r="AG82" s="23" t="s">
        <v>120</v>
      </c>
      <c r="AH82" s="69"/>
      <c r="AI82" s="23" t="s">
        <v>120</v>
      </c>
      <c r="AJ82" s="69"/>
      <c r="AK82" s="69"/>
      <c r="AL82" s="23" t="s">
        <v>126</v>
      </c>
      <c r="AM82" s="23" t="s">
        <v>240</v>
      </c>
      <c r="AN82" s="23" t="s">
        <v>242</v>
      </c>
      <c r="AO82" s="23" t="s">
        <v>185</v>
      </c>
      <c r="AP82" s="23"/>
    </row>
    <row r="83" ht="22.5" customHeight="1">
      <c r="A83" s="27" t="s">
        <v>1816</v>
      </c>
      <c r="B83" s="27" t="s">
        <v>2168</v>
      </c>
      <c r="C83" s="27" t="s">
        <v>2169</v>
      </c>
      <c r="D83" s="104">
        <v>40162.0</v>
      </c>
      <c r="E83" s="27" t="s">
        <v>177</v>
      </c>
      <c r="F83" s="27">
        <v>5.627000561E9</v>
      </c>
      <c r="G83" s="27" t="s">
        <v>2174</v>
      </c>
      <c r="H83" s="27" t="s">
        <v>110</v>
      </c>
      <c r="I83" s="103"/>
      <c r="J83" s="27" t="s">
        <v>2176</v>
      </c>
      <c r="K83" s="27" t="s">
        <v>2177</v>
      </c>
      <c r="L83" s="27" t="s">
        <v>2178</v>
      </c>
      <c r="M83" s="27" t="s">
        <v>2179</v>
      </c>
      <c r="N83" s="27" t="s">
        <v>2180</v>
      </c>
      <c r="O83" s="27" t="s">
        <v>2182</v>
      </c>
      <c r="P83" s="105">
        <v>16.0</v>
      </c>
      <c r="Q83" s="106">
        <v>46036.9590625</v>
      </c>
      <c r="R83" s="27" t="s">
        <v>107</v>
      </c>
      <c r="S83" s="27" t="s">
        <v>109</v>
      </c>
      <c r="T83" s="27" t="s">
        <v>208</v>
      </c>
      <c r="U83" s="27" t="s">
        <v>1599</v>
      </c>
      <c r="V83" s="27" t="s">
        <v>1600</v>
      </c>
      <c r="W83" s="27" t="s">
        <v>1602</v>
      </c>
      <c r="X83" s="27" t="s">
        <v>120</v>
      </c>
      <c r="Y83" s="103"/>
      <c r="Z83" s="27" t="s">
        <v>120</v>
      </c>
      <c r="AA83" s="103"/>
      <c r="AB83" s="27" t="s">
        <v>117</v>
      </c>
      <c r="AC83" s="27" t="s">
        <v>117</v>
      </c>
      <c r="AD83" s="108" t="s">
        <v>2190</v>
      </c>
      <c r="AE83" s="27" t="s">
        <v>120</v>
      </c>
      <c r="AF83" s="103"/>
      <c r="AG83" s="27" t="s">
        <v>120</v>
      </c>
      <c r="AH83" s="103"/>
      <c r="AI83" s="27" t="s">
        <v>120</v>
      </c>
      <c r="AJ83" s="103"/>
      <c r="AK83" s="103"/>
      <c r="AL83" s="27" t="s">
        <v>129</v>
      </c>
      <c r="AM83" s="27" t="s">
        <v>138</v>
      </c>
      <c r="AN83" s="27" t="s">
        <v>185</v>
      </c>
      <c r="AO83" s="27" t="s">
        <v>216</v>
      </c>
      <c r="AP83" s="27"/>
    </row>
    <row r="84" ht="22.5" customHeight="1">
      <c r="A84" s="23" t="s">
        <v>2200</v>
      </c>
      <c r="B84" s="23" t="s">
        <v>2202</v>
      </c>
      <c r="C84" s="23" t="s">
        <v>2203</v>
      </c>
      <c r="D84" s="68">
        <v>41267.0</v>
      </c>
      <c r="E84" s="23" t="s">
        <v>98</v>
      </c>
      <c r="F84" s="23" t="s">
        <v>2204</v>
      </c>
      <c r="G84" s="23" t="s">
        <v>2205</v>
      </c>
      <c r="H84" s="23" t="s">
        <v>140</v>
      </c>
      <c r="I84" s="69"/>
      <c r="J84" s="23" t="s">
        <v>2206</v>
      </c>
      <c r="K84" s="23" t="s">
        <v>2207</v>
      </c>
      <c r="L84" s="23" t="s">
        <v>2208</v>
      </c>
      <c r="M84" s="69"/>
      <c r="N84" s="69"/>
      <c r="O84" s="69"/>
      <c r="P84" s="70">
        <v>13.0</v>
      </c>
      <c r="Q84" s="71">
        <v>46019.73133101852</v>
      </c>
      <c r="R84" s="23" t="s">
        <v>107</v>
      </c>
      <c r="S84" s="23" t="s">
        <v>109</v>
      </c>
      <c r="T84" s="23" t="s">
        <v>127</v>
      </c>
      <c r="U84" s="23" t="s">
        <v>531</v>
      </c>
      <c r="V84" s="23" t="s">
        <v>532</v>
      </c>
      <c r="W84" s="23" t="s">
        <v>534</v>
      </c>
      <c r="X84" s="23" t="s">
        <v>120</v>
      </c>
      <c r="Y84" s="23" t="s">
        <v>135</v>
      </c>
      <c r="Z84" s="23" t="s">
        <v>120</v>
      </c>
      <c r="AA84" s="23" t="s">
        <v>135</v>
      </c>
      <c r="AB84" s="23" t="s">
        <v>117</v>
      </c>
      <c r="AC84" s="23" t="s">
        <v>117</v>
      </c>
      <c r="AD84" s="108" t="s">
        <v>334</v>
      </c>
      <c r="AE84" s="23" t="s">
        <v>120</v>
      </c>
      <c r="AF84" s="23" t="s">
        <v>2222</v>
      </c>
      <c r="AG84" s="23" t="s">
        <v>120</v>
      </c>
      <c r="AH84" s="23" t="s">
        <v>2222</v>
      </c>
      <c r="AI84" s="23" t="s">
        <v>120</v>
      </c>
      <c r="AJ84" s="23" t="s">
        <v>2222</v>
      </c>
      <c r="AK84" s="23" t="s">
        <v>2222</v>
      </c>
      <c r="AL84" s="23" t="s">
        <v>124</v>
      </c>
      <c r="AM84" s="23" t="s">
        <v>185</v>
      </c>
      <c r="AN84" s="23" t="s">
        <v>242</v>
      </c>
      <c r="AO84" s="23" t="s">
        <v>138</v>
      </c>
      <c r="AP84" s="23"/>
    </row>
    <row r="85" ht="22.5" customHeight="1">
      <c r="A85" s="27" t="s">
        <v>2227</v>
      </c>
      <c r="B85" s="27" t="s">
        <v>2228</v>
      </c>
      <c r="C85" s="27" t="s">
        <v>2230</v>
      </c>
      <c r="D85" s="104">
        <v>41168.0</v>
      </c>
      <c r="E85" s="27" t="s">
        <v>98</v>
      </c>
      <c r="F85" s="27">
        <v>5.639486685E9</v>
      </c>
      <c r="G85" s="27" t="s">
        <v>2233</v>
      </c>
      <c r="H85" s="27" t="s">
        <v>101</v>
      </c>
      <c r="I85" s="103"/>
      <c r="J85" s="27" t="s">
        <v>2234</v>
      </c>
      <c r="K85" s="27" t="s">
        <v>2235</v>
      </c>
      <c r="L85" s="27">
        <v>5.529476162E9</v>
      </c>
      <c r="M85" s="103"/>
      <c r="N85" s="103"/>
      <c r="O85" s="103"/>
      <c r="P85" s="105">
        <v>13.0</v>
      </c>
      <c r="Q85" s="106">
        <v>46031.51671296296</v>
      </c>
      <c r="R85" s="27" t="s">
        <v>107</v>
      </c>
      <c r="S85" s="27" t="s">
        <v>109</v>
      </c>
      <c r="T85" s="27" t="s">
        <v>171</v>
      </c>
      <c r="U85" s="27" t="s">
        <v>388</v>
      </c>
      <c r="V85" s="27" t="s">
        <v>389</v>
      </c>
      <c r="W85" s="27" t="s">
        <v>392</v>
      </c>
      <c r="X85" s="27" t="s">
        <v>120</v>
      </c>
      <c r="Y85" s="103"/>
      <c r="Z85" s="27" t="s">
        <v>117</v>
      </c>
      <c r="AA85" s="107" t="s">
        <v>2241</v>
      </c>
      <c r="AB85" s="27" t="s">
        <v>117</v>
      </c>
      <c r="AC85" s="27" t="s">
        <v>117</v>
      </c>
      <c r="AD85" s="108" t="s">
        <v>2244</v>
      </c>
      <c r="AE85" s="27" t="s">
        <v>120</v>
      </c>
      <c r="AF85" s="103"/>
      <c r="AG85" s="27" t="s">
        <v>120</v>
      </c>
      <c r="AH85" s="103"/>
      <c r="AI85" s="27" t="s">
        <v>120</v>
      </c>
      <c r="AJ85" s="103"/>
      <c r="AK85" s="103"/>
      <c r="AL85" s="27" t="s">
        <v>128</v>
      </c>
      <c r="AM85" s="27" t="s">
        <v>138</v>
      </c>
      <c r="AN85" s="27" t="s">
        <v>242</v>
      </c>
      <c r="AO85" s="27" t="s">
        <v>124</v>
      </c>
      <c r="AP85" s="27"/>
    </row>
    <row r="86" ht="22.5" customHeight="1">
      <c r="A86" s="23" t="s">
        <v>2252</v>
      </c>
      <c r="B86" s="23" t="s">
        <v>2253</v>
      </c>
      <c r="C86" s="23" t="s">
        <v>2254</v>
      </c>
      <c r="D86" s="68">
        <v>39738.0</v>
      </c>
      <c r="E86" s="23" t="s">
        <v>177</v>
      </c>
      <c r="F86" s="23">
        <v>5.568020883E9</v>
      </c>
      <c r="G86" s="23" t="s">
        <v>2256</v>
      </c>
      <c r="H86" s="23" t="s">
        <v>150</v>
      </c>
      <c r="I86" s="69"/>
      <c r="J86" s="23" t="s">
        <v>2258</v>
      </c>
      <c r="K86" s="23" t="s">
        <v>2259</v>
      </c>
      <c r="L86" s="23">
        <v>5.516457551E9</v>
      </c>
      <c r="M86" s="23" t="s">
        <v>2261</v>
      </c>
      <c r="N86" s="23" t="s">
        <v>2262</v>
      </c>
      <c r="O86" s="23">
        <v>5.52686809E9</v>
      </c>
      <c r="P86" s="70">
        <v>17.0</v>
      </c>
      <c r="Q86" s="71">
        <v>46019.78790509259</v>
      </c>
      <c r="R86" s="23" t="s">
        <v>107</v>
      </c>
      <c r="S86" s="23" t="s">
        <v>109</v>
      </c>
      <c r="T86" s="23" t="s">
        <v>171</v>
      </c>
      <c r="U86" s="23" t="s">
        <v>388</v>
      </c>
      <c r="V86" s="23" t="s">
        <v>389</v>
      </c>
      <c r="W86" s="23" t="s">
        <v>392</v>
      </c>
      <c r="X86" s="23" t="s">
        <v>120</v>
      </c>
      <c r="Y86" s="69"/>
      <c r="Z86" s="23" t="s">
        <v>117</v>
      </c>
      <c r="AA86" s="24" t="s">
        <v>2270</v>
      </c>
      <c r="AB86" s="23" t="s">
        <v>117</v>
      </c>
      <c r="AC86" s="23" t="s">
        <v>117</v>
      </c>
      <c r="AD86" s="108" t="s">
        <v>2273</v>
      </c>
      <c r="AE86" s="23" t="s">
        <v>120</v>
      </c>
      <c r="AF86" s="69"/>
      <c r="AG86" s="23" t="s">
        <v>120</v>
      </c>
      <c r="AH86" s="69"/>
      <c r="AI86" s="23" t="s">
        <v>120</v>
      </c>
      <c r="AJ86" s="69"/>
      <c r="AK86" s="69"/>
      <c r="AL86" s="23" t="s">
        <v>126</v>
      </c>
      <c r="AM86" s="23" t="s">
        <v>185</v>
      </c>
      <c r="AN86" s="23" t="s">
        <v>242</v>
      </c>
      <c r="AO86" s="23" t="s">
        <v>124</v>
      </c>
      <c r="AP86" s="23"/>
    </row>
    <row r="87" ht="22.5" customHeight="1">
      <c r="A87" s="27" t="s">
        <v>2274</v>
      </c>
      <c r="B87" s="27" t="s">
        <v>2275</v>
      </c>
      <c r="C87" s="103"/>
      <c r="D87" s="104">
        <v>41188.0</v>
      </c>
      <c r="E87" s="27" t="s">
        <v>98</v>
      </c>
      <c r="F87" s="27">
        <v>5.63375795E9</v>
      </c>
      <c r="G87" s="27" t="s">
        <v>2277</v>
      </c>
      <c r="H87" s="27" t="s">
        <v>140</v>
      </c>
      <c r="I87" s="103"/>
      <c r="J87" s="27" t="s">
        <v>2280</v>
      </c>
      <c r="K87" s="27" t="s">
        <v>2281</v>
      </c>
      <c r="L87" s="27">
        <v>5.535939943E9</v>
      </c>
      <c r="M87" s="103"/>
      <c r="N87" s="103"/>
      <c r="O87" s="103"/>
      <c r="P87" s="105">
        <v>13.0</v>
      </c>
      <c r="Q87" s="106">
        <v>46040.46931712963</v>
      </c>
      <c r="R87" s="27" t="s">
        <v>107</v>
      </c>
      <c r="S87" s="27" t="s">
        <v>109</v>
      </c>
      <c r="T87" s="27" t="s">
        <v>160</v>
      </c>
      <c r="U87" s="27" t="s">
        <v>308</v>
      </c>
      <c r="V87" s="27" t="s">
        <v>309</v>
      </c>
      <c r="W87" s="27" t="s">
        <v>310</v>
      </c>
      <c r="X87" s="27" t="s">
        <v>120</v>
      </c>
      <c r="Y87" s="103"/>
      <c r="Z87" s="27" t="s">
        <v>120</v>
      </c>
      <c r="AA87" s="103"/>
      <c r="AB87" s="27" t="s">
        <v>117</v>
      </c>
      <c r="AC87" s="27" t="s">
        <v>117</v>
      </c>
      <c r="AD87" s="108" t="s">
        <v>2290</v>
      </c>
      <c r="AE87" s="27" t="s">
        <v>120</v>
      </c>
      <c r="AF87" s="103"/>
      <c r="AG87" s="27" t="s">
        <v>120</v>
      </c>
      <c r="AH87" s="103"/>
      <c r="AI87" s="27" t="s">
        <v>117</v>
      </c>
      <c r="AJ87" s="27" t="s">
        <v>2291</v>
      </c>
      <c r="AK87" s="103"/>
      <c r="AL87" s="27" t="s">
        <v>156</v>
      </c>
      <c r="AM87" s="27" t="s">
        <v>240</v>
      </c>
      <c r="AN87" s="27" t="s">
        <v>128</v>
      </c>
      <c r="AO87" s="27" t="s">
        <v>126</v>
      </c>
      <c r="AP87" s="27"/>
    </row>
    <row r="88" ht="22.5" customHeight="1">
      <c r="A88" s="23" t="s">
        <v>1416</v>
      </c>
      <c r="B88" s="23" t="s">
        <v>1418</v>
      </c>
      <c r="C88" s="23" t="s">
        <v>1419</v>
      </c>
      <c r="D88" s="68">
        <v>41132.0</v>
      </c>
      <c r="E88" s="23" t="s">
        <v>177</v>
      </c>
      <c r="F88" s="23">
        <v>5.585806377E9</v>
      </c>
      <c r="G88" s="23" t="s">
        <v>1420</v>
      </c>
      <c r="H88" s="23" t="s">
        <v>101</v>
      </c>
      <c r="I88" s="23" t="s">
        <v>1421</v>
      </c>
      <c r="J88" s="23" t="s">
        <v>1422</v>
      </c>
      <c r="K88" s="23" t="s">
        <v>1424</v>
      </c>
      <c r="L88" s="23">
        <v>5.585809983E9</v>
      </c>
      <c r="M88" s="23" t="s">
        <v>1426</v>
      </c>
      <c r="N88" s="23" t="s">
        <v>1420</v>
      </c>
      <c r="O88" s="23">
        <v>5.585806377E9</v>
      </c>
      <c r="P88" s="70">
        <v>13.0</v>
      </c>
      <c r="Q88" s="71">
        <v>46029.832094907404</v>
      </c>
      <c r="R88" s="23" t="s">
        <v>107</v>
      </c>
      <c r="S88" s="23" t="s">
        <v>109</v>
      </c>
      <c r="T88" s="23" t="s">
        <v>204</v>
      </c>
      <c r="U88" s="23" t="s">
        <v>311</v>
      </c>
      <c r="V88" s="23" t="s">
        <v>312</v>
      </c>
      <c r="W88" s="23" t="s">
        <v>313</v>
      </c>
      <c r="X88" s="23" t="s">
        <v>120</v>
      </c>
      <c r="Y88" s="69"/>
      <c r="Z88" s="23" t="s">
        <v>117</v>
      </c>
      <c r="AA88" s="24" t="s">
        <v>1433</v>
      </c>
      <c r="AB88" s="23" t="s">
        <v>120</v>
      </c>
      <c r="AC88" s="69"/>
      <c r="AD88" s="108" t="s">
        <v>1053</v>
      </c>
      <c r="AE88" s="23" t="s">
        <v>120</v>
      </c>
      <c r="AF88" s="69"/>
      <c r="AG88" s="23" t="s">
        <v>120</v>
      </c>
      <c r="AH88" s="69"/>
      <c r="AI88" s="23" t="s">
        <v>120</v>
      </c>
      <c r="AJ88" s="69"/>
      <c r="AK88" s="69"/>
      <c r="AL88" s="23" t="s">
        <v>156</v>
      </c>
      <c r="AM88" s="23" t="s">
        <v>138</v>
      </c>
      <c r="AN88" s="23" t="s">
        <v>129</v>
      </c>
      <c r="AO88" s="23" t="s">
        <v>185</v>
      </c>
      <c r="AP88" s="23"/>
    </row>
    <row r="89" ht="22.5" customHeight="1">
      <c r="A89" s="27" t="s">
        <v>1138</v>
      </c>
      <c r="B89" s="27" t="s">
        <v>1139</v>
      </c>
      <c r="C89" s="27" t="s">
        <v>1140</v>
      </c>
      <c r="D89" s="104">
        <v>40163.0</v>
      </c>
      <c r="E89" s="27" t="s">
        <v>98</v>
      </c>
      <c r="F89" s="27">
        <v>5.626895005E9</v>
      </c>
      <c r="G89" s="27" t="s">
        <v>1141</v>
      </c>
      <c r="H89" s="27" t="s">
        <v>150</v>
      </c>
      <c r="I89" s="27" t="s">
        <v>1142</v>
      </c>
      <c r="J89" s="27" t="s">
        <v>1143</v>
      </c>
      <c r="K89" s="27" t="s">
        <v>1144</v>
      </c>
      <c r="L89" s="27">
        <v>5.512573397E9</v>
      </c>
      <c r="M89" s="103"/>
      <c r="N89" s="103"/>
      <c r="O89" s="103"/>
      <c r="P89" s="105">
        <v>16.0</v>
      </c>
      <c r="Q89" s="106">
        <v>46037.80364583333</v>
      </c>
      <c r="R89" s="27" t="s">
        <v>107</v>
      </c>
      <c r="S89" s="27" t="s">
        <v>109</v>
      </c>
      <c r="T89" s="27" t="s">
        <v>111</v>
      </c>
      <c r="U89" s="27" t="s">
        <v>657</v>
      </c>
      <c r="V89" s="27" t="s">
        <v>659</v>
      </c>
      <c r="W89" s="27" t="s">
        <v>662</v>
      </c>
      <c r="X89" s="27" t="s">
        <v>120</v>
      </c>
      <c r="Y89" s="27" t="s">
        <v>697</v>
      </c>
      <c r="Z89" s="27" t="s">
        <v>120</v>
      </c>
      <c r="AA89" s="27" t="s">
        <v>698</v>
      </c>
      <c r="AB89" s="27" t="s">
        <v>120</v>
      </c>
      <c r="AC89" s="27" t="s">
        <v>120</v>
      </c>
      <c r="AD89" s="108" t="s">
        <v>1165</v>
      </c>
      <c r="AE89" s="27" t="s">
        <v>120</v>
      </c>
      <c r="AF89" s="27" t="s">
        <v>667</v>
      </c>
      <c r="AG89" s="27" t="s">
        <v>120</v>
      </c>
      <c r="AH89" s="27" t="s">
        <v>667</v>
      </c>
      <c r="AI89" s="27" t="s">
        <v>117</v>
      </c>
      <c r="AJ89" s="27" t="s">
        <v>1167</v>
      </c>
      <c r="AK89" s="27" t="s">
        <v>667</v>
      </c>
      <c r="AL89" s="27" t="s">
        <v>141</v>
      </c>
      <c r="AM89" s="27" t="s">
        <v>128</v>
      </c>
      <c r="AN89" s="27" t="s">
        <v>156</v>
      </c>
      <c r="AO89" s="27" t="s">
        <v>242</v>
      </c>
      <c r="AP89" s="27"/>
    </row>
    <row r="90" ht="22.5" customHeight="1">
      <c r="A90" s="23" t="s">
        <v>451</v>
      </c>
      <c r="B90" s="23" t="s">
        <v>1912</v>
      </c>
      <c r="C90" s="23" t="s">
        <v>1913</v>
      </c>
      <c r="D90" s="68">
        <v>40257.0</v>
      </c>
      <c r="E90" s="23" t="s">
        <v>98</v>
      </c>
      <c r="F90" s="23">
        <v>5.642992795E9</v>
      </c>
      <c r="G90" s="23" t="s">
        <v>1920</v>
      </c>
      <c r="H90" s="23" t="s">
        <v>150</v>
      </c>
      <c r="I90" s="23" t="s">
        <v>2351</v>
      </c>
      <c r="J90" s="23" t="s">
        <v>1924</v>
      </c>
      <c r="K90" s="23" t="s">
        <v>1925</v>
      </c>
      <c r="L90" s="23">
        <v>5.546144414E9</v>
      </c>
      <c r="M90" s="23" t="s">
        <v>1928</v>
      </c>
      <c r="N90" s="23" t="s">
        <v>1929</v>
      </c>
      <c r="O90" s="23">
        <v>5.616834998E9</v>
      </c>
      <c r="P90" s="70">
        <v>15.0</v>
      </c>
      <c r="Q90" s="71">
        <v>46025.64896990741</v>
      </c>
      <c r="R90" s="23" t="s">
        <v>546</v>
      </c>
      <c r="S90" s="23" t="s">
        <v>109</v>
      </c>
      <c r="T90" s="23" t="s">
        <v>127</v>
      </c>
      <c r="U90" s="23" t="s">
        <v>531</v>
      </c>
      <c r="V90" s="23" t="s">
        <v>532</v>
      </c>
      <c r="W90" s="23" t="s">
        <v>534</v>
      </c>
      <c r="X90" s="23" t="s">
        <v>120</v>
      </c>
      <c r="Y90" s="69"/>
      <c r="Z90" s="23" t="s">
        <v>120</v>
      </c>
      <c r="AA90" s="69"/>
      <c r="AB90" s="23" t="s">
        <v>120</v>
      </c>
      <c r="AC90" s="69"/>
      <c r="AD90" s="108" t="s">
        <v>2360</v>
      </c>
      <c r="AE90" s="23" t="s">
        <v>117</v>
      </c>
      <c r="AF90" s="23" t="s">
        <v>2362</v>
      </c>
      <c r="AG90" s="23" t="s">
        <v>120</v>
      </c>
      <c r="AH90" s="69"/>
      <c r="AI90" s="23" t="s">
        <v>117</v>
      </c>
      <c r="AJ90" s="115" t="s">
        <v>2364</v>
      </c>
      <c r="AK90" s="69"/>
      <c r="AL90" s="23" t="s">
        <v>185</v>
      </c>
      <c r="AM90" s="23" t="s">
        <v>240</v>
      </c>
      <c r="AN90" s="23" t="s">
        <v>156</v>
      </c>
      <c r="AO90" s="23" t="s">
        <v>124</v>
      </c>
      <c r="AP90" s="23"/>
    </row>
    <row r="91" ht="22.5" customHeight="1">
      <c r="A91" s="27" t="s">
        <v>2324</v>
      </c>
      <c r="B91" s="27" t="s">
        <v>2326</v>
      </c>
      <c r="C91" s="27" t="s">
        <v>2327</v>
      </c>
      <c r="D91" s="104">
        <v>39938.0</v>
      </c>
      <c r="E91" s="27" t="s">
        <v>98</v>
      </c>
      <c r="F91" s="27">
        <v>5.527382073E9</v>
      </c>
      <c r="G91" s="27" t="s">
        <v>2328</v>
      </c>
      <c r="H91" s="27" t="s">
        <v>150</v>
      </c>
      <c r="I91" s="103"/>
      <c r="J91" s="27" t="s">
        <v>2329</v>
      </c>
      <c r="K91" s="27" t="s">
        <v>2328</v>
      </c>
      <c r="L91" s="27">
        <v>5.591686167E9</v>
      </c>
      <c r="M91" s="27" t="s">
        <v>2330</v>
      </c>
      <c r="N91" s="27" t="s">
        <v>2331</v>
      </c>
      <c r="O91" s="27">
        <v>5.536672299E9</v>
      </c>
      <c r="P91" s="105">
        <v>16.0</v>
      </c>
      <c r="Q91" s="106">
        <v>46026.00423611111</v>
      </c>
      <c r="R91" s="27" t="s">
        <v>107</v>
      </c>
      <c r="S91" s="27" t="s">
        <v>109</v>
      </c>
      <c r="T91" s="27" t="s">
        <v>208</v>
      </c>
      <c r="U91" s="27" t="s">
        <v>228</v>
      </c>
      <c r="V91" s="27" t="s">
        <v>229</v>
      </c>
      <c r="W91" s="27" t="s">
        <v>230</v>
      </c>
      <c r="X91" s="27" t="s">
        <v>120</v>
      </c>
      <c r="Y91" s="27" t="s">
        <v>2332</v>
      </c>
      <c r="Z91" s="27" t="s">
        <v>120</v>
      </c>
      <c r="AA91" s="27" t="s">
        <v>2332</v>
      </c>
      <c r="AB91" s="27" t="s">
        <v>120</v>
      </c>
      <c r="AC91" s="27" t="s">
        <v>117</v>
      </c>
      <c r="AD91" s="27" t="s">
        <v>2332</v>
      </c>
      <c r="AE91" s="27" t="s">
        <v>120</v>
      </c>
      <c r="AF91" s="27" t="s">
        <v>2332</v>
      </c>
      <c r="AG91" s="27" t="s">
        <v>117</v>
      </c>
      <c r="AH91" s="27" t="s">
        <v>2333</v>
      </c>
      <c r="AI91" s="27" t="s">
        <v>117</v>
      </c>
      <c r="AJ91" s="27" t="s">
        <v>2334</v>
      </c>
      <c r="AK91" s="27" t="s">
        <v>135</v>
      </c>
      <c r="AL91" s="27" t="s">
        <v>126</v>
      </c>
      <c r="AM91" s="27" t="s">
        <v>138</v>
      </c>
      <c r="AN91" s="27" t="s">
        <v>156</v>
      </c>
      <c r="AO91" s="27" t="s">
        <v>216</v>
      </c>
      <c r="AP91" s="27"/>
    </row>
    <row r="92" ht="22.5" customHeight="1">
      <c r="A92" s="23" t="s">
        <v>779</v>
      </c>
      <c r="B92" s="23" t="s">
        <v>780</v>
      </c>
      <c r="C92" s="23" t="s">
        <v>781</v>
      </c>
      <c r="D92" s="68">
        <v>39568.0</v>
      </c>
      <c r="E92" s="23" t="s">
        <v>98</v>
      </c>
      <c r="F92" s="23">
        <v>5.631704808E9</v>
      </c>
      <c r="G92" s="23" t="s">
        <v>782</v>
      </c>
      <c r="H92" s="23" t="s">
        <v>101</v>
      </c>
      <c r="I92" s="23" t="s">
        <v>783</v>
      </c>
      <c r="J92" s="23" t="s">
        <v>784</v>
      </c>
      <c r="K92" s="23" t="s">
        <v>785</v>
      </c>
      <c r="L92" s="23">
        <v>5.64149485E9</v>
      </c>
      <c r="M92" s="23" t="s">
        <v>786</v>
      </c>
      <c r="N92" s="23" t="s">
        <v>787</v>
      </c>
      <c r="O92" s="23">
        <v>5.645773992E9</v>
      </c>
      <c r="P92" s="70">
        <v>17.0</v>
      </c>
      <c r="Q92" s="71">
        <v>46026.463587962964</v>
      </c>
      <c r="R92" s="23" t="s">
        <v>107</v>
      </c>
      <c r="S92" s="23" t="s">
        <v>109</v>
      </c>
      <c r="T92" s="23" t="s">
        <v>208</v>
      </c>
      <c r="U92" s="23" t="s">
        <v>788</v>
      </c>
      <c r="V92" s="23" t="s">
        <v>789</v>
      </c>
      <c r="W92" s="23" t="s">
        <v>790</v>
      </c>
      <c r="X92" s="23" t="s">
        <v>117</v>
      </c>
      <c r="Y92" s="24" t="s">
        <v>791</v>
      </c>
      <c r="Z92" s="23" t="s">
        <v>117</v>
      </c>
      <c r="AA92" s="23" t="s">
        <v>792</v>
      </c>
      <c r="AB92" s="23" t="s">
        <v>120</v>
      </c>
      <c r="AC92" s="23" t="s">
        <v>120</v>
      </c>
      <c r="AD92" s="69"/>
      <c r="AE92" s="23" t="s">
        <v>120</v>
      </c>
      <c r="AF92" s="69"/>
      <c r="AG92" s="23" t="s">
        <v>120</v>
      </c>
      <c r="AH92" s="69"/>
      <c r="AI92" s="23" t="s">
        <v>120</v>
      </c>
      <c r="AJ92" s="69"/>
      <c r="AK92" s="69"/>
      <c r="AL92" s="23" t="s">
        <v>242</v>
      </c>
      <c r="AM92" s="23" t="s">
        <v>156</v>
      </c>
      <c r="AN92" s="23" t="s">
        <v>126</v>
      </c>
      <c r="AO92" s="23" t="s">
        <v>185</v>
      </c>
      <c r="AP92" s="23"/>
    </row>
    <row r="93" ht="22.5" customHeight="1">
      <c r="A93" s="27" t="s">
        <v>620</v>
      </c>
      <c r="B93" s="27" t="s">
        <v>622</v>
      </c>
      <c r="C93" s="27" t="s">
        <v>624</v>
      </c>
      <c r="D93" s="104">
        <v>40036.0</v>
      </c>
      <c r="E93" s="27" t="s">
        <v>177</v>
      </c>
      <c r="F93" s="27">
        <v>5.534644229E9</v>
      </c>
      <c r="G93" s="27" t="s">
        <v>629</v>
      </c>
      <c r="H93" s="27" t="s">
        <v>150</v>
      </c>
      <c r="I93" s="27" t="s">
        <v>630</v>
      </c>
      <c r="J93" s="27" t="s">
        <v>631</v>
      </c>
      <c r="K93" s="27" t="s">
        <v>632</v>
      </c>
      <c r="L93" s="27">
        <v>5.561827544E9</v>
      </c>
      <c r="M93" s="103"/>
      <c r="N93" s="103"/>
      <c r="O93" s="103"/>
      <c r="P93" s="105">
        <v>16.0</v>
      </c>
      <c r="Q93" s="106">
        <v>46034.52142361111</v>
      </c>
      <c r="R93" s="27" t="s">
        <v>107</v>
      </c>
      <c r="S93" s="27" t="s">
        <v>109</v>
      </c>
      <c r="T93" s="27" t="s">
        <v>171</v>
      </c>
      <c r="U93" s="27" t="s">
        <v>638</v>
      </c>
      <c r="V93" s="27" t="s">
        <v>639</v>
      </c>
      <c r="W93" s="27" t="s">
        <v>641</v>
      </c>
      <c r="X93" s="27" t="s">
        <v>117</v>
      </c>
      <c r="Y93" s="27" t="s">
        <v>630</v>
      </c>
      <c r="Z93" s="27" t="s">
        <v>120</v>
      </c>
      <c r="AA93" s="103"/>
      <c r="AB93" s="27" t="s">
        <v>120</v>
      </c>
      <c r="AC93" s="27" t="s">
        <v>120</v>
      </c>
      <c r="AD93" s="103"/>
      <c r="AE93" s="27" t="s">
        <v>117</v>
      </c>
      <c r="AF93" s="27" t="s">
        <v>642</v>
      </c>
      <c r="AG93" s="27" t="s">
        <v>120</v>
      </c>
      <c r="AH93" s="103"/>
      <c r="AI93" s="27" t="s">
        <v>120</v>
      </c>
      <c r="AJ93" s="103"/>
      <c r="AK93" s="103"/>
      <c r="AL93" s="27" t="s">
        <v>185</v>
      </c>
      <c r="AM93" s="27" t="s">
        <v>240</v>
      </c>
      <c r="AN93" s="27" t="s">
        <v>242</v>
      </c>
      <c r="AO93" s="27" t="s">
        <v>138</v>
      </c>
      <c r="AP93" s="27"/>
    </row>
    <row r="94" ht="22.5" customHeight="1">
      <c r="A94" s="23" t="s">
        <v>2403</v>
      </c>
      <c r="B94" s="23" t="s">
        <v>2406</v>
      </c>
      <c r="C94" s="23" t="s">
        <v>2407</v>
      </c>
      <c r="D94" s="68">
        <v>39948.0</v>
      </c>
      <c r="E94" s="23" t="s">
        <v>98</v>
      </c>
      <c r="F94" s="23">
        <v>5.615632529E9</v>
      </c>
      <c r="G94" s="23" t="s">
        <v>2409</v>
      </c>
      <c r="H94" s="23" t="s">
        <v>101</v>
      </c>
      <c r="I94" s="69"/>
      <c r="J94" s="23" t="s">
        <v>2411</v>
      </c>
      <c r="K94" s="23" t="s">
        <v>2412</v>
      </c>
      <c r="L94" s="23">
        <v>5.511234392E9</v>
      </c>
      <c r="M94" s="69"/>
      <c r="N94" s="69"/>
      <c r="O94" s="69"/>
      <c r="P94" s="70">
        <v>16.0</v>
      </c>
      <c r="Q94" s="71">
        <v>46033.46265046296</v>
      </c>
      <c r="R94" s="23" t="s">
        <v>107</v>
      </c>
      <c r="S94" s="23" t="s">
        <v>109</v>
      </c>
      <c r="T94" s="23" t="s">
        <v>160</v>
      </c>
      <c r="U94" s="23" t="s">
        <v>329</v>
      </c>
      <c r="V94" s="23" t="s">
        <v>331</v>
      </c>
      <c r="W94" s="23" t="s">
        <v>332</v>
      </c>
      <c r="X94" s="23" t="s">
        <v>120</v>
      </c>
      <c r="Y94" s="69"/>
      <c r="Z94" s="23" t="s">
        <v>120</v>
      </c>
      <c r="AA94" s="69"/>
      <c r="AB94" s="23" t="s">
        <v>120</v>
      </c>
      <c r="AC94" s="69"/>
      <c r="AD94" s="69"/>
      <c r="AE94" s="23" t="s">
        <v>117</v>
      </c>
      <c r="AF94" s="23" t="s">
        <v>2419</v>
      </c>
      <c r="AG94" s="23" t="s">
        <v>120</v>
      </c>
      <c r="AH94" s="69"/>
      <c r="AI94" s="23" t="s">
        <v>120</v>
      </c>
      <c r="AJ94" s="69"/>
      <c r="AK94" s="69"/>
      <c r="AL94" s="23" t="s">
        <v>129</v>
      </c>
      <c r="AM94" s="23" t="s">
        <v>156</v>
      </c>
      <c r="AN94" s="23" t="s">
        <v>138</v>
      </c>
      <c r="AO94" s="23" t="s">
        <v>185</v>
      </c>
      <c r="AP94" s="23"/>
    </row>
    <row r="95" ht="22.5" customHeight="1">
      <c r="A95" s="27" t="s">
        <v>2426</v>
      </c>
      <c r="B95" s="27" t="s">
        <v>2429</v>
      </c>
      <c r="C95" s="27" t="s">
        <v>2430</v>
      </c>
      <c r="D95" s="104">
        <v>41113.0</v>
      </c>
      <c r="E95" s="27" t="s">
        <v>98</v>
      </c>
      <c r="F95" s="27">
        <v>5.513384418E9</v>
      </c>
      <c r="G95" s="27" t="s">
        <v>2431</v>
      </c>
      <c r="H95" s="27" t="s">
        <v>101</v>
      </c>
      <c r="I95" s="27" t="s">
        <v>2434</v>
      </c>
      <c r="J95" s="27" t="s">
        <v>2436</v>
      </c>
      <c r="K95" s="27" t="s">
        <v>2437</v>
      </c>
      <c r="L95" s="27" t="s">
        <v>2438</v>
      </c>
      <c r="M95" s="103"/>
      <c r="N95" s="103"/>
      <c r="O95" s="103"/>
      <c r="P95" s="105">
        <v>13.0</v>
      </c>
      <c r="Q95" s="106">
        <v>46039.751909722225</v>
      </c>
      <c r="R95" s="27" t="s">
        <v>107</v>
      </c>
      <c r="S95" s="27" t="s">
        <v>109</v>
      </c>
      <c r="T95" s="27" t="s">
        <v>127</v>
      </c>
      <c r="U95" s="27" t="s">
        <v>672</v>
      </c>
      <c r="V95" s="27" t="s">
        <v>673</v>
      </c>
      <c r="W95" s="27" t="s">
        <v>674</v>
      </c>
      <c r="X95" s="27" t="s">
        <v>120</v>
      </c>
      <c r="Y95" s="103"/>
      <c r="Z95" s="27" t="s">
        <v>117</v>
      </c>
      <c r="AA95" s="107" t="s">
        <v>1525</v>
      </c>
      <c r="AB95" s="27" t="s">
        <v>120</v>
      </c>
      <c r="AC95" s="27" t="s">
        <v>120</v>
      </c>
      <c r="AD95" s="103"/>
      <c r="AE95" s="27" t="s">
        <v>117</v>
      </c>
      <c r="AF95" s="27" t="s">
        <v>2445</v>
      </c>
      <c r="AG95" s="27" t="s">
        <v>120</v>
      </c>
      <c r="AH95" s="103"/>
      <c r="AI95" s="27" t="s">
        <v>117</v>
      </c>
      <c r="AJ95" s="115" t="s">
        <v>2448</v>
      </c>
      <c r="AK95" s="103"/>
      <c r="AL95" s="27" t="s">
        <v>138</v>
      </c>
      <c r="AM95" s="27" t="s">
        <v>141</v>
      </c>
      <c r="AN95" s="27" t="s">
        <v>185</v>
      </c>
      <c r="AO95" s="27" t="s">
        <v>242</v>
      </c>
      <c r="AP95" s="27"/>
    </row>
    <row r="96" ht="22.5" customHeight="1">
      <c r="A96" s="23" t="s">
        <v>2455</v>
      </c>
      <c r="B96" s="23" t="s">
        <v>2457</v>
      </c>
      <c r="C96" s="23" t="s">
        <v>2459</v>
      </c>
      <c r="D96" s="68">
        <v>40451.0</v>
      </c>
      <c r="E96" s="23" t="s">
        <v>177</v>
      </c>
      <c r="F96" s="23">
        <v>5.533930331E9</v>
      </c>
      <c r="G96" s="23" t="s">
        <v>2460</v>
      </c>
      <c r="H96" s="23" t="s">
        <v>382</v>
      </c>
      <c r="I96" s="23" t="s">
        <v>2461</v>
      </c>
      <c r="J96" s="23" t="s">
        <v>2462</v>
      </c>
      <c r="K96" s="23" t="s">
        <v>2463</v>
      </c>
      <c r="L96" s="23">
        <v>5.527316121E9</v>
      </c>
      <c r="M96" s="23" t="s">
        <v>2464</v>
      </c>
      <c r="N96" s="23" t="s">
        <v>2460</v>
      </c>
      <c r="O96" s="23">
        <v>5.533930331E9</v>
      </c>
      <c r="P96" s="70">
        <v>15.0</v>
      </c>
      <c r="Q96" s="71">
        <v>46032.40730324074</v>
      </c>
      <c r="R96" s="23" t="s">
        <v>107</v>
      </c>
      <c r="S96" s="23" t="s">
        <v>109</v>
      </c>
      <c r="T96" s="23" t="s">
        <v>160</v>
      </c>
      <c r="U96" s="23" t="s">
        <v>279</v>
      </c>
      <c r="V96" s="23" t="s">
        <v>280</v>
      </c>
      <c r="W96" s="23" t="s">
        <v>282</v>
      </c>
      <c r="X96" s="23" t="s">
        <v>120</v>
      </c>
      <c r="Y96" s="69"/>
      <c r="Z96" s="23" t="s">
        <v>120</v>
      </c>
      <c r="AA96" s="69"/>
      <c r="AB96" s="23" t="s">
        <v>120</v>
      </c>
      <c r="AC96" s="23" t="s">
        <v>120</v>
      </c>
      <c r="AD96" s="69"/>
      <c r="AE96" s="23" t="s">
        <v>117</v>
      </c>
      <c r="AF96" s="23" t="s">
        <v>366</v>
      </c>
      <c r="AG96" s="23" t="s">
        <v>120</v>
      </c>
      <c r="AH96" s="69"/>
      <c r="AI96" s="23" t="s">
        <v>120</v>
      </c>
      <c r="AJ96" s="69"/>
      <c r="AK96" s="69"/>
      <c r="AL96" s="23" t="s">
        <v>138</v>
      </c>
      <c r="AM96" s="23" t="s">
        <v>156</v>
      </c>
      <c r="AN96" s="23" t="s">
        <v>129</v>
      </c>
      <c r="AO96" s="23" t="s">
        <v>124</v>
      </c>
      <c r="AP96" s="23"/>
    </row>
    <row r="97" ht="22.5" customHeight="1">
      <c r="A97" s="27" t="s">
        <v>2473</v>
      </c>
      <c r="B97" s="27" t="s">
        <v>2474</v>
      </c>
      <c r="C97" s="27" t="s">
        <v>2475</v>
      </c>
      <c r="D97" s="104">
        <v>40324.0</v>
      </c>
      <c r="E97" s="27" t="s">
        <v>177</v>
      </c>
      <c r="F97" s="27">
        <v>5.651488548E9</v>
      </c>
      <c r="G97" s="27" t="s">
        <v>2476</v>
      </c>
      <c r="H97" s="27" t="s">
        <v>101</v>
      </c>
      <c r="I97" s="103"/>
      <c r="J97" s="27" t="s">
        <v>2477</v>
      </c>
      <c r="K97" s="27" t="s">
        <v>2478</v>
      </c>
      <c r="L97" s="27">
        <v>5.552487339E9</v>
      </c>
      <c r="M97" s="103"/>
      <c r="N97" s="103"/>
      <c r="O97" s="103"/>
      <c r="P97" s="105">
        <v>15.0</v>
      </c>
      <c r="Q97" s="106">
        <v>46034.87805555556</v>
      </c>
      <c r="R97" s="27" t="s">
        <v>107</v>
      </c>
      <c r="S97" s="27" t="s">
        <v>109</v>
      </c>
      <c r="T97" s="27" t="s">
        <v>160</v>
      </c>
      <c r="U97" s="27" t="s">
        <v>329</v>
      </c>
      <c r="V97" s="27" t="s">
        <v>331</v>
      </c>
      <c r="W97" s="27" t="s">
        <v>332</v>
      </c>
      <c r="X97" s="27" t="s">
        <v>120</v>
      </c>
      <c r="Y97" s="103"/>
      <c r="Z97" s="27" t="s">
        <v>117</v>
      </c>
      <c r="AA97" s="107" t="s">
        <v>2483</v>
      </c>
      <c r="AB97" s="27" t="s">
        <v>120</v>
      </c>
      <c r="AC97" s="27" t="s">
        <v>120</v>
      </c>
      <c r="AD97" s="103"/>
      <c r="AE97" s="27" t="s">
        <v>117</v>
      </c>
      <c r="AF97" s="27" t="s">
        <v>2488</v>
      </c>
      <c r="AG97" s="27" t="s">
        <v>120</v>
      </c>
      <c r="AH97" s="103"/>
      <c r="AI97" s="27" t="s">
        <v>120</v>
      </c>
      <c r="AJ97" s="103"/>
      <c r="AK97" s="103"/>
      <c r="AL97" s="27" t="s">
        <v>128</v>
      </c>
      <c r="AM97" s="27" t="s">
        <v>126</v>
      </c>
      <c r="AN97" s="27" t="s">
        <v>185</v>
      </c>
      <c r="AO97" s="27" t="s">
        <v>124</v>
      </c>
      <c r="AP97" s="27"/>
    </row>
    <row r="98" ht="22.5" customHeight="1">
      <c r="A98" s="23" t="s">
        <v>451</v>
      </c>
      <c r="B98" s="23" t="s">
        <v>1912</v>
      </c>
      <c r="C98" s="23" t="s">
        <v>1913</v>
      </c>
      <c r="D98" s="68">
        <v>40257.0</v>
      </c>
      <c r="E98" s="23" t="s">
        <v>98</v>
      </c>
      <c r="F98" s="23">
        <v>5.642992795E9</v>
      </c>
      <c r="G98" s="23" t="s">
        <v>1920</v>
      </c>
      <c r="H98" s="23" t="s">
        <v>150</v>
      </c>
      <c r="I98" s="69"/>
      <c r="J98" s="23" t="s">
        <v>1924</v>
      </c>
      <c r="K98" s="23" t="s">
        <v>1925</v>
      </c>
      <c r="L98" s="23">
        <v>5.546144414E9</v>
      </c>
      <c r="M98" s="23" t="s">
        <v>1928</v>
      </c>
      <c r="N98" s="23" t="s">
        <v>1929</v>
      </c>
      <c r="O98" s="23">
        <v>5.616834998E9</v>
      </c>
      <c r="P98" s="70">
        <v>15.0</v>
      </c>
      <c r="Q98" s="71">
        <v>46025.666655092595</v>
      </c>
      <c r="R98" s="23" t="s">
        <v>107</v>
      </c>
      <c r="S98" s="23" t="s">
        <v>109</v>
      </c>
      <c r="T98" s="23" t="s">
        <v>127</v>
      </c>
      <c r="U98" s="23" t="s">
        <v>531</v>
      </c>
      <c r="V98" s="23" t="s">
        <v>532</v>
      </c>
      <c r="W98" s="23" t="s">
        <v>534</v>
      </c>
      <c r="X98" s="23" t="s">
        <v>120</v>
      </c>
      <c r="Y98" s="69"/>
      <c r="Z98" s="23" t="s">
        <v>120</v>
      </c>
      <c r="AA98" s="69"/>
      <c r="AB98" s="23" t="s">
        <v>120</v>
      </c>
      <c r="AC98" s="69"/>
      <c r="AD98" s="69"/>
      <c r="AE98" s="23" t="s">
        <v>117</v>
      </c>
      <c r="AF98" s="23" t="s">
        <v>1934</v>
      </c>
      <c r="AG98" s="23" t="s">
        <v>120</v>
      </c>
      <c r="AH98" s="69"/>
      <c r="AI98" s="23" t="s">
        <v>117</v>
      </c>
      <c r="AJ98" s="121" t="s">
        <v>1937</v>
      </c>
      <c r="AK98" s="69"/>
      <c r="AL98" s="23" t="s">
        <v>156</v>
      </c>
      <c r="AM98" s="23" t="s">
        <v>185</v>
      </c>
      <c r="AN98" s="23" t="s">
        <v>124</v>
      </c>
      <c r="AO98" s="23" t="s">
        <v>242</v>
      </c>
      <c r="AP98" s="23"/>
    </row>
    <row r="99" ht="22.5" customHeight="1">
      <c r="A99" s="27" t="s">
        <v>2502</v>
      </c>
      <c r="B99" s="27" t="s">
        <v>2503</v>
      </c>
      <c r="C99" s="27" t="s">
        <v>2504</v>
      </c>
      <c r="D99" s="104">
        <v>39661.0</v>
      </c>
      <c r="E99" s="27" t="s">
        <v>98</v>
      </c>
      <c r="F99" s="27">
        <v>5.574823712E9</v>
      </c>
      <c r="G99" s="27" t="s">
        <v>2505</v>
      </c>
      <c r="H99" s="27" t="s">
        <v>101</v>
      </c>
      <c r="I99" s="27" t="s">
        <v>2506</v>
      </c>
      <c r="J99" s="27" t="s">
        <v>2507</v>
      </c>
      <c r="K99" s="27" t="s">
        <v>2509</v>
      </c>
      <c r="L99" s="27">
        <v>5.547865572E9</v>
      </c>
      <c r="M99" s="103"/>
      <c r="N99" s="103"/>
      <c r="O99" s="103"/>
      <c r="P99" s="105">
        <v>17.0</v>
      </c>
      <c r="Q99" s="106">
        <v>46040.57517361111</v>
      </c>
      <c r="R99" s="27" t="s">
        <v>107</v>
      </c>
      <c r="S99" s="27" t="s">
        <v>109</v>
      </c>
      <c r="T99" s="27" t="s">
        <v>127</v>
      </c>
      <c r="U99" s="27" t="s">
        <v>234</v>
      </c>
      <c r="V99" s="27" t="s">
        <v>227</v>
      </c>
      <c r="W99" s="27" t="s">
        <v>236</v>
      </c>
      <c r="X99" s="27" t="s">
        <v>120</v>
      </c>
      <c r="Y99" s="103"/>
      <c r="Z99" s="27" t="s">
        <v>120</v>
      </c>
      <c r="AA99" s="103"/>
      <c r="AB99" s="27" t="s">
        <v>120</v>
      </c>
      <c r="AC99" s="103"/>
      <c r="AD99" s="103"/>
      <c r="AE99" s="27" t="s">
        <v>117</v>
      </c>
      <c r="AF99" s="27" t="s">
        <v>2419</v>
      </c>
      <c r="AG99" s="27" t="s">
        <v>120</v>
      </c>
      <c r="AH99" s="103"/>
      <c r="AI99" s="27" t="s">
        <v>120</v>
      </c>
      <c r="AJ99" s="103"/>
      <c r="AK99" s="103"/>
      <c r="AL99" s="27" t="s">
        <v>156</v>
      </c>
      <c r="AM99" s="27" t="s">
        <v>185</v>
      </c>
      <c r="AN99" s="27" t="s">
        <v>138</v>
      </c>
      <c r="AO99" s="27" t="s">
        <v>126</v>
      </c>
      <c r="AP99" s="27"/>
    </row>
    <row r="100" ht="22.5" customHeight="1">
      <c r="A100" s="23" t="s">
        <v>2186</v>
      </c>
      <c r="B100" s="23" t="s">
        <v>2187</v>
      </c>
      <c r="C100" s="23" t="s">
        <v>2189</v>
      </c>
      <c r="D100" s="68">
        <v>41070.0</v>
      </c>
      <c r="E100" s="23" t="s">
        <v>177</v>
      </c>
      <c r="F100" s="23">
        <v>5.635977827E9</v>
      </c>
      <c r="G100" s="23" t="s">
        <v>2192</v>
      </c>
      <c r="H100" s="23" t="s">
        <v>150</v>
      </c>
      <c r="I100" s="23" t="s">
        <v>2196</v>
      </c>
      <c r="J100" s="23" t="s">
        <v>2197</v>
      </c>
      <c r="K100" s="23" t="s">
        <v>2192</v>
      </c>
      <c r="L100" s="23">
        <v>5.635977827E9</v>
      </c>
      <c r="M100" s="69"/>
      <c r="N100" s="69"/>
      <c r="O100" s="69"/>
      <c r="P100" s="70">
        <v>13.0</v>
      </c>
      <c r="Q100" s="71">
        <v>46028.608078703706</v>
      </c>
      <c r="R100" s="23" t="s">
        <v>107</v>
      </c>
      <c r="S100" s="23" t="s">
        <v>109</v>
      </c>
      <c r="T100" s="23" t="s">
        <v>160</v>
      </c>
      <c r="U100" s="23" t="s">
        <v>308</v>
      </c>
      <c r="V100" s="23" t="s">
        <v>309</v>
      </c>
      <c r="W100" s="23" t="s">
        <v>310</v>
      </c>
      <c r="X100" s="23" t="s">
        <v>120</v>
      </c>
      <c r="Y100" s="69"/>
      <c r="Z100" s="23" t="s">
        <v>117</v>
      </c>
      <c r="AA100" s="24" t="s">
        <v>2209</v>
      </c>
      <c r="AB100" s="23" t="s">
        <v>120</v>
      </c>
      <c r="AC100" s="69"/>
      <c r="AD100" s="69"/>
      <c r="AE100" s="23" t="s">
        <v>117</v>
      </c>
      <c r="AF100" s="23" t="s">
        <v>2210</v>
      </c>
      <c r="AG100" s="23" t="s">
        <v>117</v>
      </c>
      <c r="AH100" s="23" t="s">
        <v>2213</v>
      </c>
      <c r="AI100" s="23" t="s">
        <v>117</v>
      </c>
      <c r="AJ100" s="23" t="s">
        <v>2215</v>
      </c>
      <c r="AK100" s="69"/>
      <c r="AL100" s="23" t="s">
        <v>126</v>
      </c>
      <c r="AM100" s="23" t="s">
        <v>156</v>
      </c>
      <c r="AN100" s="23" t="s">
        <v>216</v>
      </c>
      <c r="AO100" s="23" t="s">
        <v>185</v>
      </c>
      <c r="AP100" s="23"/>
    </row>
    <row r="101" ht="22.5" customHeight="1">
      <c r="A101" s="27" t="s">
        <v>2534</v>
      </c>
      <c r="B101" s="27" t="s">
        <v>2536</v>
      </c>
      <c r="C101" s="27" t="s">
        <v>2537</v>
      </c>
      <c r="D101" s="104">
        <v>41120.0</v>
      </c>
      <c r="E101" s="27" t="s">
        <v>98</v>
      </c>
      <c r="F101" s="27">
        <v>5.643570733E9</v>
      </c>
      <c r="G101" s="27" t="s">
        <v>1386</v>
      </c>
      <c r="H101" s="27" t="s">
        <v>101</v>
      </c>
      <c r="I101" s="103"/>
      <c r="J101" s="27" t="s">
        <v>1383</v>
      </c>
      <c r="K101" s="27" t="s">
        <v>1386</v>
      </c>
      <c r="L101" s="27">
        <v>5.518388891E9</v>
      </c>
      <c r="M101" s="103"/>
      <c r="N101" s="103"/>
      <c r="O101" s="103"/>
      <c r="P101" s="105">
        <v>13.0</v>
      </c>
      <c r="Q101" s="106">
        <v>46033.51528935185</v>
      </c>
      <c r="R101" s="27" t="s">
        <v>107</v>
      </c>
      <c r="S101" s="27" t="s">
        <v>109</v>
      </c>
      <c r="T101" s="27" t="s">
        <v>160</v>
      </c>
      <c r="U101" s="27" t="s">
        <v>1265</v>
      </c>
      <c r="V101" s="27" t="s">
        <v>1267</v>
      </c>
      <c r="W101" s="27" t="s">
        <v>1268</v>
      </c>
      <c r="X101" s="27" t="s">
        <v>120</v>
      </c>
      <c r="Y101" s="103"/>
      <c r="Z101" s="27" t="s">
        <v>120</v>
      </c>
      <c r="AA101" s="103"/>
      <c r="AB101" s="27" t="s">
        <v>120</v>
      </c>
      <c r="AC101" s="103"/>
      <c r="AD101" s="103"/>
      <c r="AE101" s="27" t="s">
        <v>117</v>
      </c>
      <c r="AF101" s="27" t="s">
        <v>2556</v>
      </c>
      <c r="AG101" s="27" t="s">
        <v>120</v>
      </c>
      <c r="AH101" s="103"/>
      <c r="AI101" s="27" t="s">
        <v>120</v>
      </c>
      <c r="AJ101" s="103"/>
      <c r="AK101" s="103"/>
      <c r="AL101" s="27" t="s">
        <v>124</v>
      </c>
      <c r="AM101" s="27" t="s">
        <v>240</v>
      </c>
      <c r="AN101" s="27" t="s">
        <v>156</v>
      </c>
      <c r="AO101" s="27" t="s">
        <v>126</v>
      </c>
      <c r="AP101" s="27"/>
    </row>
    <row r="102" ht="22.5" customHeight="1">
      <c r="A102" s="23" t="s">
        <v>2560</v>
      </c>
      <c r="B102" s="23" t="s">
        <v>2561</v>
      </c>
      <c r="C102" s="23" t="s">
        <v>2562</v>
      </c>
      <c r="D102" s="68">
        <v>40418.0</v>
      </c>
      <c r="E102" s="23" t="s">
        <v>98</v>
      </c>
      <c r="F102" s="23">
        <v>5.536641243E9</v>
      </c>
      <c r="G102" s="23" t="s">
        <v>2563</v>
      </c>
      <c r="H102" s="23" t="s">
        <v>150</v>
      </c>
      <c r="I102" s="23" t="s">
        <v>1325</v>
      </c>
      <c r="J102" s="23" t="s">
        <v>2565</v>
      </c>
      <c r="K102" s="23" t="s">
        <v>2567</v>
      </c>
      <c r="L102" s="23">
        <v>5.532344415E9</v>
      </c>
      <c r="M102" s="23" t="s">
        <v>2569</v>
      </c>
      <c r="N102" s="23" t="s">
        <v>2571</v>
      </c>
      <c r="O102" s="23">
        <v>5.527534772E9</v>
      </c>
      <c r="P102" s="70">
        <v>15.0</v>
      </c>
      <c r="Q102" s="71">
        <v>46040.48479166667</v>
      </c>
      <c r="R102" s="23" t="s">
        <v>107</v>
      </c>
      <c r="S102" s="23" t="s">
        <v>109</v>
      </c>
      <c r="T102" s="23" t="s">
        <v>111</v>
      </c>
      <c r="U102" s="23" t="s">
        <v>398</v>
      </c>
      <c r="V102" s="23" t="s">
        <v>399</v>
      </c>
      <c r="W102" s="23" t="s">
        <v>400</v>
      </c>
      <c r="X102" s="23" t="s">
        <v>120</v>
      </c>
      <c r="Y102" s="69"/>
      <c r="Z102" s="23" t="s">
        <v>120</v>
      </c>
      <c r="AA102" s="69"/>
      <c r="AB102" s="23" t="s">
        <v>120</v>
      </c>
      <c r="AC102" s="69"/>
      <c r="AD102" s="69"/>
      <c r="AE102" s="23" t="s">
        <v>117</v>
      </c>
      <c r="AF102" s="23" t="s">
        <v>2584</v>
      </c>
      <c r="AG102" s="23" t="s">
        <v>120</v>
      </c>
      <c r="AH102" s="69"/>
      <c r="AI102" s="23" t="s">
        <v>120</v>
      </c>
      <c r="AJ102" s="69"/>
      <c r="AK102" s="69"/>
      <c r="AL102" s="23" t="s">
        <v>185</v>
      </c>
      <c r="AM102" s="23" t="s">
        <v>138</v>
      </c>
      <c r="AN102" s="23" t="s">
        <v>156</v>
      </c>
      <c r="AO102" s="23" t="s">
        <v>216</v>
      </c>
      <c r="AP102" s="23"/>
    </row>
    <row r="103" ht="22.5" customHeight="1">
      <c r="A103" s="15" t="s">
        <v>2103</v>
      </c>
      <c r="B103" s="15" t="s">
        <v>2104</v>
      </c>
      <c r="C103" s="15" t="s">
        <v>2105</v>
      </c>
      <c r="D103" s="41">
        <v>39760.0</v>
      </c>
      <c r="E103" s="15" t="s">
        <v>98</v>
      </c>
      <c r="F103" s="15">
        <v>5.540329002E9</v>
      </c>
      <c r="G103" s="15" t="s">
        <v>2106</v>
      </c>
      <c r="H103" s="15" t="s">
        <v>140</v>
      </c>
      <c r="I103" s="18"/>
      <c r="J103" s="15" t="s">
        <v>2108</v>
      </c>
      <c r="K103" s="15" t="s">
        <v>2106</v>
      </c>
      <c r="L103" s="15">
        <v>5.540329002E9</v>
      </c>
      <c r="M103" s="18"/>
      <c r="N103" s="18"/>
      <c r="O103" s="18"/>
      <c r="P103" s="20">
        <v>17.0</v>
      </c>
      <c r="Q103" s="22">
        <v>46030.86413194444</v>
      </c>
      <c r="R103" s="15" t="s">
        <v>107</v>
      </c>
      <c r="S103" s="15" t="s">
        <v>109</v>
      </c>
      <c r="T103" s="15" t="s">
        <v>208</v>
      </c>
      <c r="U103" s="15" t="s">
        <v>478</v>
      </c>
      <c r="V103" s="15" t="s">
        <v>480</v>
      </c>
      <c r="W103" s="15" t="s">
        <v>481</v>
      </c>
      <c r="X103" s="15" t="s">
        <v>120</v>
      </c>
      <c r="Y103" s="18"/>
      <c r="Z103" s="15" t="s">
        <v>120</v>
      </c>
      <c r="AA103" s="18"/>
      <c r="AB103" s="15" t="s">
        <v>120</v>
      </c>
      <c r="AC103" s="18"/>
      <c r="AD103" s="18"/>
      <c r="AE103" s="15" t="s">
        <v>120</v>
      </c>
      <c r="AF103" s="18"/>
      <c r="AG103" s="15" t="s">
        <v>117</v>
      </c>
      <c r="AH103" s="115" t="s">
        <v>2120</v>
      </c>
      <c r="AI103" s="15" t="s">
        <v>120</v>
      </c>
      <c r="AJ103" s="18"/>
      <c r="AK103" s="18"/>
      <c r="AL103" s="15" t="s">
        <v>126</v>
      </c>
      <c r="AM103" s="15" t="s">
        <v>185</v>
      </c>
      <c r="AN103" s="15" t="s">
        <v>129</v>
      </c>
      <c r="AO103" s="15" t="s">
        <v>141</v>
      </c>
      <c r="AP103" s="15"/>
    </row>
    <row r="104" ht="22.5" customHeight="1">
      <c r="A104" s="15" t="s">
        <v>2601</v>
      </c>
      <c r="B104" s="15" t="s">
        <v>2602</v>
      </c>
      <c r="C104" s="18"/>
      <c r="D104" s="41">
        <v>39908.0</v>
      </c>
      <c r="E104" s="15" t="s">
        <v>98</v>
      </c>
      <c r="F104" s="15">
        <v>5.654650738E9</v>
      </c>
      <c r="G104" s="15" t="s">
        <v>2603</v>
      </c>
      <c r="H104" s="15" t="s">
        <v>150</v>
      </c>
      <c r="I104" s="18"/>
      <c r="J104" s="15" t="s">
        <v>2604</v>
      </c>
      <c r="K104" s="15" t="s">
        <v>2603</v>
      </c>
      <c r="L104" s="15">
        <v>5.654650738E9</v>
      </c>
      <c r="M104" s="18"/>
      <c r="N104" s="18"/>
      <c r="O104" s="18"/>
      <c r="P104" s="20">
        <v>16.0</v>
      </c>
      <c r="Q104" s="22">
        <v>46036.86759259259</v>
      </c>
      <c r="R104" s="15" t="s">
        <v>107</v>
      </c>
      <c r="S104" s="15" t="s">
        <v>109</v>
      </c>
      <c r="T104" s="15" t="s">
        <v>204</v>
      </c>
      <c r="U104" s="15" t="s">
        <v>699</v>
      </c>
      <c r="V104" s="15" t="s">
        <v>700</v>
      </c>
      <c r="W104" s="15" t="s">
        <v>702</v>
      </c>
      <c r="X104" s="15" t="s">
        <v>120</v>
      </c>
      <c r="Y104" s="18"/>
      <c r="Z104" s="15" t="s">
        <v>117</v>
      </c>
      <c r="AA104" s="49" t="s">
        <v>2608</v>
      </c>
      <c r="AB104" s="15" t="s">
        <v>120</v>
      </c>
      <c r="AC104" s="15" t="s">
        <v>120</v>
      </c>
      <c r="AD104" s="18"/>
      <c r="AE104" s="15" t="s">
        <v>120</v>
      </c>
      <c r="AF104" s="18"/>
      <c r="AG104" s="15" t="s">
        <v>117</v>
      </c>
      <c r="AH104" s="115" t="s">
        <v>2609</v>
      </c>
      <c r="AI104" s="15" t="s">
        <v>120</v>
      </c>
      <c r="AJ104" s="18"/>
      <c r="AK104" s="15" t="s">
        <v>135</v>
      </c>
      <c r="AL104" s="15" t="s">
        <v>141</v>
      </c>
      <c r="AM104" s="15" t="s">
        <v>126</v>
      </c>
      <c r="AN104" s="15" t="s">
        <v>216</v>
      </c>
      <c r="AO104" s="15" t="s">
        <v>124</v>
      </c>
      <c r="AP104" s="15"/>
    </row>
    <row r="105" ht="22.5" customHeight="1">
      <c r="A105" s="15" t="s">
        <v>2614</v>
      </c>
      <c r="B105" s="15" t="s">
        <v>2615</v>
      </c>
      <c r="C105" s="15" t="s">
        <v>2617</v>
      </c>
      <c r="D105" s="41">
        <v>40779.0</v>
      </c>
      <c r="E105" s="15" t="s">
        <v>98</v>
      </c>
      <c r="F105" s="15" t="s">
        <v>2619</v>
      </c>
      <c r="G105" s="15" t="s">
        <v>2622</v>
      </c>
      <c r="H105" s="15" t="s">
        <v>140</v>
      </c>
      <c r="I105" s="18"/>
      <c r="J105" s="15" t="s">
        <v>2624</v>
      </c>
      <c r="K105" s="15" t="s">
        <v>2625</v>
      </c>
      <c r="L105" s="15" t="s">
        <v>2628</v>
      </c>
      <c r="M105" s="18"/>
      <c r="N105" s="18"/>
      <c r="O105" s="18"/>
      <c r="P105" s="20">
        <v>14.0</v>
      </c>
      <c r="Q105" s="22">
        <v>46033.519791666666</v>
      </c>
      <c r="R105" s="15" t="s">
        <v>107</v>
      </c>
      <c r="S105" s="15" t="s">
        <v>109</v>
      </c>
      <c r="T105" s="15" t="s">
        <v>160</v>
      </c>
      <c r="U105" s="15" t="s">
        <v>1265</v>
      </c>
      <c r="V105" s="15" t="s">
        <v>1267</v>
      </c>
      <c r="W105" s="15" t="s">
        <v>1268</v>
      </c>
      <c r="X105" s="15" t="s">
        <v>120</v>
      </c>
      <c r="Y105" s="18"/>
      <c r="Z105" s="15" t="s">
        <v>120</v>
      </c>
      <c r="AA105" s="18"/>
      <c r="AB105" s="15" t="s">
        <v>120</v>
      </c>
      <c r="AC105" s="18"/>
      <c r="AD105" s="18"/>
      <c r="AE105" s="15" t="s">
        <v>120</v>
      </c>
      <c r="AF105" s="18"/>
      <c r="AG105" s="15" t="s">
        <v>117</v>
      </c>
      <c r="AH105" s="115" t="s">
        <v>2634</v>
      </c>
      <c r="AI105" s="15" t="s">
        <v>120</v>
      </c>
      <c r="AJ105" s="18"/>
      <c r="AK105" s="18"/>
      <c r="AL105" s="15" t="s">
        <v>141</v>
      </c>
      <c r="AM105" s="15" t="s">
        <v>242</v>
      </c>
      <c r="AN105" s="15" t="s">
        <v>156</v>
      </c>
      <c r="AO105" s="15" t="s">
        <v>124</v>
      </c>
      <c r="AP105" s="15"/>
    </row>
    <row r="106" ht="22.5" customHeight="1">
      <c r="A106" s="15" t="s">
        <v>2641</v>
      </c>
      <c r="B106" s="15" t="s">
        <v>2643</v>
      </c>
      <c r="C106" s="15" t="s">
        <v>2646</v>
      </c>
      <c r="D106" s="41">
        <v>40221.0</v>
      </c>
      <c r="E106" s="15" t="s">
        <v>98</v>
      </c>
      <c r="F106" s="15" t="s">
        <v>2648</v>
      </c>
      <c r="G106" s="15" t="s">
        <v>2650</v>
      </c>
      <c r="H106" s="15" t="s">
        <v>101</v>
      </c>
      <c r="I106" s="18"/>
      <c r="J106" s="15" t="s">
        <v>2652</v>
      </c>
      <c r="K106" s="15" t="s">
        <v>2653</v>
      </c>
      <c r="L106" s="15">
        <v>5.545993258E9</v>
      </c>
      <c r="M106" s="18"/>
      <c r="N106" s="18"/>
      <c r="O106" s="18"/>
      <c r="P106" s="20">
        <v>16.0</v>
      </c>
      <c r="Q106" s="22">
        <v>46040.64071759259</v>
      </c>
      <c r="R106" s="15" t="s">
        <v>107</v>
      </c>
      <c r="S106" s="15" t="s">
        <v>109</v>
      </c>
      <c r="T106" s="15" t="s">
        <v>192</v>
      </c>
      <c r="U106" s="15" t="s">
        <v>485</v>
      </c>
      <c r="V106" s="15" t="s">
        <v>486</v>
      </c>
      <c r="W106" s="15" t="s">
        <v>487</v>
      </c>
      <c r="X106" s="15" t="s">
        <v>120</v>
      </c>
      <c r="Y106" s="18"/>
      <c r="Z106" s="15" t="s">
        <v>120</v>
      </c>
      <c r="AA106" s="18"/>
      <c r="AB106" s="15" t="s">
        <v>120</v>
      </c>
      <c r="AC106" s="15" t="s">
        <v>120</v>
      </c>
      <c r="AD106" s="18"/>
      <c r="AE106" s="15" t="s">
        <v>120</v>
      </c>
      <c r="AF106" s="18"/>
      <c r="AG106" s="15" t="s">
        <v>117</v>
      </c>
      <c r="AH106" s="115" t="s">
        <v>2659</v>
      </c>
      <c r="AI106" s="15" t="s">
        <v>120</v>
      </c>
      <c r="AJ106" s="18"/>
      <c r="AK106" s="18"/>
      <c r="AL106" s="15" t="s">
        <v>216</v>
      </c>
      <c r="AM106" s="15" t="s">
        <v>141</v>
      </c>
      <c r="AN106" s="15" t="s">
        <v>124</v>
      </c>
      <c r="AO106" s="15" t="s">
        <v>129</v>
      </c>
      <c r="AP106" s="15"/>
    </row>
    <row r="107" ht="22.5" customHeight="1">
      <c r="A107" s="15" t="s">
        <v>2668</v>
      </c>
      <c r="B107" s="15" t="s">
        <v>2669</v>
      </c>
      <c r="C107" s="15" t="s">
        <v>2670</v>
      </c>
      <c r="D107" s="41">
        <v>40976.0</v>
      </c>
      <c r="E107" s="15" t="s">
        <v>98</v>
      </c>
      <c r="F107" s="15">
        <v>5.567750247E9</v>
      </c>
      <c r="G107" s="15" t="s">
        <v>2671</v>
      </c>
      <c r="H107" s="15" t="s">
        <v>140</v>
      </c>
      <c r="I107" s="23" t="s">
        <v>135</v>
      </c>
      <c r="J107" s="15" t="s">
        <v>2672</v>
      </c>
      <c r="K107" s="15" t="s">
        <v>2673</v>
      </c>
      <c r="L107" s="15">
        <v>5.564583143E9</v>
      </c>
      <c r="M107" s="15" t="s">
        <v>2675</v>
      </c>
      <c r="N107" s="15" t="s">
        <v>2671</v>
      </c>
      <c r="O107" s="15">
        <v>5.567750247E9</v>
      </c>
      <c r="P107" s="20">
        <v>13.0</v>
      </c>
      <c r="Q107" s="22">
        <v>46032.68493055556</v>
      </c>
      <c r="R107" s="15" t="s">
        <v>107</v>
      </c>
      <c r="S107" s="15" t="s">
        <v>109</v>
      </c>
      <c r="T107" s="15" t="s">
        <v>171</v>
      </c>
      <c r="U107" s="15" t="s">
        <v>444</v>
      </c>
      <c r="V107" s="15" t="s">
        <v>445</v>
      </c>
      <c r="W107" s="15" t="s">
        <v>446</v>
      </c>
      <c r="X107" s="15" t="s">
        <v>120</v>
      </c>
      <c r="Y107" s="15" t="s">
        <v>135</v>
      </c>
      <c r="Z107" s="15" t="s">
        <v>120</v>
      </c>
      <c r="AA107" s="15" t="s">
        <v>135</v>
      </c>
      <c r="AB107" s="15" t="s">
        <v>120</v>
      </c>
      <c r="AC107" s="18"/>
      <c r="AD107" s="18"/>
      <c r="AE107" s="15" t="s">
        <v>120</v>
      </c>
      <c r="AF107" s="18"/>
      <c r="AG107" s="15" t="s">
        <v>117</v>
      </c>
      <c r="AH107" s="15" t="s">
        <v>2679</v>
      </c>
      <c r="AI107" s="15" t="s">
        <v>120</v>
      </c>
      <c r="AJ107" s="18"/>
      <c r="AK107" s="18"/>
      <c r="AL107" s="15" t="s">
        <v>138</v>
      </c>
      <c r="AM107" s="15" t="s">
        <v>216</v>
      </c>
      <c r="AN107" s="15" t="s">
        <v>126</v>
      </c>
      <c r="AO107" s="15" t="s">
        <v>141</v>
      </c>
      <c r="AP107" s="15"/>
    </row>
    <row r="108" ht="22.5" customHeight="1">
      <c r="A108" s="15" t="s">
        <v>2683</v>
      </c>
      <c r="B108" s="15" t="s">
        <v>2684</v>
      </c>
      <c r="C108" s="15" t="s">
        <v>2685</v>
      </c>
      <c r="D108" s="41">
        <v>40667.0</v>
      </c>
      <c r="E108" s="15" t="s">
        <v>177</v>
      </c>
      <c r="F108" s="15">
        <v>5.54962651E9</v>
      </c>
      <c r="G108" s="15" t="s">
        <v>2686</v>
      </c>
      <c r="H108" s="15" t="s">
        <v>140</v>
      </c>
      <c r="I108" s="18"/>
      <c r="J108" s="15" t="s">
        <v>2687</v>
      </c>
      <c r="K108" s="15" t="s">
        <v>2688</v>
      </c>
      <c r="L108" s="18" t="str">
        <f>+52 55 7441 3479</f>
        <v>#ERROR!</v>
      </c>
      <c r="M108" s="15" t="s">
        <v>2690</v>
      </c>
      <c r="N108" s="15" t="s">
        <v>2691</v>
      </c>
      <c r="O108" s="18" t="str">
        <f>+52 55 1345 0091</f>
        <v>#ERROR!</v>
      </c>
      <c r="P108" s="20">
        <v>14.0</v>
      </c>
      <c r="Q108" s="22">
        <v>46033.60320601852</v>
      </c>
      <c r="R108" s="15" t="s">
        <v>107</v>
      </c>
      <c r="S108" s="15" t="s">
        <v>109</v>
      </c>
      <c r="T108" s="15" t="s">
        <v>204</v>
      </c>
      <c r="U108" s="15" t="s">
        <v>367</v>
      </c>
      <c r="V108" s="15" t="s">
        <v>368</v>
      </c>
      <c r="W108" s="15" t="s">
        <v>369</v>
      </c>
      <c r="X108" s="15" t="s">
        <v>120</v>
      </c>
      <c r="Y108" s="18"/>
      <c r="Z108" s="15" t="s">
        <v>120</v>
      </c>
      <c r="AA108" s="18"/>
      <c r="AB108" s="15" t="s">
        <v>120</v>
      </c>
      <c r="AC108" s="18"/>
      <c r="AD108" s="18"/>
      <c r="AE108" s="15" t="s">
        <v>120</v>
      </c>
      <c r="AF108" s="18"/>
      <c r="AG108" s="15" t="s">
        <v>117</v>
      </c>
      <c r="AH108" s="15" t="s">
        <v>2703</v>
      </c>
      <c r="AI108" s="15" t="s">
        <v>120</v>
      </c>
      <c r="AJ108" s="18"/>
      <c r="AK108" s="18"/>
      <c r="AL108" s="15" t="s">
        <v>141</v>
      </c>
      <c r="AM108" s="15" t="s">
        <v>240</v>
      </c>
      <c r="AN108" s="15" t="s">
        <v>185</v>
      </c>
      <c r="AO108" s="15" t="s">
        <v>126</v>
      </c>
      <c r="AP108" s="15"/>
    </row>
    <row r="109" ht="22.5" customHeight="1">
      <c r="A109" s="15" t="s">
        <v>2704</v>
      </c>
      <c r="B109" s="15" t="s">
        <v>2705</v>
      </c>
      <c r="C109" s="15" t="s">
        <v>2706</v>
      </c>
      <c r="D109" s="41">
        <v>40435.0</v>
      </c>
      <c r="E109" s="15" t="s">
        <v>98</v>
      </c>
      <c r="F109" s="15" t="s">
        <v>2707</v>
      </c>
      <c r="G109" s="15" t="s">
        <v>2708</v>
      </c>
      <c r="H109" s="15" t="s">
        <v>140</v>
      </c>
      <c r="I109" s="18"/>
      <c r="J109" s="15" t="s">
        <v>2709</v>
      </c>
      <c r="K109" s="15" t="s">
        <v>2710</v>
      </c>
      <c r="L109" s="15" t="s">
        <v>2711</v>
      </c>
      <c r="M109" s="18"/>
      <c r="N109" s="18"/>
      <c r="O109" s="18"/>
      <c r="P109" s="20">
        <v>15.0</v>
      </c>
      <c r="Q109" s="22">
        <v>46022.70048611111</v>
      </c>
      <c r="R109" s="15" t="s">
        <v>107</v>
      </c>
      <c r="S109" s="15" t="s">
        <v>109</v>
      </c>
      <c r="T109" s="15" t="s">
        <v>111</v>
      </c>
      <c r="U109" s="15" t="s">
        <v>112</v>
      </c>
      <c r="V109" s="15" t="s">
        <v>114</v>
      </c>
      <c r="W109" s="15" t="s">
        <v>115</v>
      </c>
      <c r="X109" s="15" t="s">
        <v>120</v>
      </c>
      <c r="Y109" s="18"/>
      <c r="Z109" s="15" t="s">
        <v>120</v>
      </c>
      <c r="AA109" s="18"/>
      <c r="AB109" s="15" t="s">
        <v>120</v>
      </c>
      <c r="AC109" s="18"/>
      <c r="AD109" s="18"/>
      <c r="AE109" s="15" t="s">
        <v>120</v>
      </c>
      <c r="AF109" s="18"/>
      <c r="AG109" s="15" t="s">
        <v>117</v>
      </c>
      <c r="AH109" s="115" t="s">
        <v>2718</v>
      </c>
      <c r="AI109" s="15" t="s">
        <v>120</v>
      </c>
      <c r="AJ109" s="18"/>
      <c r="AK109" s="18"/>
      <c r="AL109" s="15" t="s">
        <v>156</v>
      </c>
      <c r="AM109" s="15" t="s">
        <v>129</v>
      </c>
      <c r="AN109" s="15" t="s">
        <v>138</v>
      </c>
      <c r="AO109" s="15" t="s">
        <v>141</v>
      </c>
      <c r="AP109" s="15"/>
    </row>
    <row r="110" ht="22.5" customHeight="1">
      <c r="A110" s="15" t="s">
        <v>2719</v>
      </c>
      <c r="B110" s="15" t="s">
        <v>2720</v>
      </c>
      <c r="C110" s="15" t="s">
        <v>2721</v>
      </c>
      <c r="D110" s="41">
        <v>40274.0</v>
      </c>
      <c r="E110" s="15" t="s">
        <v>98</v>
      </c>
      <c r="F110" s="15">
        <v>5.521860638E9</v>
      </c>
      <c r="G110" s="15" t="s">
        <v>2724</v>
      </c>
      <c r="H110" s="15" t="s">
        <v>101</v>
      </c>
      <c r="I110" s="18"/>
      <c r="J110" s="15" t="s">
        <v>2726</v>
      </c>
      <c r="K110" s="15" t="s">
        <v>2724</v>
      </c>
      <c r="L110" s="15">
        <v>5.561212413E9</v>
      </c>
      <c r="M110" s="18"/>
      <c r="N110" s="18"/>
      <c r="O110" s="18"/>
      <c r="P110" s="20">
        <v>15.0</v>
      </c>
      <c r="Q110" s="22">
        <v>46033.569340277776</v>
      </c>
      <c r="R110" s="15" t="s">
        <v>107</v>
      </c>
      <c r="S110" s="15" t="s">
        <v>109</v>
      </c>
      <c r="T110" s="15" t="s">
        <v>171</v>
      </c>
      <c r="U110" s="15" t="s">
        <v>262</v>
      </c>
      <c r="V110" s="15" t="s">
        <v>263</v>
      </c>
      <c r="W110" s="15" t="s">
        <v>264</v>
      </c>
      <c r="X110" s="15" t="s">
        <v>120</v>
      </c>
      <c r="Y110" s="18"/>
      <c r="Z110" s="15" t="s">
        <v>117</v>
      </c>
      <c r="AA110" s="49" t="s">
        <v>2737</v>
      </c>
      <c r="AB110" s="15" t="s">
        <v>120</v>
      </c>
      <c r="AC110" s="15" t="s">
        <v>120</v>
      </c>
      <c r="AD110" s="18"/>
      <c r="AE110" s="15" t="s">
        <v>120</v>
      </c>
      <c r="AF110" s="18"/>
      <c r="AG110" s="15" t="s">
        <v>117</v>
      </c>
      <c r="AH110" s="15" t="s">
        <v>2738</v>
      </c>
      <c r="AI110" s="15" t="s">
        <v>120</v>
      </c>
      <c r="AJ110" s="18"/>
      <c r="AK110" s="18"/>
      <c r="AL110" s="15" t="s">
        <v>156</v>
      </c>
      <c r="AM110" s="15" t="s">
        <v>124</v>
      </c>
      <c r="AN110" s="15" t="s">
        <v>128</v>
      </c>
      <c r="AO110" s="15" t="s">
        <v>242</v>
      </c>
      <c r="AP110" s="15"/>
    </row>
    <row r="111" ht="22.5" customHeight="1">
      <c r="A111" s="15" t="s">
        <v>2743</v>
      </c>
      <c r="B111" s="15" t="s">
        <v>2746</v>
      </c>
      <c r="C111" s="15" t="s">
        <v>2748</v>
      </c>
      <c r="D111" s="41">
        <v>40003.0</v>
      </c>
      <c r="E111" s="15" t="s">
        <v>98</v>
      </c>
      <c r="F111" s="15" t="s">
        <v>2754</v>
      </c>
      <c r="G111" s="15" t="s">
        <v>2755</v>
      </c>
      <c r="H111" s="15" t="s">
        <v>101</v>
      </c>
      <c r="I111" s="18"/>
      <c r="J111" s="15" t="s">
        <v>2756</v>
      </c>
      <c r="K111" s="15" t="s">
        <v>2757</v>
      </c>
      <c r="L111" s="15">
        <v>5.520777186E9</v>
      </c>
      <c r="M111" s="18"/>
      <c r="N111" s="18"/>
      <c r="O111" s="18"/>
      <c r="P111" s="20">
        <v>16.0</v>
      </c>
      <c r="Q111" s="22">
        <v>46022.605462962965</v>
      </c>
      <c r="R111" s="15" t="s">
        <v>107</v>
      </c>
      <c r="S111" s="15" t="s">
        <v>109</v>
      </c>
      <c r="T111" s="15" t="s">
        <v>192</v>
      </c>
      <c r="U111" s="15" t="s">
        <v>749</v>
      </c>
      <c r="V111" s="15" t="s">
        <v>750</v>
      </c>
      <c r="W111" s="15" t="s">
        <v>751</v>
      </c>
      <c r="X111" s="15" t="s">
        <v>120</v>
      </c>
      <c r="Y111" s="18"/>
      <c r="Z111" s="15" t="s">
        <v>120</v>
      </c>
      <c r="AA111" s="18"/>
      <c r="AB111" s="15" t="s">
        <v>120</v>
      </c>
      <c r="AC111" s="18"/>
      <c r="AD111" s="18"/>
      <c r="AE111" s="15" t="s">
        <v>120</v>
      </c>
      <c r="AF111" s="18"/>
      <c r="AG111" s="15" t="s">
        <v>117</v>
      </c>
      <c r="AH111" s="115" t="s">
        <v>2762</v>
      </c>
      <c r="AI111" s="15" t="s">
        <v>120</v>
      </c>
      <c r="AJ111" s="18"/>
      <c r="AK111" s="18"/>
      <c r="AL111" s="15" t="s">
        <v>156</v>
      </c>
      <c r="AM111" s="15" t="s">
        <v>185</v>
      </c>
      <c r="AN111" s="15" t="s">
        <v>138</v>
      </c>
      <c r="AO111" s="15" t="s">
        <v>126</v>
      </c>
      <c r="AP111" s="15"/>
    </row>
    <row r="112" ht="22.5" customHeight="1">
      <c r="A112" s="78" t="s">
        <v>1308</v>
      </c>
      <c r="B112" s="79" t="s">
        <v>1310</v>
      </c>
      <c r="C112" s="79" t="s">
        <v>72</v>
      </c>
      <c r="D112" s="80">
        <v>40376.0</v>
      </c>
      <c r="E112" s="79" t="s">
        <v>177</v>
      </c>
      <c r="F112" s="122" t="str">
        <f>+52 722 453 1475</f>
        <v>#ERROR!</v>
      </c>
      <c r="G112" s="79" t="s">
        <v>1315</v>
      </c>
      <c r="H112" s="79" t="s">
        <v>101</v>
      </c>
      <c r="I112" s="82" t="s">
        <v>1317</v>
      </c>
      <c r="J112" s="79" t="s">
        <v>1318</v>
      </c>
      <c r="K112" s="79" t="s">
        <v>1319</v>
      </c>
      <c r="L112" s="81">
        <v>5.518631673E9</v>
      </c>
      <c r="M112" s="79" t="s">
        <v>1321</v>
      </c>
      <c r="N112" s="79" t="s">
        <v>1323</v>
      </c>
      <c r="O112" s="79" t="s">
        <v>1324</v>
      </c>
      <c r="P112" s="81">
        <v>15.0</v>
      </c>
      <c r="Q112" s="83">
        <v>46021.5812037037</v>
      </c>
      <c r="R112" s="79" t="s">
        <v>107</v>
      </c>
      <c r="S112" s="79" t="s">
        <v>109</v>
      </c>
      <c r="T112" s="79" t="s">
        <v>192</v>
      </c>
      <c r="U112" s="79" t="s">
        <v>749</v>
      </c>
      <c r="V112" s="79" t="s">
        <v>750</v>
      </c>
      <c r="W112" s="79" t="s">
        <v>751</v>
      </c>
      <c r="X112" s="79" t="s">
        <v>120</v>
      </c>
      <c r="Y112" s="82" t="s">
        <v>1332</v>
      </c>
      <c r="Z112" s="79" t="s">
        <v>120</v>
      </c>
      <c r="AA112" s="86"/>
      <c r="AB112" s="79" t="s">
        <v>120</v>
      </c>
      <c r="AC112" s="86"/>
      <c r="AD112" s="86"/>
      <c r="AE112" s="79" t="s">
        <v>120</v>
      </c>
      <c r="AF112" s="86"/>
      <c r="AG112" s="79" t="s">
        <v>120</v>
      </c>
      <c r="AH112" s="86"/>
      <c r="AI112" s="79" t="s">
        <v>120</v>
      </c>
      <c r="AJ112" s="86"/>
      <c r="AK112" s="123" t="s">
        <v>1339</v>
      </c>
      <c r="AL112" s="79" t="s">
        <v>185</v>
      </c>
      <c r="AM112" s="79" t="s">
        <v>138</v>
      </c>
      <c r="AN112" s="79" t="s">
        <v>242</v>
      </c>
      <c r="AO112" s="88" t="s">
        <v>126</v>
      </c>
      <c r="AP112" s="15"/>
    </row>
    <row r="113" ht="22.5" customHeight="1">
      <c r="A113" s="89" t="s">
        <v>2485</v>
      </c>
      <c r="B113" s="90" t="s">
        <v>2394</v>
      </c>
      <c r="C113" s="90" t="s">
        <v>2487</v>
      </c>
      <c r="D113" s="91">
        <v>39637.0</v>
      </c>
      <c r="E113" s="90" t="s">
        <v>98</v>
      </c>
      <c r="F113" s="92">
        <v>5.524122099E9</v>
      </c>
      <c r="G113" s="90" t="s">
        <v>2489</v>
      </c>
      <c r="H113" s="90" t="s">
        <v>150</v>
      </c>
      <c r="I113" s="93"/>
      <c r="J113" s="90" t="s">
        <v>2490</v>
      </c>
      <c r="K113" s="90" t="s">
        <v>2401</v>
      </c>
      <c r="L113" s="92">
        <v>5.51190073E9</v>
      </c>
      <c r="M113" s="90" t="s">
        <v>2491</v>
      </c>
      <c r="N113" s="90" t="s">
        <v>2399</v>
      </c>
      <c r="O113" s="92">
        <v>5.522060036E9</v>
      </c>
      <c r="P113" s="92">
        <v>17.0</v>
      </c>
      <c r="Q113" s="94">
        <v>46023.48506944445</v>
      </c>
      <c r="R113" s="90" t="s">
        <v>107</v>
      </c>
      <c r="S113" s="90" t="s">
        <v>109</v>
      </c>
      <c r="T113" s="90" t="s">
        <v>111</v>
      </c>
      <c r="U113" s="90" t="s">
        <v>398</v>
      </c>
      <c r="V113" s="90" t="s">
        <v>399</v>
      </c>
      <c r="W113" s="90" t="s">
        <v>400</v>
      </c>
      <c r="X113" s="90" t="s">
        <v>120</v>
      </c>
      <c r="Y113" s="93"/>
      <c r="Z113" s="90" t="s">
        <v>117</v>
      </c>
      <c r="AA113" s="85" t="s">
        <v>285</v>
      </c>
      <c r="AB113" s="90" t="s">
        <v>120</v>
      </c>
      <c r="AC113" s="93"/>
      <c r="AD113" s="93"/>
      <c r="AE113" s="90" t="s">
        <v>120</v>
      </c>
      <c r="AF113" s="93"/>
      <c r="AG113" s="90" t="s">
        <v>120</v>
      </c>
      <c r="AH113" s="93"/>
      <c r="AI113" s="90" t="s">
        <v>117</v>
      </c>
      <c r="AJ113" s="126" t="s">
        <v>2497</v>
      </c>
      <c r="AK113" s="93"/>
      <c r="AL113" s="90" t="s">
        <v>138</v>
      </c>
      <c r="AM113" s="90" t="s">
        <v>185</v>
      </c>
      <c r="AN113" s="90" t="s">
        <v>216</v>
      </c>
      <c r="AO113" s="96" t="s">
        <v>126</v>
      </c>
      <c r="AP113" s="15"/>
    </row>
    <row r="114" ht="22.5" customHeight="1">
      <c r="A114" s="15"/>
      <c r="B114" s="15"/>
      <c r="C114" s="15"/>
      <c r="D114" s="41"/>
      <c r="E114" s="15"/>
      <c r="F114" s="15"/>
      <c r="G114" s="15"/>
      <c r="H114" s="15"/>
      <c r="I114" s="23"/>
      <c r="J114" s="15"/>
      <c r="K114" s="15"/>
      <c r="L114" s="15"/>
      <c r="M114" s="18"/>
      <c r="N114" s="18"/>
      <c r="O114" s="18"/>
      <c r="P114" s="20"/>
      <c r="Q114" s="22"/>
      <c r="R114" s="15"/>
      <c r="S114" s="15"/>
      <c r="T114" s="15"/>
      <c r="U114" s="15"/>
      <c r="V114" s="15"/>
      <c r="W114" s="15"/>
      <c r="X114" s="15"/>
      <c r="Y114" s="18"/>
      <c r="Z114" s="15"/>
      <c r="AA114" s="24"/>
      <c r="AB114" s="15"/>
      <c r="AC114" s="18"/>
      <c r="AD114" s="18"/>
      <c r="AE114" s="15"/>
      <c r="AF114" s="15"/>
      <c r="AG114" s="15"/>
      <c r="AH114" s="15"/>
      <c r="AI114" s="15"/>
      <c r="AJ114" s="15"/>
      <c r="AK114" s="18"/>
      <c r="AL114" s="15"/>
      <c r="AM114" s="15"/>
      <c r="AN114" s="15"/>
      <c r="AO114" s="15"/>
      <c r="AP114" s="15"/>
    </row>
    <row r="115" ht="22.5" customHeight="1">
      <c r="A115" s="113" t="s">
        <v>2342</v>
      </c>
      <c r="B115" s="114"/>
      <c r="C115" s="114"/>
      <c r="D115" s="114"/>
      <c r="E115" s="114"/>
      <c r="F115" s="114"/>
      <c r="G115" s="114"/>
      <c r="H115" s="114"/>
      <c r="I115" s="114"/>
      <c r="J115" s="114"/>
      <c r="K115" s="113" t="s">
        <v>2342</v>
      </c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3" t="s">
        <v>2342</v>
      </c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3" t="s">
        <v>2342</v>
      </c>
      <c r="AP115" s="113"/>
    </row>
    <row r="116" ht="22.5" customHeight="1">
      <c r="A116" s="131" t="s">
        <v>2848</v>
      </c>
      <c r="B116" s="132" t="s">
        <v>2849</v>
      </c>
      <c r="C116" s="132" t="s">
        <v>2850</v>
      </c>
      <c r="D116" s="91">
        <v>38909.0</v>
      </c>
      <c r="E116" s="132" t="s">
        <v>177</v>
      </c>
      <c r="F116" s="132" t="s">
        <v>2851</v>
      </c>
      <c r="G116" s="132" t="s">
        <v>2852</v>
      </c>
      <c r="H116" s="132" t="s">
        <v>101</v>
      </c>
      <c r="I116" s="133" t="s">
        <v>2853</v>
      </c>
      <c r="J116" s="132" t="s">
        <v>2854</v>
      </c>
      <c r="K116" s="132" t="s">
        <v>2855</v>
      </c>
      <c r="L116" s="134">
        <v>5.516101237E9</v>
      </c>
      <c r="M116" s="93"/>
      <c r="N116" s="93"/>
      <c r="O116" s="93"/>
      <c r="P116" s="134">
        <v>19.0</v>
      </c>
      <c r="Q116" s="94">
        <v>46040.86215277778</v>
      </c>
      <c r="R116" s="132" t="s">
        <v>107</v>
      </c>
      <c r="S116" s="132" t="s">
        <v>125</v>
      </c>
      <c r="T116" s="132" t="s">
        <v>192</v>
      </c>
      <c r="U116" s="132" t="s">
        <v>749</v>
      </c>
      <c r="V116" s="132" t="s">
        <v>750</v>
      </c>
      <c r="W116" s="132" t="s">
        <v>751</v>
      </c>
      <c r="X116" s="135" t="s">
        <v>117</v>
      </c>
      <c r="Y116" s="93"/>
      <c r="Z116" s="132" t="s">
        <v>117</v>
      </c>
      <c r="AA116" s="136"/>
      <c r="AB116" s="132" t="s">
        <v>117</v>
      </c>
      <c r="AC116" s="132" t="s">
        <v>120</v>
      </c>
      <c r="AD116" s="93"/>
      <c r="AE116" s="132" t="s">
        <v>120</v>
      </c>
      <c r="AF116" s="93"/>
      <c r="AG116" s="132" t="s">
        <v>117</v>
      </c>
      <c r="AH116" s="93"/>
      <c r="AI116" s="132" t="s">
        <v>120</v>
      </c>
      <c r="AJ116" s="93"/>
      <c r="AK116" s="93"/>
      <c r="AL116" s="132" t="s">
        <v>156</v>
      </c>
      <c r="AM116" s="132" t="s">
        <v>138</v>
      </c>
      <c r="AN116" s="132" t="s">
        <v>242</v>
      </c>
      <c r="AO116" s="137" t="s">
        <v>128</v>
      </c>
      <c r="AP116" s="138"/>
    </row>
    <row r="117" ht="22.5" customHeight="1">
      <c r="A117" s="139" t="s">
        <v>217</v>
      </c>
      <c r="B117" s="140" t="s">
        <v>219</v>
      </c>
      <c r="C117" s="140" t="s">
        <v>220</v>
      </c>
      <c r="D117" s="80">
        <v>36192.0</v>
      </c>
      <c r="E117" s="140" t="s">
        <v>98</v>
      </c>
      <c r="F117" s="141">
        <v>5.631557148E9</v>
      </c>
      <c r="G117" s="140" t="s">
        <v>224</v>
      </c>
      <c r="H117" s="140" t="s">
        <v>101</v>
      </c>
      <c r="I117" s="82" t="s">
        <v>225</v>
      </c>
      <c r="J117" s="140" t="s">
        <v>226</v>
      </c>
      <c r="K117" s="140" t="s">
        <v>227</v>
      </c>
      <c r="L117" s="141">
        <v>5.512159943E9</v>
      </c>
      <c r="M117" s="86"/>
      <c r="N117" s="86"/>
      <c r="O117" s="86"/>
      <c r="P117" s="141">
        <v>27.0</v>
      </c>
      <c r="Q117" s="83">
        <v>46047.799108796295</v>
      </c>
      <c r="R117" s="140" t="s">
        <v>231</v>
      </c>
      <c r="S117" s="140" t="s">
        <v>125</v>
      </c>
      <c r="T117" s="140" t="s">
        <v>127</v>
      </c>
      <c r="U117" s="140" t="s">
        <v>234</v>
      </c>
      <c r="V117" s="140" t="s">
        <v>227</v>
      </c>
      <c r="W117" s="140" t="s">
        <v>236</v>
      </c>
      <c r="X117" s="135" t="s">
        <v>117</v>
      </c>
      <c r="Y117" s="82" t="s">
        <v>237</v>
      </c>
      <c r="Z117" s="140" t="s">
        <v>117</v>
      </c>
      <c r="AA117" s="82" t="s">
        <v>238</v>
      </c>
      <c r="AB117" s="140" t="s">
        <v>120</v>
      </c>
      <c r="AC117" s="142"/>
      <c r="AD117" s="142"/>
      <c r="AE117" s="140" t="s">
        <v>117</v>
      </c>
      <c r="AF117" s="79" t="s">
        <v>241</v>
      </c>
      <c r="AG117" s="140" t="s">
        <v>120</v>
      </c>
      <c r="AH117" s="86"/>
      <c r="AI117" s="140" t="s">
        <v>120</v>
      </c>
      <c r="AJ117" s="86"/>
      <c r="AK117" s="142"/>
      <c r="AL117" s="140" t="s">
        <v>141</v>
      </c>
      <c r="AM117" s="140" t="s">
        <v>129</v>
      </c>
      <c r="AN117" s="140" t="s">
        <v>156</v>
      </c>
      <c r="AO117" s="143" t="s">
        <v>185</v>
      </c>
      <c r="AP117" s="144"/>
    </row>
    <row r="118" ht="22.5" customHeight="1">
      <c r="A118" s="116" t="s">
        <v>322</v>
      </c>
      <c r="B118" s="90" t="s">
        <v>324</v>
      </c>
      <c r="C118" s="90" t="s">
        <v>325</v>
      </c>
      <c r="D118" s="91">
        <v>38109.0</v>
      </c>
      <c r="E118" s="90" t="s">
        <v>98</v>
      </c>
      <c r="F118" s="90" t="s">
        <v>326</v>
      </c>
      <c r="G118" s="90" t="s">
        <v>327</v>
      </c>
      <c r="H118" s="90" t="s">
        <v>101</v>
      </c>
      <c r="I118" s="93"/>
      <c r="J118" s="90" t="s">
        <v>328</v>
      </c>
      <c r="K118" s="90" t="s">
        <v>330</v>
      </c>
      <c r="L118" s="92">
        <v>5.577927815E9</v>
      </c>
      <c r="M118" s="93"/>
      <c r="N118" s="93"/>
      <c r="O118" s="93"/>
      <c r="P118" s="92">
        <v>21.0</v>
      </c>
      <c r="Q118" s="94">
        <v>46027.79725694445</v>
      </c>
      <c r="R118" s="90" t="s">
        <v>107</v>
      </c>
      <c r="S118" s="90" t="s">
        <v>125</v>
      </c>
      <c r="T118" s="90" t="s">
        <v>160</v>
      </c>
      <c r="U118" s="90" t="s">
        <v>308</v>
      </c>
      <c r="V118" s="90" t="s">
        <v>309</v>
      </c>
      <c r="W118" s="90" t="s">
        <v>310</v>
      </c>
      <c r="X118" s="117" t="s">
        <v>117</v>
      </c>
      <c r="Y118" s="93"/>
      <c r="Z118" s="90" t="s">
        <v>117</v>
      </c>
      <c r="AA118" s="93"/>
      <c r="AB118" s="90" t="s">
        <v>117</v>
      </c>
      <c r="AC118" s="90" t="s">
        <v>117</v>
      </c>
      <c r="AD118" s="93"/>
      <c r="AE118" s="90" t="s">
        <v>117</v>
      </c>
      <c r="AF118" s="93"/>
      <c r="AG118" s="90" t="s">
        <v>117</v>
      </c>
      <c r="AH118" s="93"/>
      <c r="AI118" s="90" t="s">
        <v>117</v>
      </c>
      <c r="AJ118" s="93"/>
      <c r="AK118" s="93"/>
      <c r="AL118" s="90" t="s">
        <v>129</v>
      </c>
      <c r="AM118" s="90" t="s">
        <v>138</v>
      </c>
      <c r="AN118" s="90" t="s">
        <v>242</v>
      </c>
      <c r="AO118" s="118" t="s">
        <v>216</v>
      </c>
      <c r="AP118" s="59"/>
    </row>
    <row r="119" ht="22.5" customHeight="1">
      <c r="A119" s="119" t="s">
        <v>344</v>
      </c>
      <c r="B119" s="79" t="s">
        <v>345</v>
      </c>
      <c r="C119" s="79" t="s">
        <v>347</v>
      </c>
      <c r="D119" s="80">
        <v>38049.0</v>
      </c>
      <c r="E119" s="79" t="s">
        <v>177</v>
      </c>
      <c r="F119" s="79" t="s">
        <v>351</v>
      </c>
      <c r="G119" s="79" t="s">
        <v>353</v>
      </c>
      <c r="H119" s="79" t="s">
        <v>101</v>
      </c>
      <c r="I119" s="86"/>
      <c r="J119" s="79" t="s">
        <v>355</v>
      </c>
      <c r="K119" s="79" t="s">
        <v>360</v>
      </c>
      <c r="L119" s="81">
        <v>5.528006072E9</v>
      </c>
      <c r="M119" s="86"/>
      <c r="N119" s="86"/>
      <c r="O119" s="86"/>
      <c r="P119" s="81">
        <v>21.0</v>
      </c>
      <c r="Q119" s="83">
        <v>46029.563206018516</v>
      </c>
      <c r="R119" s="79" t="s">
        <v>107</v>
      </c>
      <c r="S119" s="79" t="s">
        <v>125</v>
      </c>
      <c r="T119" s="79" t="s">
        <v>204</v>
      </c>
      <c r="U119" s="79" t="s">
        <v>367</v>
      </c>
      <c r="V119" s="79" t="s">
        <v>368</v>
      </c>
      <c r="W119" s="79" t="s">
        <v>369</v>
      </c>
      <c r="X119" s="117" t="s">
        <v>117</v>
      </c>
      <c r="Y119" s="86"/>
      <c r="Z119" s="79" t="s">
        <v>117</v>
      </c>
      <c r="AA119" s="86"/>
      <c r="AB119" s="79" t="s">
        <v>117</v>
      </c>
      <c r="AC119" s="86"/>
      <c r="AD119" s="86"/>
      <c r="AE119" s="79" t="s">
        <v>117</v>
      </c>
      <c r="AF119" s="86"/>
      <c r="AG119" s="79" t="s">
        <v>117</v>
      </c>
      <c r="AH119" s="86"/>
      <c r="AI119" s="79" t="s">
        <v>117</v>
      </c>
      <c r="AJ119" s="86"/>
      <c r="AK119" s="86"/>
      <c r="AL119" s="79" t="s">
        <v>126</v>
      </c>
      <c r="AM119" s="79" t="s">
        <v>216</v>
      </c>
      <c r="AN119" s="79" t="s">
        <v>124</v>
      </c>
      <c r="AO119" s="120" t="s">
        <v>240</v>
      </c>
      <c r="AP119" s="17"/>
    </row>
    <row r="120" ht="22.5" customHeight="1">
      <c r="A120" s="116" t="s">
        <v>387</v>
      </c>
      <c r="B120" s="90" t="s">
        <v>391</v>
      </c>
      <c r="C120" s="90" t="s">
        <v>394</v>
      </c>
      <c r="D120" s="91">
        <v>37834.0</v>
      </c>
      <c r="E120" s="90" t="s">
        <v>98</v>
      </c>
      <c r="F120" s="92">
        <v>5.634685604E9</v>
      </c>
      <c r="G120" s="90" t="s">
        <v>397</v>
      </c>
      <c r="H120" s="90" t="s">
        <v>140</v>
      </c>
      <c r="I120" s="93"/>
      <c r="J120" s="90" t="s">
        <v>401</v>
      </c>
      <c r="K120" s="90" t="s">
        <v>402</v>
      </c>
      <c r="L120" s="92">
        <v>5.518385395E9</v>
      </c>
      <c r="M120" s="93"/>
      <c r="N120" s="93"/>
      <c r="O120" s="93"/>
      <c r="P120" s="92">
        <v>22.0</v>
      </c>
      <c r="Q120" s="94">
        <v>46040.77814814815</v>
      </c>
      <c r="R120" s="90" t="s">
        <v>231</v>
      </c>
      <c r="S120" s="90" t="s">
        <v>125</v>
      </c>
      <c r="T120" s="90" t="s">
        <v>111</v>
      </c>
      <c r="U120" s="90" t="s">
        <v>407</v>
      </c>
      <c r="V120" s="90" t="s">
        <v>408</v>
      </c>
      <c r="W120" s="90" t="s">
        <v>409</v>
      </c>
      <c r="X120" s="117" t="s">
        <v>117</v>
      </c>
      <c r="Y120" s="93"/>
      <c r="Z120" s="90" t="s">
        <v>117</v>
      </c>
      <c r="AA120" s="93"/>
      <c r="AB120" s="90" t="s">
        <v>117</v>
      </c>
      <c r="AC120" s="90" t="s">
        <v>117</v>
      </c>
      <c r="AD120" s="93"/>
      <c r="AE120" s="90" t="s">
        <v>117</v>
      </c>
      <c r="AF120" s="93"/>
      <c r="AG120" s="90" t="s">
        <v>117</v>
      </c>
      <c r="AH120" s="93"/>
      <c r="AI120" s="90" t="s">
        <v>117</v>
      </c>
      <c r="AJ120" s="93"/>
      <c r="AK120" s="93"/>
      <c r="AL120" s="90" t="s">
        <v>128</v>
      </c>
      <c r="AM120" s="90" t="s">
        <v>141</v>
      </c>
      <c r="AN120" s="90" t="s">
        <v>216</v>
      </c>
      <c r="AO120" s="118" t="s">
        <v>242</v>
      </c>
      <c r="AP120" s="59"/>
    </row>
    <row r="121" ht="22.5" customHeight="1">
      <c r="A121" s="119" t="s">
        <v>419</v>
      </c>
      <c r="B121" s="79" t="s">
        <v>420</v>
      </c>
      <c r="C121" s="79" t="s">
        <v>421</v>
      </c>
      <c r="D121" s="80">
        <v>35756.0</v>
      </c>
      <c r="E121" s="79" t="s">
        <v>98</v>
      </c>
      <c r="F121" s="81">
        <v>5.530777327E9</v>
      </c>
      <c r="G121" s="79" t="s">
        <v>422</v>
      </c>
      <c r="H121" s="79" t="s">
        <v>101</v>
      </c>
      <c r="I121" s="82" t="s">
        <v>152</v>
      </c>
      <c r="J121" s="79" t="s">
        <v>423</v>
      </c>
      <c r="K121" s="79" t="s">
        <v>424</v>
      </c>
      <c r="L121" s="81">
        <v>5.523393901E9</v>
      </c>
      <c r="M121" s="86"/>
      <c r="N121" s="86"/>
      <c r="O121" s="86"/>
      <c r="P121" s="81">
        <v>28.0</v>
      </c>
      <c r="Q121" s="83">
        <v>46034.36640046296</v>
      </c>
      <c r="R121" s="79" t="s">
        <v>107</v>
      </c>
      <c r="S121" s="79" t="s">
        <v>125</v>
      </c>
      <c r="T121" s="79" t="s">
        <v>208</v>
      </c>
      <c r="U121" s="79" t="s">
        <v>428</v>
      </c>
      <c r="V121" s="79" t="s">
        <v>429</v>
      </c>
      <c r="W121" s="79" t="s">
        <v>430</v>
      </c>
      <c r="X121" s="117" t="s">
        <v>117</v>
      </c>
      <c r="Y121" s="82" t="s">
        <v>433</v>
      </c>
      <c r="Z121" s="79" t="s">
        <v>120</v>
      </c>
      <c r="AA121" s="86"/>
      <c r="AB121" s="79" t="s">
        <v>117</v>
      </c>
      <c r="AC121" s="79" t="s">
        <v>117</v>
      </c>
      <c r="AD121" s="145" t="s">
        <v>435</v>
      </c>
      <c r="AE121" s="79" t="s">
        <v>120</v>
      </c>
      <c r="AF121" s="86"/>
      <c r="AG121" s="79" t="s">
        <v>120</v>
      </c>
      <c r="AH121" s="86"/>
      <c r="AI121" s="79" t="s">
        <v>120</v>
      </c>
      <c r="AJ121" s="86"/>
      <c r="AK121" s="86"/>
      <c r="AL121" s="79" t="s">
        <v>242</v>
      </c>
      <c r="AM121" s="79" t="s">
        <v>216</v>
      </c>
      <c r="AN121" s="79" t="s">
        <v>138</v>
      </c>
      <c r="AO121" s="120" t="s">
        <v>156</v>
      </c>
      <c r="AP121" s="17"/>
    </row>
    <row r="122" ht="22.5" customHeight="1">
      <c r="A122" s="116" t="s">
        <v>451</v>
      </c>
      <c r="B122" s="90" t="s">
        <v>452</v>
      </c>
      <c r="C122" s="90" t="s">
        <v>453</v>
      </c>
      <c r="D122" s="91">
        <v>37476.0</v>
      </c>
      <c r="E122" s="90" t="s">
        <v>98</v>
      </c>
      <c r="F122" s="92">
        <v>5.525225006E9</v>
      </c>
      <c r="G122" s="90" t="s">
        <v>455</v>
      </c>
      <c r="H122" s="90" t="s">
        <v>101</v>
      </c>
      <c r="I122" s="93"/>
      <c r="J122" s="90" t="s">
        <v>456</v>
      </c>
      <c r="K122" s="90" t="s">
        <v>457</v>
      </c>
      <c r="L122" s="92">
        <v>5.532320385E9</v>
      </c>
      <c r="M122" s="93"/>
      <c r="N122" s="93"/>
      <c r="O122" s="93"/>
      <c r="P122" s="92">
        <v>23.0</v>
      </c>
      <c r="Q122" s="94">
        <v>46039.755833333336</v>
      </c>
      <c r="R122" s="90" t="s">
        <v>107</v>
      </c>
      <c r="S122" s="90" t="s">
        <v>125</v>
      </c>
      <c r="T122" s="90" t="s">
        <v>127</v>
      </c>
      <c r="U122" s="90" t="s">
        <v>130</v>
      </c>
      <c r="V122" s="90" t="s">
        <v>131</v>
      </c>
      <c r="W122" s="90" t="s">
        <v>132</v>
      </c>
      <c r="X122" s="117" t="s">
        <v>117</v>
      </c>
      <c r="Y122" s="93"/>
      <c r="Z122" s="90" t="s">
        <v>117</v>
      </c>
      <c r="AA122" s="93"/>
      <c r="AB122" s="90" t="s">
        <v>117</v>
      </c>
      <c r="AC122" s="90" t="s">
        <v>117</v>
      </c>
      <c r="AD122" s="93"/>
      <c r="AE122" s="90" t="s">
        <v>117</v>
      </c>
      <c r="AF122" s="93"/>
      <c r="AG122" s="90" t="s">
        <v>117</v>
      </c>
      <c r="AH122" s="93"/>
      <c r="AI122" s="90" t="s">
        <v>117</v>
      </c>
      <c r="AJ122" s="93"/>
      <c r="AK122" s="93"/>
      <c r="AL122" s="90" t="s">
        <v>138</v>
      </c>
      <c r="AM122" s="90" t="s">
        <v>156</v>
      </c>
      <c r="AN122" s="90" t="s">
        <v>124</v>
      </c>
      <c r="AO122" s="118" t="s">
        <v>129</v>
      </c>
      <c r="AP122" s="59"/>
    </row>
    <row r="123" ht="22.5" customHeight="1">
      <c r="A123" s="119" t="s">
        <v>473</v>
      </c>
      <c r="B123" s="79" t="s">
        <v>474</v>
      </c>
      <c r="C123" s="79" t="s">
        <v>477</v>
      </c>
      <c r="D123" s="80">
        <v>37067.0</v>
      </c>
      <c r="E123" s="79" t="s">
        <v>177</v>
      </c>
      <c r="F123" s="81">
        <v>5.573039966E9</v>
      </c>
      <c r="G123" s="79" t="s">
        <v>479</v>
      </c>
      <c r="H123" s="79" t="s">
        <v>101</v>
      </c>
      <c r="I123" s="86"/>
      <c r="J123" s="79" t="s">
        <v>482</v>
      </c>
      <c r="K123" s="79" t="s">
        <v>483</v>
      </c>
      <c r="L123" s="81" t="s">
        <v>484</v>
      </c>
      <c r="M123" s="86"/>
      <c r="N123" s="86"/>
      <c r="O123" s="86"/>
      <c r="P123" s="81">
        <v>24.0</v>
      </c>
      <c r="Q123" s="83">
        <v>46025.93729166667</v>
      </c>
      <c r="R123" s="79" t="s">
        <v>107</v>
      </c>
      <c r="S123" s="79" t="s">
        <v>125</v>
      </c>
      <c r="T123" s="79" t="s">
        <v>192</v>
      </c>
      <c r="U123" s="79" t="s">
        <v>485</v>
      </c>
      <c r="V123" s="79" t="s">
        <v>486</v>
      </c>
      <c r="W123" s="79" t="s">
        <v>487</v>
      </c>
      <c r="X123" s="117" t="s">
        <v>117</v>
      </c>
      <c r="Y123" s="86"/>
      <c r="Z123" s="79" t="s">
        <v>117</v>
      </c>
      <c r="AA123" s="86"/>
      <c r="AB123" s="79" t="s">
        <v>117</v>
      </c>
      <c r="AC123" s="79" t="s">
        <v>117</v>
      </c>
      <c r="AD123" s="86"/>
      <c r="AE123" s="79" t="s">
        <v>117</v>
      </c>
      <c r="AF123" s="86"/>
      <c r="AG123" s="79" t="s">
        <v>117</v>
      </c>
      <c r="AH123" s="86"/>
      <c r="AI123" s="79" t="s">
        <v>117</v>
      </c>
      <c r="AJ123" s="86"/>
      <c r="AK123" s="86"/>
      <c r="AL123" s="79" t="s">
        <v>185</v>
      </c>
      <c r="AM123" s="79" t="s">
        <v>240</v>
      </c>
      <c r="AN123" s="79" t="s">
        <v>216</v>
      </c>
      <c r="AO123" s="120" t="s">
        <v>242</v>
      </c>
      <c r="AP123" s="17"/>
    </row>
    <row r="124" ht="22.5" customHeight="1">
      <c r="A124" s="119" t="s">
        <v>533</v>
      </c>
      <c r="B124" s="79" t="s">
        <v>535</v>
      </c>
      <c r="C124" s="79" t="s">
        <v>537</v>
      </c>
      <c r="D124" s="80">
        <v>34472.0</v>
      </c>
      <c r="E124" s="79" t="s">
        <v>98</v>
      </c>
      <c r="F124" s="81">
        <v>5.621987955E9</v>
      </c>
      <c r="G124" s="79" t="s">
        <v>541</v>
      </c>
      <c r="H124" s="79" t="s">
        <v>382</v>
      </c>
      <c r="I124" s="86"/>
      <c r="J124" s="79" t="s">
        <v>542</v>
      </c>
      <c r="K124" s="79" t="s">
        <v>541</v>
      </c>
      <c r="L124" s="81">
        <v>5.621986821E9</v>
      </c>
      <c r="M124" s="86"/>
      <c r="N124" s="86"/>
      <c r="O124" s="86"/>
      <c r="P124" s="81">
        <v>31.0</v>
      </c>
      <c r="Q124" s="83">
        <v>46036.895462962966</v>
      </c>
      <c r="R124" s="79" t="s">
        <v>546</v>
      </c>
      <c r="S124" s="79" t="s">
        <v>125</v>
      </c>
      <c r="T124" s="79" t="s">
        <v>548</v>
      </c>
      <c r="U124" s="79" t="s">
        <v>550</v>
      </c>
      <c r="V124" s="79" t="s">
        <v>551</v>
      </c>
      <c r="W124" s="79" t="s">
        <v>552</v>
      </c>
      <c r="X124" s="117" t="s">
        <v>117</v>
      </c>
      <c r="Y124" s="86"/>
      <c r="Z124" s="79" t="s">
        <v>117</v>
      </c>
      <c r="AA124" s="86"/>
      <c r="AB124" s="79" t="s">
        <v>117</v>
      </c>
      <c r="AC124" s="79" t="s">
        <v>117</v>
      </c>
      <c r="AD124" s="86"/>
      <c r="AE124" s="79" t="s">
        <v>117</v>
      </c>
      <c r="AF124" s="86"/>
      <c r="AG124" s="79" t="s">
        <v>117</v>
      </c>
      <c r="AH124" s="86"/>
      <c r="AI124" s="79" t="s">
        <v>117</v>
      </c>
      <c r="AJ124" s="86"/>
      <c r="AK124" s="86"/>
      <c r="AL124" s="79" t="s">
        <v>156</v>
      </c>
      <c r="AM124" s="79" t="s">
        <v>216</v>
      </c>
      <c r="AN124" s="79" t="s">
        <v>185</v>
      </c>
      <c r="AO124" s="120" t="s">
        <v>240</v>
      </c>
      <c r="AP124" s="17"/>
    </row>
    <row r="125" ht="22.5" customHeight="1">
      <c r="A125" s="116" t="s">
        <v>614</v>
      </c>
      <c r="B125" s="90" t="s">
        <v>615</v>
      </c>
      <c r="C125" s="90" t="s">
        <v>616</v>
      </c>
      <c r="D125" s="91">
        <v>37014.0</v>
      </c>
      <c r="E125" s="90" t="s">
        <v>98</v>
      </c>
      <c r="F125" s="92">
        <v>6.421390494E9</v>
      </c>
      <c r="G125" s="90" t="s">
        <v>617</v>
      </c>
      <c r="H125" s="90" t="s">
        <v>110</v>
      </c>
      <c r="I125" s="82" t="s">
        <v>618</v>
      </c>
      <c r="J125" s="90" t="s">
        <v>619</v>
      </c>
      <c r="K125" s="90" t="s">
        <v>621</v>
      </c>
      <c r="L125" s="92">
        <v>6.421374424E9</v>
      </c>
      <c r="M125" s="90" t="s">
        <v>626</v>
      </c>
      <c r="N125" s="90" t="s">
        <v>628</v>
      </c>
      <c r="O125" s="92">
        <v>6.424287151E9</v>
      </c>
      <c r="P125" s="92">
        <v>24.0</v>
      </c>
      <c r="Q125" s="94">
        <v>45970.57938657407</v>
      </c>
      <c r="R125" s="90" t="s">
        <v>546</v>
      </c>
      <c r="S125" s="90" t="s">
        <v>125</v>
      </c>
      <c r="T125" s="90" t="s">
        <v>634</v>
      </c>
      <c r="U125" s="90" t="s">
        <v>635</v>
      </c>
      <c r="V125" s="90" t="s">
        <v>637</v>
      </c>
      <c r="W125" s="90" t="s">
        <v>640</v>
      </c>
      <c r="X125" s="90" t="s">
        <v>120</v>
      </c>
      <c r="Y125" s="93"/>
      <c r="Z125" s="90" t="s">
        <v>120</v>
      </c>
      <c r="AA125" s="93"/>
      <c r="AB125" s="90" t="s">
        <v>117</v>
      </c>
      <c r="AC125" s="90" t="s">
        <v>117</v>
      </c>
      <c r="AD125" s="146" t="s">
        <v>643</v>
      </c>
      <c r="AE125" s="90" t="s">
        <v>120</v>
      </c>
      <c r="AF125" s="93"/>
      <c r="AG125" s="90" t="s">
        <v>120</v>
      </c>
      <c r="AH125" s="93"/>
      <c r="AI125" s="90" t="s">
        <v>117</v>
      </c>
      <c r="AJ125" s="90" t="s">
        <v>644</v>
      </c>
      <c r="AK125" s="93"/>
      <c r="AL125" s="90" t="s">
        <v>138</v>
      </c>
      <c r="AM125" s="90" t="s">
        <v>242</v>
      </c>
      <c r="AN125" s="90" t="s">
        <v>124</v>
      </c>
      <c r="AO125" s="118" t="s">
        <v>141</v>
      </c>
      <c r="AP125" s="59"/>
    </row>
    <row r="126" ht="22.5" customHeight="1">
      <c r="A126" s="119" t="s">
        <v>3103</v>
      </c>
      <c r="B126" s="79" t="s">
        <v>3105</v>
      </c>
      <c r="C126" s="79" t="s">
        <v>3106</v>
      </c>
      <c r="D126" s="80">
        <v>39123.0</v>
      </c>
      <c r="E126" s="79" t="s">
        <v>98</v>
      </c>
      <c r="F126" s="79" t="s">
        <v>3109</v>
      </c>
      <c r="G126" s="79" t="s">
        <v>3110</v>
      </c>
      <c r="H126" s="79" t="s">
        <v>101</v>
      </c>
      <c r="I126" s="82" t="s">
        <v>3115</v>
      </c>
      <c r="J126" s="79" t="s">
        <v>3117</v>
      </c>
      <c r="K126" s="79" t="s">
        <v>3119</v>
      </c>
      <c r="L126" s="81">
        <v>5.552526051E9</v>
      </c>
      <c r="M126" s="86"/>
      <c r="N126" s="86"/>
      <c r="O126" s="86"/>
      <c r="P126" s="81">
        <v>19.0</v>
      </c>
      <c r="Q126" s="83">
        <v>46040.90724537037</v>
      </c>
      <c r="R126" s="79" t="s">
        <v>231</v>
      </c>
      <c r="S126" s="79" t="s">
        <v>125</v>
      </c>
      <c r="T126" s="79" t="s">
        <v>208</v>
      </c>
      <c r="U126" s="79" t="s">
        <v>478</v>
      </c>
      <c r="V126" s="79" t="s">
        <v>480</v>
      </c>
      <c r="W126" s="79" t="s">
        <v>481</v>
      </c>
      <c r="X126" s="79" t="s">
        <v>120</v>
      </c>
      <c r="Y126" s="86"/>
      <c r="Z126" s="79" t="s">
        <v>117</v>
      </c>
      <c r="AA126" s="86"/>
      <c r="AB126" s="79" t="s">
        <v>117</v>
      </c>
      <c r="AC126" s="86"/>
      <c r="AD126" s="86"/>
      <c r="AE126" s="79" t="s">
        <v>117</v>
      </c>
      <c r="AF126" s="86"/>
      <c r="AG126" s="79" t="s">
        <v>117</v>
      </c>
      <c r="AH126" s="86"/>
      <c r="AI126" s="79" t="s">
        <v>117</v>
      </c>
      <c r="AJ126" s="86"/>
      <c r="AK126" s="86"/>
      <c r="AL126" s="79" t="s">
        <v>156</v>
      </c>
      <c r="AM126" s="79" t="s">
        <v>124</v>
      </c>
      <c r="AN126" s="79" t="s">
        <v>128</v>
      </c>
      <c r="AO126" s="120" t="s">
        <v>138</v>
      </c>
      <c r="AP126" s="17"/>
    </row>
    <row r="127" ht="22.5" customHeight="1">
      <c r="A127" s="116" t="s">
        <v>703</v>
      </c>
      <c r="B127" s="90" t="s">
        <v>704</v>
      </c>
      <c r="C127" s="90" t="s">
        <v>705</v>
      </c>
      <c r="D127" s="91">
        <v>38117.0</v>
      </c>
      <c r="E127" s="90" t="s">
        <v>177</v>
      </c>
      <c r="F127" s="90" t="s">
        <v>706</v>
      </c>
      <c r="G127" s="90" t="s">
        <v>707</v>
      </c>
      <c r="H127" s="90" t="s">
        <v>110</v>
      </c>
      <c r="I127" s="82" t="s">
        <v>708</v>
      </c>
      <c r="J127" s="90" t="s">
        <v>709</v>
      </c>
      <c r="K127" s="90" t="s">
        <v>711</v>
      </c>
      <c r="L127" s="92" t="s">
        <v>713</v>
      </c>
      <c r="M127" s="93"/>
      <c r="N127" s="93"/>
      <c r="O127" s="93"/>
      <c r="P127" s="92">
        <v>21.0</v>
      </c>
      <c r="Q127" s="94">
        <v>46040.81070601852</v>
      </c>
      <c r="R127" s="90" t="s">
        <v>107</v>
      </c>
      <c r="S127" s="90" t="s">
        <v>125</v>
      </c>
      <c r="T127" s="90" t="s">
        <v>208</v>
      </c>
      <c r="U127" s="90" t="s">
        <v>478</v>
      </c>
      <c r="V127" s="90" t="s">
        <v>480</v>
      </c>
      <c r="W127" s="90" t="s">
        <v>481</v>
      </c>
      <c r="X127" s="90" t="s">
        <v>120</v>
      </c>
      <c r="Y127" s="93"/>
      <c r="Z127" s="90" t="s">
        <v>120</v>
      </c>
      <c r="AA127" s="93"/>
      <c r="AB127" s="90" t="s">
        <v>120</v>
      </c>
      <c r="AC127" s="90" t="s">
        <v>120</v>
      </c>
      <c r="AD127" s="93"/>
      <c r="AE127" s="90" t="s">
        <v>120</v>
      </c>
      <c r="AF127" s="93"/>
      <c r="AG127" s="90" t="s">
        <v>120</v>
      </c>
      <c r="AH127" s="93"/>
      <c r="AI127" s="90" t="s">
        <v>120</v>
      </c>
      <c r="AJ127" s="93"/>
      <c r="AK127" s="126" t="s">
        <v>719</v>
      </c>
      <c r="AL127" s="90" t="s">
        <v>141</v>
      </c>
      <c r="AM127" s="90" t="s">
        <v>129</v>
      </c>
      <c r="AN127" s="90" t="s">
        <v>240</v>
      </c>
      <c r="AO127" s="118" t="s">
        <v>138</v>
      </c>
      <c r="AP127" s="59"/>
    </row>
    <row r="128" ht="22.5" customHeight="1">
      <c r="A128" s="119" t="s">
        <v>753</v>
      </c>
      <c r="B128" s="79" t="s">
        <v>754</v>
      </c>
      <c r="C128" s="79" t="s">
        <v>755</v>
      </c>
      <c r="D128" s="80">
        <v>38952.0</v>
      </c>
      <c r="E128" s="79" t="s">
        <v>98</v>
      </c>
      <c r="F128" s="79" t="s">
        <v>756</v>
      </c>
      <c r="G128" s="79" t="s">
        <v>757</v>
      </c>
      <c r="H128" s="79" t="s">
        <v>140</v>
      </c>
      <c r="I128" s="82" t="s">
        <v>458</v>
      </c>
      <c r="J128" s="79" t="s">
        <v>758</v>
      </c>
      <c r="K128" s="79" t="s">
        <v>759</v>
      </c>
      <c r="L128" s="81" t="s">
        <v>761</v>
      </c>
      <c r="M128" s="86"/>
      <c r="N128" s="86"/>
      <c r="O128" s="86"/>
      <c r="P128" s="81">
        <v>19.0</v>
      </c>
      <c r="Q128" s="83">
        <v>46026.39766203704</v>
      </c>
      <c r="R128" s="79" t="s">
        <v>107</v>
      </c>
      <c r="S128" s="79" t="s">
        <v>125</v>
      </c>
      <c r="T128" s="79" t="s">
        <v>127</v>
      </c>
      <c r="U128" s="79" t="s">
        <v>766</v>
      </c>
      <c r="V128" s="79" t="s">
        <v>767</v>
      </c>
      <c r="W128" s="79" t="s">
        <v>768</v>
      </c>
      <c r="X128" s="79" t="s">
        <v>120</v>
      </c>
      <c r="Y128" s="86"/>
      <c r="Z128" s="79" t="s">
        <v>120</v>
      </c>
      <c r="AA128" s="86"/>
      <c r="AB128" s="79" t="s">
        <v>120</v>
      </c>
      <c r="AC128" s="79" t="s">
        <v>120</v>
      </c>
      <c r="AD128" s="86"/>
      <c r="AE128" s="79" t="s">
        <v>120</v>
      </c>
      <c r="AF128" s="86"/>
      <c r="AG128" s="79" t="s">
        <v>120</v>
      </c>
      <c r="AH128" s="86"/>
      <c r="AI128" s="79" t="s">
        <v>120</v>
      </c>
      <c r="AJ128" s="86"/>
      <c r="AK128" s="79" t="s">
        <v>769</v>
      </c>
      <c r="AL128" s="79" t="s">
        <v>185</v>
      </c>
      <c r="AM128" s="79" t="s">
        <v>156</v>
      </c>
      <c r="AN128" s="79" t="s">
        <v>138</v>
      </c>
      <c r="AO128" s="120" t="s">
        <v>129</v>
      </c>
      <c r="AP128" s="17"/>
    </row>
    <row r="129" ht="22.5" customHeight="1">
      <c r="A129" s="116" t="s">
        <v>770</v>
      </c>
      <c r="B129" s="90" t="s">
        <v>413</v>
      </c>
      <c r="C129" s="90" t="s">
        <v>771</v>
      </c>
      <c r="D129" s="91">
        <v>38251.0</v>
      </c>
      <c r="E129" s="90" t="s">
        <v>98</v>
      </c>
      <c r="F129" s="92">
        <v>5.580871883E9</v>
      </c>
      <c r="G129" s="90" t="s">
        <v>773</v>
      </c>
      <c r="H129" s="90" t="s">
        <v>101</v>
      </c>
      <c r="I129" s="82" t="s">
        <v>458</v>
      </c>
      <c r="J129" s="90" t="s">
        <v>417</v>
      </c>
      <c r="K129" s="90" t="s">
        <v>776</v>
      </c>
      <c r="L129" s="92">
        <v>5.530664884E9</v>
      </c>
      <c r="M129" s="93"/>
      <c r="N129" s="93"/>
      <c r="O129" s="93"/>
      <c r="P129" s="92">
        <v>21.0</v>
      </c>
      <c r="Q129" s="94">
        <v>46026.486921296295</v>
      </c>
      <c r="R129" s="90" t="s">
        <v>107</v>
      </c>
      <c r="S129" s="90" t="s">
        <v>125</v>
      </c>
      <c r="T129" s="90" t="s">
        <v>208</v>
      </c>
      <c r="U129" s="90" t="s">
        <v>228</v>
      </c>
      <c r="V129" s="90" t="s">
        <v>229</v>
      </c>
      <c r="W129" s="90" t="s">
        <v>230</v>
      </c>
      <c r="X129" s="90" t="s">
        <v>120</v>
      </c>
      <c r="Y129" s="93"/>
      <c r="Z129" s="90" t="s">
        <v>120</v>
      </c>
      <c r="AA129" s="93"/>
      <c r="AB129" s="90" t="s">
        <v>120</v>
      </c>
      <c r="AC129" s="90" t="s">
        <v>120</v>
      </c>
      <c r="AD129" s="93"/>
      <c r="AE129" s="90" t="s">
        <v>120</v>
      </c>
      <c r="AF129" s="93"/>
      <c r="AG129" s="90" t="s">
        <v>120</v>
      </c>
      <c r="AH129" s="93"/>
      <c r="AI129" s="90" t="s">
        <v>117</v>
      </c>
      <c r="AJ129" s="146" t="s">
        <v>334</v>
      </c>
      <c r="AK129" s="93"/>
      <c r="AL129" s="90" t="s">
        <v>141</v>
      </c>
      <c r="AM129" s="90" t="s">
        <v>126</v>
      </c>
      <c r="AN129" s="90" t="s">
        <v>138</v>
      </c>
      <c r="AO129" s="118" t="s">
        <v>242</v>
      </c>
      <c r="AP129" s="59"/>
    </row>
    <row r="130" ht="22.5" customHeight="1">
      <c r="A130" s="119" t="s">
        <v>793</v>
      </c>
      <c r="B130" s="79" t="s">
        <v>794</v>
      </c>
      <c r="C130" s="79" t="s">
        <v>795</v>
      </c>
      <c r="D130" s="80">
        <v>38212.0</v>
      </c>
      <c r="E130" s="79" t="s">
        <v>98</v>
      </c>
      <c r="F130" s="81">
        <v>5.560794305E9</v>
      </c>
      <c r="G130" s="79" t="s">
        <v>797</v>
      </c>
      <c r="H130" s="79" t="s">
        <v>101</v>
      </c>
      <c r="I130" s="82" t="s">
        <v>800</v>
      </c>
      <c r="J130" s="79" t="s">
        <v>801</v>
      </c>
      <c r="K130" s="79" t="s">
        <v>797</v>
      </c>
      <c r="L130" s="81">
        <v>5.574526519E9</v>
      </c>
      <c r="M130" s="86"/>
      <c r="N130" s="86"/>
      <c r="O130" s="86"/>
      <c r="P130" s="81">
        <v>21.0</v>
      </c>
      <c r="Q130" s="83">
        <v>46033.501435185186</v>
      </c>
      <c r="R130" s="79" t="s">
        <v>107</v>
      </c>
      <c r="S130" s="79" t="s">
        <v>125</v>
      </c>
      <c r="T130" s="79" t="s">
        <v>160</v>
      </c>
      <c r="U130" s="79" t="s">
        <v>329</v>
      </c>
      <c r="V130" s="79" t="s">
        <v>331</v>
      </c>
      <c r="W130" s="79" t="s">
        <v>332</v>
      </c>
      <c r="X130" s="79" t="s">
        <v>120</v>
      </c>
      <c r="Y130" s="86"/>
      <c r="Z130" s="79" t="s">
        <v>117</v>
      </c>
      <c r="AA130" s="82" t="s">
        <v>805</v>
      </c>
      <c r="AB130" s="79" t="s">
        <v>117</v>
      </c>
      <c r="AC130" s="79" t="s">
        <v>117</v>
      </c>
      <c r="AD130" s="145" t="s">
        <v>806</v>
      </c>
      <c r="AE130" s="79" t="s">
        <v>120</v>
      </c>
      <c r="AF130" s="86"/>
      <c r="AG130" s="79" t="s">
        <v>120</v>
      </c>
      <c r="AH130" s="86"/>
      <c r="AI130" s="79" t="s">
        <v>117</v>
      </c>
      <c r="AJ130" s="79" t="s">
        <v>807</v>
      </c>
      <c r="AK130" s="86"/>
      <c r="AL130" s="79" t="s">
        <v>138</v>
      </c>
      <c r="AM130" s="79" t="s">
        <v>216</v>
      </c>
      <c r="AN130" s="79" t="s">
        <v>126</v>
      </c>
      <c r="AO130" s="120" t="s">
        <v>141</v>
      </c>
      <c r="AP130" s="17"/>
    </row>
    <row r="131" ht="22.5" customHeight="1">
      <c r="A131" s="116" t="s">
        <v>710</v>
      </c>
      <c r="B131" s="90" t="s">
        <v>809</v>
      </c>
      <c r="C131" s="90" t="s">
        <v>810</v>
      </c>
      <c r="D131" s="91">
        <v>39161.0</v>
      </c>
      <c r="E131" s="90" t="s">
        <v>98</v>
      </c>
      <c r="F131" s="92">
        <v>7.206758138E9</v>
      </c>
      <c r="G131" s="90" t="s">
        <v>811</v>
      </c>
      <c r="H131" s="90" t="s">
        <v>140</v>
      </c>
      <c r="I131" s="82" t="s">
        <v>812</v>
      </c>
      <c r="J131" s="90" t="s">
        <v>813</v>
      </c>
      <c r="K131" s="90" t="s">
        <v>814</v>
      </c>
      <c r="L131" s="92">
        <v>7.293082828E9</v>
      </c>
      <c r="M131" s="93"/>
      <c r="N131" s="93"/>
      <c r="O131" s="93"/>
      <c r="P131" s="92">
        <v>18.0</v>
      </c>
      <c r="Q131" s="94">
        <v>46033.95962962963</v>
      </c>
      <c r="R131" s="90" t="s">
        <v>546</v>
      </c>
      <c r="S131" s="90" t="s">
        <v>125</v>
      </c>
      <c r="T131" s="90" t="s">
        <v>819</v>
      </c>
      <c r="U131" s="90" t="s">
        <v>821</v>
      </c>
      <c r="V131" s="90" t="s">
        <v>823</v>
      </c>
      <c r="W131" s="90" t="s">
        <v>825</v>
      </c>
      <c r="X131" s="90" t="s">
        <v>120</v>
      </c>
      <c r="Y131" s="93"/>
      <c r="Z131" s="90" t="s">
        <v>117</v>
      </c>
      <c r="AA131" s="82" t="s">
        <v>826</v>
      </c>
      <c r="AB131" s="90" t="s">
        <v>117</v>
      </c>
      <c r="AC131" s="90" t="s">
        <v>117</v>
      </c>
      <c r="AD131" s="146" t="s">
        <v>827</v>
      </c>
      <c r="AE131" s="90" t="s">
        <v>120</v>
      </c>
      <c r="AF131" s="93"/>
      <c r="AG131" s="90" t="s">
        <v>120</v>
      </c>
      <c r="AH131" s="93"/>
      <c r="AI131" s="90" t="s">
        <v>117</v>
      </c>
      <c r="AJ131" s="90" t="s">
        <v>178</v>
      </c>
      <c r="AK131" s="93"/>
      <c r="AL131" s="90" t="s">
        <v>216</v>
      </c>
      <c r="AM131" s="90" t="s">
        <v>242</v>
      </c>
      <c r="AN131" s="90" t="s">
        <v>240</v>
      </c>
      <c r="AO131" s="118" t="s">
        <v>185</v>
      </c>
      <c r="AP131" s="59"/>
    </row>
    <row r="132" ht="22.5" customHeight="1">
      <c r="A132" s="116" t="s">
        <v>828</v>
      </c>
      <c r="B132" s="90" t="s">
        <v>829</v>
      </c>
      <c r="C132" s="90" t="s">
        <v>830</v>
      </c>
      <c r="D132" s="91">
        <v>37443.0</v>
      </c>
      <c r="E132" s="90" t="s">
        <v>177</v>
      </c>
      <c r="F132" s="92">
        <v>5.640040994E9</v>
      </c>
      <c r="G132" s="90" t="s">
        <v>831</v>
      </c>
      <c r="H132" s="90" t="s">
        <v>150</v>
      </c>
      <c r="I132" s="82" t="s">
        <v>832</v>
      </c>
      <c r="J132" s="90" t="s">
        <v>833</v>
      </c>
      <c r="K132" s="90" t="s">
        <v>834</v>
      </c>
      <c r="L132" s="92">
        <v>5.53040827E9</v>
      </c>
      <c r="M132" s="93"/>
      <c r="N132" s="93"/>
      <c r="O132" s="93"/>
      <c r="P132" s="92">
        <v>23.0</v>
      </c>
      <c r="Q132" s="94">
        <v>46033.85322916666</v>
      </c>
      <c r="R132" s="90" t="s">
        <v>107</v>
      </c>
      <c r="S132" s="90" t="s">
        <v>125</v>
      </c>
      <c r="T132" s="90" t="s">
        <v>127</v>
      </c>
      <c r="U132" s="90" t="s">
        <v>234</v>
      </c>
      <c r="V132" s="90" t="s">
        <v>227</v>
      </c>
      <c r="W132" s="90" t="s">
        <v>236</v>
      </c>
      <c r="X132" s="90" t="s">
        <v>120</v>
      </c>
      <c r="Y132" s="93"/>
      <c r="Z132" s="90" t="s">
        <v>120</v>
      </c>
      <c r="AA132" s="93"/>
      <c r="AB132" s="90" t="s">
        <v>120</v>
      </c>
      <c r="AC132" s="90" t="s">
        <v>120</v>
      </c>
      <c r="AD132" s="93"/>
      <c r="AE132" s="90" t="s">
        <v>117</v>
      </c>
      <c r="AF132" s="90" t="s">
        <v>843</v>
      </c>
      <c r="AG132" s="90" t="s">
        <v>120</v>
      </c>
      <c r="AH132" s="93"/>
      <c r="AI132" s="90" t="s">
        <v>120</v>
      </c>
      <c r="AJ132" s="93"/>
      <c r="AK132" s="93"/>
      <c r="AL132" s="90" t="s">
        <v>129</v>
      </c>
      <c r="AM132" s="90" t="s">
        <v>126</v>
      </c>
      <c r="AN132" s="90" t="s">
        <v>138</v>
      </c>
      <c r="AO132" s="118" t="s">
        <v>156</v>
      </c>
      <c r="AP132" s="59"/>
    </row>
    <row r="133" ht="22.5" customHeight="1">
      <c r="A133" s="116" t="s">
        <v>861</v>
      </c>
      <c r="B133" s="90" t="s">
        <v>862</v>
      </c>
      <c r="C133" s="90" t="s">
        <v>863</v>
      </c>
      <c r="D133" s="91">
        <v>38496.0</v>
      </c>
      <c r="E133" s="90" t="s">
        <v>98</v>
      </c>
      <c r="F133" s="92">
        <v>7.331244389E9</v>
      </c>
      <c r="G133" s="90" t="s">
        <v>864</v>
      </c>
      <c r="H133" s="90" t="s">
        <v>101</v>
      </c>
      <c r="I133" s="82" t="s">
        <v>867</v>
      </c>
      <c r="J133" s="90" t="s">
        <v>868</v>
      </c>
      <c r="K133" s="90" t="s">
        <v>870</v>
      </c>
      <c r="L133" s="92">
        <v>7.331244389E9</v>
      </c>
      <c r="M133" s="90" t="s">
        <v>871</v>
      </c>
      <c r="N133" s="90" t="s">
        <v>872</v>
      </c>
      <c r="O133" s="92">
        <v>7.331550592E9</v>
      </c>
      <c r="P133" s="92">
        <v>20.0</v>
      </c>
      <c r="Q133" s="94">
        <v>46037.789351851854</v>
      </c>
      <c r="R133" s="90" t="s">
        <v>107</v>
      </c>
      <c r="S133" s="90" t="s">
        <v>125</v>
      </c>
      <c r="T133" s="90" t="s">
        <v>877</v>
      </c>
      <c r="U133" s="90" t="s">
        <v>878</v>
      </c>
      <c r="V133" s="90" t="s">
        <v>879</v>
      </c>
      <c r="W133" s="90" t="s">
        <v>880</v>
      </c>
      <c r="X133" s="90" t="s">
        <v>120</v>
      </c>
      <c r="Y133" s="93"/>
      <c r="Z133" s="90" t="s">
        <v>117</v>
      </c>
      <c r="AA133" s="82" t="s">
        <v>882</v>
      </c>
      <c r="AB133" s="90" t="s">
        <v>117</v>
      </c>
      <c r="AC133" s="93"/>
      <c r="AD133" s="146" t="s">
        <v>886</v>
      </c>
      <c r="AE133" s="90" t="s">
        <v>120</v>
      </c>
      <c r="AF133" s="93"/>
      <c r="AG133" s="90" t="s">
        <v>120</v>
      </c>
      <c r="AH133" s="93"/>
      <c r="AI133" s="90" t="s">
        <v>120</v>
      </c>
      <c r="AJ133" s="93"/>
      <c r="AK133" s="93"/>
      <c r="AL133" s="90" t="s">
        <v>185</v>
      </c>
      <c r="AM133" s="90" t="s">
        <v>242</v>
      </c>
      <c r="AN133" s="90" t="s">
        <v>124</v>
      </c>
      <c r="AO133" s="118" t="s">
        <v>216</v>
      </c>
      <c r="AP133" s="59"/>
    </row>
    <row r="134" ht="22.5" customHeight="1">
      <c r="A134" s="119" t="s">
        <v>890</v>
      </c>
      <c r="B134" s="79" t="s">
        <v>891</v>
      </c>
      <c r="C134" s="79" t="s">
        <v>892</v>
      </c>
      <c r="D134" s="80">
        <v>37876.0</v>
      </c>
      <c r="E134" s="79" t="s">
        <v>98</v>
      </c>
      <c r="F134" s="81">
        <v>5.582241852E9</v>
      </c>
      <c r="G134" s="79" t="s">
        <v>894</v>
      </c>
      <c r="H134" s="79" t="s">
        <v>101</v>
      </c>
      <c r="I134" s="82" t="s">
        <v>896</v>
      </c>
      <c r="J134" s="79" t="s">
        <v>897</v>
      </c>
      <c r="K134" s="79" t="s">
        <v>898</v>
      </c>
      <c r="L134" s="81">
        <v>5.628280987E9</v>
      </c>
      <c r="M134" s="86"/>
      <c r="N134" s="86"/>
      <c r="O134" s="86"/>
      <c r="P134" s="81">
        <v>22.0</v>
      </c>
      <c r="Q134" s="83">
        <v>46024.77825231481</v>
      </c>
      <c r="R134" s="79" t="s">
        <v>107</v>
      </c>
      <c r="S134" s="79" t="s">
        <v>125</v>
      </c>
      <c r="T134" s="79" t="s">
        <v>127</v>
      </c>
      <c r="U134" s="79" t="s">
        <v>672</v>
      </c>
      <c r="V134" s="79" t="s">
        <v>673</v>
      </c>
      <c r="W134" s="79" t="s">
        <v>674</v>
      </c>
      <c r="X134" s="79" t="s">
        <v>120</v>
      </c>
      <c r="Y134" s="86"/>
      <c r="Z134" s="79" t="s">
        <v>117</v>
      </c>
      <c r="AA134" s="85" t="s">
        <v>901</v>
      </c>
      <c r="AB134" s="79" t="s">
        <v>117</v>
      </c>
      <c r="AC134" s="79" t="s">
        <v>117</v>
      </c>
      <c r="AD134" s="86"/>
      <c r="AE134" s="79" t="s">
        <v>120</v>
      </c>
      <c r="AF134" s="86"/>
      <c r="AG134" s="79" t="s">
        <v>120</v>
      </c>
      <c r="AH134" s="86"/>
      <c r="AI134" s="79" t="s">
        <v>120</v>
      </c>
      <c r="AJ134" s="86"/>
      <c r="AK134" s="86"/>
      <c r="AL134" s="79" t="s">
        <v>156</v>
      </c>
      <c r="AM134" s="79" t="s">
        <v>124</v>
      </c>
      <c r="AN134" s="79" t="s">
        <v>138</v>
      </c>
      <c r="AO134" s="120" t="s">
        <v>240</v>
      </c>
      <c r="AP134" s="17"/>
    </row>
    <row r="135" ht="22.5" customHeight="1">
      <c r="A135" s="116" t="s">
        <v>938</v>
      </c>
      <c r="B135" s="90" t="s">
        <v>940</v>
      </c>
      <c r="C135" s="90" t="s">
        <v>942</v>
      </c>
      <c r="D135" s="91">
        <v>37984.0</v>
      </c>
      <c r="E135" s="90" t="s">
        <v>98</v>
      </c>
      <c r="F135" s="92">
        <v>3.141825795E9</v>
      </c>
      <c r="G135" s="90" t="s">
        <v>946</v>
      </c>
      <c r="H135" s="90" t="s">
        <v>101</v>
      </c>
      <c r="I135" s="82" t="s">
        <v>949</v>
      </c>
      <c r="J135" s="90" t="s">
        <v>951</v>
      </c>
      <c r="K135" s="90" t="s">
        <v>946</v>
      </c>
      <c r="L135" s="92">
        <v>3.141825795E9</v>
      </c>
      <c r="M135" s="93"/>
      <c r="N135" s="93"/>
      <c r="O135" s="93"/>
      <c r="P135" s="92">
        <v>22.0</v>
      </c>
      <c r="Q135" s="94">
        <v>45979.438425925924</v>
      </c>
      <c r="R135" s="90" t="s">
        <v>107</v>
      </c>
      <c r="S135" s="90" t="s">
        <v>125</v>
      </c>
      <c r="T135" s="90" t="s">
        <v>954</v>
      </c>
      <c r="U135" s="90" t="s">
        <v>956</v>
      </c>
      <c r="V135" s="90" t="s">
        <v>957</v>
      </c>
      <c r="W135" s="90" t="s">
        <v>958</v>
      </c>
      <c r="X135" s="90" t="s">
        <v>120</v>
      </c>
      <c r="Y135" s="93"/>
      <c r="Z135" s="90" t="s">
        <v>117</v>
      </c>
      <c r="AA135" s="82" t="s">
        <v>961</v>
      </c>
      <c r="AB135" s="90" t="s">
        <v>120</v>
      </c>
      <c r="AC135" s="93"/>
      <c r="AD135" s="93"/>
      <c r="AE135" s="90" t="s">
        <v>117</v>
      </c>
      <c r="AF135" s="126" t="s">
        <v>962</v>
      </c>
      <c r="AG135" s="90" t="s">
        <v>120</v>
      </c>
      <c r="AH135" s="93"/>
      <c r="AI135" s="90" t="s">
        <v>120</v>
      </c>
      <c r="AJ135" s="93"/>
      <c r="AK135" s="93"/>
      <c r="AL135" s="90" t="s">
        <v>138</v>
      </c>
      <c r="AM135" s="90" t="s">
        <v>128</v>
      </c>
      <c r="AN135" s="90" t="s">
        <v>242</v>
      </c>
      <c r="AO135" s="118" t="s">
        <v>156</v>
      </c>
      <c r="AP135" s="59"/>
    </row>
    <row r="136" ht="22.5" customHeight="1">
      <c r="A136" s="116" t="s">
        <v>1033</v>
      </c>
      <c r="B136" s="90" t="s">
        <v>1035</v>
      </c>
      <c r="C136" s="90" t="s">
        <v>1037</v>
      </c>
      <c r="D136" s="91">
        <v>38137.0</v>
      </c>
      <c r="E136" s="90" t="s">
        <v>98</v>
      </c>
      <c r="F136" s="92">
        <v>5.611954501E9</v>
      </c>
      <c r="G136" s="90" t="s">
        <v>1038</v>
      </c>
      <c r="H136" s="90" t="s">
        <v>150</v>
      </c>
      <c r="I136" s="82" t="s">
        <v>1040</v>
      </c>
      <c r="J136" s="90" t="s">
        <v>1042</v>
      </c>
      <c r="K136" s="90" t="s">
        <v>1043</v>
      </c>
      <c r="L136" s="92">
        <v>5.586874914E9</v>
      </c>
      <c r="M136" s="93"/>
      <c r="N136" s="93"/>
      <c r="O136" s="93"/>
      <c r="P136" s="92">
        <v>21.0</v>
      </c>
      <c r="Q136" s="94">
        <v>46039.970185185186</v>
      </c>
      <c r="R136" s="90" t="s">
        <v>231</v>
      </c>
      <c r="S136" s="90" t="s">
        <v>125</v>
      </c>
      <c r="T136" s="90" t="s">
        <v>160</v>
      </c>
      <c r="U136" s="90" t="s">
        <v>161</v>
      </c>
      <c r="V136" s="90" t="s">
        <v>163</v>
      </c>
      <c r="W136" s="90" t="s">
        <v>165</v>
      </c>
      <c r="X136" s="90" t="s">
        <v>120</v>
      </c>
      <c r="Y136" s="93"/>
      <c r="Z136" s="90" t="s">
        <v>117</v>
      </c>
      <c r="AA136" s="82" t="s">
        <v>1052</v>
      </c>
      <c r="AB136" s="90" t="s">
        <v>120</v>
      </c>
      <c r="AC136" s="90" t="s">
        <v>120</v>
      </c>
      <c r="AD136" s="93"/>
      <c r="AE136" s="90" t="s">
        <v>120</v>
      </c>
      <c r="AF136" s="93"/>
      <c r="AG136" s="90" t="s">
        <v>117</v>
      </c>
      <c r="AH136" s="90" t="s">
        <v>1054</v>
      </c>
      <c r="AI136" s="90" t="s">
        <v>120</v>
      </c>
      <c r="AJ136" s="93"/>
      <c r="AK136" s="93"/>
      <c r="AL136" s="90" t="s">
        <v>141</v>
      </c>
      <c r="AM136" s="90" t="s">
        <v>242</v>
      </c>
      <c r="AN136" s="90" t="s">
        <v>128</v>
      </c>
      <c r="AO136" s="118" t="s">
        <v>156</v>
      </c>
      <c r="AP136" s="59"/>
    </row>
    <row r="137" ht="22.5" customHeight="1">
      <c r="A137" s="119" t="s">
        <v>1126</v>
      </c>
      <c r="B137" s="79" t="s">
        <v>1127</v>
      </c>
      <c r="C137" s="79" t="s">
        <v>1128</v>
      </c>
      <c r="D137" s="80">
        <v>36255.0</v>
      </c>
      <c r="E137" s="79" t="s">
        <v>98</v>
      </c>
      <c r="F137" s="81">
        <v>5.528630414E9</v>
      </c>
      <c r="G137" s="79" t="s">
        <v>1130</v>
      </c>
      <c r="H137" s="79" t="s">
        <v>101</v>
      </c>
      <c r="I137" s="82" t="s">
        <v>1132</v>
      </c>
      <c r="J137" s="79" t="s">
        <v>1133</v>
      </c>
      <c r="K137" s="79" t="s">
        <v>1134</v>
      </c>
      <c r="L137" s="81">
        <v>5.510137038E9</v>
      </c>
      <c r="M137" s="79" t="s">
        <v>1135</v>
      </c>
      <c r="N137" s="79" t="s">
        <v>1136</v>
      </c>
      <c r="O137" s="81">
        <v>5.558470536E9</v>
      </c>
      <c r="P137" s="81">
        <v>26.0</v>
      </c>
      <c r="Q137" s="83">
        <v>46020.645578703705</v>
      </c>
      <c r="R137" s="79" t="s">
        <v>107</v>
      </c>
      <c r="S137" s="79" t="s">
        <v>125</v>
      </c>
      <c r="T137" s="79" t="s">
        <v>171</v>
      </c>
      <c r="U137" s="79" t="s">
        <v>173</v>
      </c>
      <c r="V137" s="79" t="s">
        <v>167</v>
      </c>
      <c r="W137" s="79" t="s">
        <v>175</v>
      </c>
      <c r="X137" s="79" t="s">
        <v>120</v>
      </c>
      <c r="Y137" s="86"/>
      <c r="Z137" s="79" t="s">
        <v>117</v>
      </c>
      <c r="AA137" s="82" t="s">
        <v>1132</v>
      </c>
      <c r="AB137" s="79" t="s">
        <v>120</v>
      </c>
      <c r="AC137" s="86"/>
      <c r="AD137" s="86"/>
      <c r="AE137" s="79" t="s">
        <v>120</v>
      </c>
      <c r="AF137" s="86"/>
      <c r="AG137" s="79" t="s">
        <v>120</v>
      </c>
      <c r="AH137" s="86"/>
      <c r="AI137" s="79" t="s">
        <v>120</v>
      </c>
      <c r="AJ137" s="86"/>
      <c r="AK137" s="123" t="s">
        <v>1145</v>
      </c>
      <c r="AL137" s="79" t="s">
        <v>129</v>
      </c>
      <c r="AM137" s="79" t="s">
        <v>124</v>
      </c>
      <c r="AN137" s="79" t="s">
        <v>128</v>
      </c>
      <c r="AO137" s="120" t="s">
        <v>156</v>
      </c>
      <c r="AP137" s="17"/>
    </row>
    <row r="138" ht="22.5" customHeight="1">
      <c r="A138" s="116" t="s">
        <v>1126</v>
      </c>
      <c r="B138" s="90" t="s">
        <v>1264</v>
      </c>
      <c r="C138" s="90" t="s">
        <v>1266</v>
      </c>
      <c r="D138" s="91">
        <v>38812.0</v>
      </c>
      <c r="E138" s="90" t="s">
        <v>98</v>
      </c>
      <c r="F138" s="92">
        <v>5.541378658E9</v>
      </c>
      <c r="G138" s="90" t="s">
        <v>1269</v>
      </c>
      <c r="H138" s="90" t="s">
        <v>140</v>
      </c>
      <c r="I138" s="90" t="s">
        <v>135</v>
      </c>
      <c r="J138" s="90" t="s">
        <v>1270</v>
      </c>
      <c r="K138" s="90" t="s">
        <v>1271</v>
      </c>
      <c r="L138" s="92">
        <v>5.520697563E9</v>
      </c>
      <c r="M138" s="93"/>
      <c r="N138" s="93"/>
      <c r="O138" s="93"/>
      <c r="P138" s="92">
        <v>19.0</v>
      </c>
      <c r="Q138" s="94">
        <v>45976.79461805556</v>
      </c>
      <c r="R138" s="90" t="s">
        <v>107</v>
      </c>
      <c r="S138" s="90" t="s">
        <v>125</v>
      </c>
      <c r="T138" s="90" t="s">
        <v>1275</v>
      </c>
      <c r="U138" s="90" t="s">
        <v>1277</v>
      </c>
      <c r="V138" s="90" t="s">
        <v>1278</v>
      </c>
      <c r="W138" s="90" t="s">
        <v>1280</v>
      </c>
      <c r="X138" s="90" t="s">
        <v>120</v>
      </c>
      <c r="Y138" s="90" t="s">
        <v>1284</v>
      </c>
      <c r="Z138" s="90" t="s">
        <v>117</v>
      </c>
      <c r="AA138" s="90" t="s">
        <v>120</v>
      </c>
      <c r="AB138" s="90" t="s">
        <v>117</v>
      </c>
      <c r="AC138" s="90" t="s">
        <v>117</v>
      </c>
      <c r="AD138" s="90" t="s">
        <v>120</v>
      </c>
      <c r="AE138" s="90" t="s">
        <v>117</v>
      </c>
      <c r="AF138" s="90" t="s">
        <v>120</v>
      </c>
      <c r="AG138" s="90" t="s">
        <v>117</v>
      </c>
      <c r="AH138" s="90" t="s">
        <v>120</v>
      </c>
      <c r="AI138" s="90" t="s">
        <v>117</v>
      </c>
      <c r="AJ138" s="90" t="s">
        <v>120</v>
      </c>
      <c r="AK138" s="90" t="s">
        <v>120</v>
      </c>
      <c r="AL138" s="90" t="s">
        <v>141</v>
      </c>
      <c r="AM138" s="90" t="s">
        <v>242</v>
      </c>
      <c r="AN138" s="90" t="s">
        <v>156</v>
      </c>
      <c r="AO138" s="118" t="s">
        <v>216</v>
      </c>
      <c r="AP138" s="59"/>
    </row>
    <row r="139" ht="22.5" customHeight="1">
      <c r="A139" s="116" t="s">
        <v>1354</v>
      </c>
      <c r="B139" s="90" t="s">
        <v>1355</v>
      </c>
      <c r="C139" s="90" t="s">
        <v>1356</v>
      </c>
      <c r="D139" s="91">
        <v>35850.0</v>
      </c>
      <c r="E139" s="90" t="s">
        <v>98</v>
      </c>
      <c r="F139" s="92">
        <v>5.521021259E9</v>
      </c>
      <c r="G139" s="90" t="s">
        <v>1358</v>
      </c>
      <c r="H139" s="90" t="s">
        <v>150</v>
      </c>
      <c r="I139" s="90" t="s">
        <v>1325</v>
      </c>
      <c r="J139" s="90" t="s">
        <v>1359</v>
      </c>
      <c r="K139" s="90" t="s">
        <v>1361</v>
      </c>
      <c r="L139" s="92">
        <v>5.517054631E9</v>
      </c>
      <c r="M139" s="93"/>
      <c r="N139" s="93"/>
      <c r="O139" s="93"/>
      <c r="P139" s="92">
        <v>28.0</v>
      </c>
      <c r="Q139" s="94">
        <v>45989.69033564815</v>
      </c>
      <c r="R139" s="90" t="s">
        <v>107</v>
      </c>
      <c r="S139" s="90" t="s">
        <v>125</v>
      </c>
      <c r="T139" s="90" t="s">
        <v>548</v>
      </c>
      <c r="U139" s="90" t="s">
        <v>1370</v>
      </c>
      <c r="V139" s="90" t="s">
        <v>1372</v>
      </c>
      <c r="W139" s="90" t="s">
        <v>1374</v>
      </c>
      <c r="X139" s="90" t="s">
        <v>120</v>
      </c>
      <c r="Y139" s="93"/>
      <c r="Z139" s="90" t="s">
        <v>120</v>
      </c>
      <c r="AA139" s="93"/>
      <c r="AB139" s="90" t="s">
        <v>117</v>
      </c>
      <c r="AC139" s="90" t="s">
        <v>117</v>
      </c>
      <c r="AD139" s="146" t="s">
        <v>1384</v>
      </c>
      <c r="AE139" s="90" t="s">
        <v>117</v>
      </c>
      <c r="AF139" s="90" t="s">
        <v>1388</v>
      </c>
      <c r="AG139" s="90" t="s">
        <v>120</v>
      </c>
      <c r="AH139" s="93"/>
      <c r="AI139" s="90" t="s">
        <v>117</v>
      </c>
      <c r="AJ139" s="90" t="s">
        <v>1392</v>
      </c>
      <c r="AK139" s="90" t="s">
        <v>1325</v>
      </c>
      <c r="AL139" s="90" t="s">
        <v>138</v>
      </c>
      <c r="AM139" s="90" t="s">
        <v>242</v>
      </c>
      <c r="AN139" s="90" t="s">
        <v>141</v>
      </c>
      <c r="AO139" s="118" t="s">
        <v>124</v>
      </c>
      <c r="AP139" s="59"/>
    </row>
    <row r="140" ht="22.5" customHeight="1">
      <c r="A140" s="116" t="s">
        <v>1393</v>
      </c>
      <c r="B140" s="90" t="s">
        <v>1394</v>
      </c>
      <c r="C140" s="90" t="s">
        <v>1395</v>
      </c>
      <c r="D140" s="91">
        <v>38238.0</v>
      </c>
      <c r="E140" s="90" t="s">
        <v>98</v>
      </c>
      <c r="F140" s="92">
        <v>5.65915819E9</v>
      </c>
      <c r="G140" s="90" t="s">
        <v>1397</v>
      </c>
      <c r="H140" s="90" t="s">
        <v>140</v>
      </c>
      <c r="I140" s="90" t="s">
        <v>1325</v>
      </c>
      <c r="J140" s="90" t="s">
        <v>1400</v>
      </c>
      <c r="K140" s="90" t="s">
        <v>1401</v>
      </c>
      <c r="L140" s="92">
        <v>5.584107482E9</v>
      </c>
      <c r="M140" s="93"/>
      <c r="N140" s="93"/>
      <c r="O140" s="93"/>
      <c r="P140" s="92">
        <v>21.0</v>
      </c>
      <c r="Q140" s="94">
        <v>46040.602488425924</v>
      </c>
      <c r="R140" s="90" t="s">
        <v>231</v>
      </c>
      <c r="S140" s="90" t="s">
        <v>125</v>
      </c>
      <c r="T140" s="90" t="s">
        <v>192</v>
      </c>
      <c r="U140" s="90" t="s">
        <v>485</v>
      </c>
      <c r="V140" s="90" t="s">
        <v>486</v>
      </c>
      <c r="W140" s="90" t="s">
        <v>487</v>
      </c>
      <c r="X140" s="90" t="s">
        <v>120</v>
      </c>
      <c r="Y140" s="93"/>
      <c r="Z140" s="90" t="s">
        <v>117</v>
      </c>
      <c r="AA140" s="97" t="s">
        <v>1406</v>
      </c>
      <c r="AB140" s="90" t="s">
        <v>117</v>
      </c>
      <c r="AC140" s="90" t="s">
        <v>117</v>
      </c>
      <c r="AD140" s="146" t="s">
        <v>1409</v>
      </c>
      <c r="AE140" s="90" t="s">
        <v>117</v>
      </c>
      <c r="AF140" s="90" t="s">
        <v>1412</v>
      </c>
      <c r="AG140" s="90" t="s">
        <v>120</v>
      </c>
      <c r="AH140" s="93"/>
      <c r="AI140" s="90" t="s">
        <v>120</v>
      </c>
      <c r="AJ140" s="93"/>
      <c r="AK140" s="93"/>
      <c r="AL140" s="90" t="s">
        <v>128</v>
      </c>
      <c r="AM140" s="90" t="s">
        <v>216</v>
      </c>
      <c r="AN140" s="90" t="s">
        <v>156</v>
      </c>
      <c r="AO140" s="118" t="s">
        <v>138</v>
      </c>
      <c r="AP140" s="59"/>
    </row>
    <row r="141" ht="22.5" customHeight="1">
      <c r="A141" s="116" t="s">
        <v>2919</v>
      </c>
      <c r="B141" s="90" t="s">
        <v>2920</v>
      </c>
      <c r="C141" s="90" t="s">
        <v>2921</v>
      </c>
      <c r="D141" s="91">
        <v>36938.0</v>
      </c>
      <c r="E141" s="90" t="s">
        <v>177</v>
      </c>
      <c r="F141" s="92">
        <v>5.661297047E9</v>
      </c>
      <c r="G141" s="90" t="s">
        <v>2922</v>
      </c>
      <c r="H141" s="90" t="s">
        <v>150</v>
      </c>
      <c r="I141" s="93"/>
      <c r="J141" s="90" t="s">
        <v>2923</v>
      </c>
      <c r="K141" s="90" t="s">
        <v>2924</v>
      </c>
      <c r="L141" s="92">
        <v>5.649161588E9</v>
      </c>
      <c r="M141" s="93"/>
      <c r="N141" s="93"/>
      <c r="O141" s="93"/>
      <c r="P141" s="92">
        <v>25.0</v>
      </c>
      <c r="Q141" s="94">
        <v>46033.49045138889</v>
      </c>
      <c r="R141" s="90" t="s">
        <v>107</v>
      </c>
      <c r="S141" s="90" t="s">
        <v>125</v>
      </c>
      <c r="T141" s="90" t="s">
        <v>192</v>
      </c>
      <c r="U141" s="90" t="s">
        <v>609</v>
      </c>
      <c r="V141" s="90" t="s">
        <v>611</v>
      </c>
      <c r="W141" s="90" t="s">
        <v>612</v>
      </c>
      <c r="X141" s="90" t="s">
        <v>120</v>
      </c>
      <c r="Y141" s="93"/>
      <c r="Z141" s="90" t="s">
        <v>117</v>
      </c>
      <c r="AA141" s="85" t="s">
        <v>2925</v>
      </c>
      <c r="AB141" s="90" t="s">
        <v>117</v>
      </c>
      <c r="AC141" s="90" t="s">
        <v>117</v>
      </c>
      <c r="AD141" s="146" t="s">
        <v>2926</v>
      </c>
      <c r="AE141" s="90" t="s">
        <v>120</v>
      </c>
      <c r="AF141" s="93"/>
      <c r="AG141" s="90" t="s">
        <v>120</v>
      </c>
      <c r="AH141" s="93"/>
      <c r="AI141" s="90" t="s">
        <v>120</v>
      </c>
      <c r="AJ141" s="93"/>
      <c r="AK141" s="93"/>
      <c r="AL141" s="90" t="s">
        <v>156</v>
      </c>
      <c r="AM141" s="90" t="s">
        <v>138</v>
      </c>
      <c r="AN141" s="90" t="s">
        <v>141</v>
      </c>
      <c r="AO141" s="118" t="s">
        <v>126</v>
      </c>
      <c r="AP141" s="59"/>
    </row>
    <row r="142" ht="22.5" customHeight="1">
      <c r="A142" s="116" t="s">
        <v>1567</v>
      </c>
      <c r="B142" s="90" t="s">
        <v>1568</v>
      </c>
      <c r="C142" s="90" t="s">
        <v>1569</v>
      </c>
      <c r="D142" s="91">
        <v>37286.0</v>
      </c>
      <c r="E142" s="90" t="s">
        <v>98</v>
      </c>
      <c r="F142" s="92">
        <v>5.652432265E9</v>
      </c>
      <c r="G142" s="90" t="s">
        <v>1570</v>
      </c>
      <c r="H142" s="90" t="s">
        <v>110</v>
      </c>
      <c r="I142" s="93"/>
      <c r="J142" s="90" t="s">
        <v>1571</v>
      </c>
      <c r="K142" s="90" t="s">
        <v>1573</v>
      </c>
      <c r="L142" s="92">
        <v>5.524065879E9</v>
      </c>
      <c r="M142" s="93"/>
      <c r="N142" s="93"/>
      <c r="O142" s="93"/>
      <c r="P142" s="92">
        <v>24.0</v>
      </c>
      <c r="Q142" s="94">
        <v>46026.403078703705</v>
      </c>
      <c r="R142" s="90" t="s">
        <v>107</v>
      </c>
      <c r="S142" s="90" t="s">
        <v>125</v>
      </c>
      <c r="T142" s="90" t="s">
        <v>208</v>
      </c>
      <c r="U142" s="90" t="s">
        <v>428</v>
      </c>
      <c r="V142" s="90" t="s">
        <v>429</v>
      </c>
      <c r="W142" s="90" t="s">
        <v>430</v>
      </c>
      <c r="X142" s="90" t="s">
        <v>120</v>
      </c>
      <c r="Y142" s="93"/>
      <c r="Z142" s="90" t="s">
        <v>117</v>
      </c>
      <c r="AA142" s="97" t="s">
        <v>1582</v>
      </c>
      <c r="AB142" s="90" t="s">
        <v>120</v>
      </c>
      <c r="AC142" s="93"/>
      <c r="AD142" s="93"/>
      <c r="AE142" s="90" t="s">
        <v>117</v>
      </c>
      <c r="AF142" s="90" t="s">
        <v>366</v>
      </c>
      <c r="AG142" s="90" t="s">
        <v>120</v>
      </c>
      <c r="AH142" s="93"/>
      <c r="AI142" s="90" t="s">
        <v>120</v>
      </c>
      <c r="AJ142" s="93"/>
      <c r="AK142" s="93"/>
      <c r="AL142" s="90" t="s">
        <v>126</v>
      </c>
      <c r="AM142" s="90" t="s">
        <v>129</v>
      </c>
      <c r="AN142" s="90" t="s">
        <v>242</v>
      </c>
      <c r="AO142" s="118" t="s">
        <v>156</v>
      </c>
      <c r="AP142" s="59"/>
    </row>
    <row r="143" ht="22.5" customHeight="1">
      <c r="A143" s="119" t="s">
        <v>1632</v>
      </c>
      <c r="B143" s="79" t="s">
        <v>1633</v>
      </c>
      <c r="C143" s="79" t="s">
        <v>1635</v>
      </c>
      <c r="D143" s="80">
        <v>35692.0</v>
      </c>
      <c r="E143" s="79" t="s">
        <v>177</v>
      </c>
      <c r="F143" s="81">
        <v>5.625165064E9</v>
      </c>
      <c r="G143" s="79" t="s">
        <v>1467</v>
      </c>
      <c r="H143" s="79" t="s">
        <v>150</v>
      </c>
      <c r="I143" s="79" t="s">
        <v>1636</v>
      </c>
      <c r="J143" s="79" t="s">
        <v>1637</v>
      </c>
      <c r="K143" s="79" t="s">
        <v>1470</v>
      </c>
      <c r="L143" s="81">
        <v>5.514126075E9</v>
      </c>
      <c r="M143" s="86"/>
      <c r="N143" s="86"/>
      <c r="O143" s="86"/>
      <c r="P143" s="81">
        <v>28.0</v>
      </c>
      <c r="Q143" s="83">
        <v>46040.51008101852</v>
      </c>
      <c r="R143" s="79" t="s">
        <v>107</v>
      </c>
      <c r="S143" s="79" t="s">
        <v>125</v>
      </c>
      <c r="T143" s="79" t="s">
        <v>111</v>
      </c>
      <c r="U143" s="79" t="s">
        <v>657</v>
      </c>
      <c r="V143" s="79" t="s">
        <v>659</v>
      </c>
      <c r="W143" s="79" t="s">
        <v>662</v>
      </c>
      <c r="X143" s="79" t="s">
        <v>120</v>
      </c>
      <c r="Y143" s="86"/>
      <c r="Z143" s="79" t="s">
        <v>117</v>
      </c>
      <c r="AA143" s="97" t="s">
        <v>1641</v>
      </c>
      <c r="AB143" s="79" t="s">
        <v>117</v>
      </c>
      <c r="AC143" s="79" t="s">
        <v>117</v>
      </c>
      <c r="AD143" s="145" t="s">
        <v>1644</v>
      </c>
      <c r="AE143" s="79" t="s">
        <v>117</v>
      </c>
      <c r="AF143" s="79" t="s">
        <v>366</v>
      </c>
      <c r="AG143" s="79" t="s">
        <v>120</v>
      </c>
      <c r="AH143" s="86"/>
      <c r="AI143" s="79" t="s">
        <v>120</v>
      </c>
      <c r="AJ143" s="86"/>
      <c r="AK143" s="86"/>
      <c r="AL143" s="79" t="s">
        <v>141</v>
      </c>
      <c r="AM143" s="79" t="s">
        <v>138</v>
      </c>
      <c r="AN143" s="79" t="s">
        <v>129</v>
      </c>
      <c r="AO143" s="120" t="s">
        <v>124</v>
      </c>
      <c r="AP143" s="17"/>
    </row>
    <row r="144" ht="22.5" customHeight="1">
      <c r="A144" s="116" t="s">
        <v>1650</v>
      </c>
      <c r="B144" s="90" t="s">
        <v>1651</v>
      </c>
      <c r="C144" s="90" t="s">
        <v>1653</v>
      </c>
      <c r="D144" s="91">
        <v>35211.0</v>
      </c>
      <c r="E144" s="90" t="s">
        <v>98</v>
      </c>
      <c r="F144" s="92">
        <v>5.577562938E9</v>
      </c>
      <c r="G144" s="90" t="s">
        <v>1656</v>
      </c>
      <c r="H144" s="90" t="s">
        <v>140</v>
      </c>
      <c r="I144" s="93"/>
      <c r="J144" s="90" t="s">
        <v>1659</v>
      </c>
      <c r="K144" s="90" t="s">
        <v>1660</v>
      </c>
      <c r="L144" s="92">
        <v>5.57544131E9</v>
      </c>
      <c r="M144" s="93"/>
      <c r="N144" s="93"/>
      <c r="O144" s="93"/>
      <c r="P144" s="92">
        <v>29.0</v>
      </c>
      <c r="Q144" s="94">
        <v>46033.58751157407</v>
      </c>
      <c r="R144" s="90" t="s">
        <v>107</v>
      </c>
      <c r="S144" s="90" t="s">
        <v>125</v>
      </c>
      <c r="T144" s="90" t="s">
        <v>127</v>
      </c>
      <c r="U144" s="90" t="s">
        <v>531</v>
      </c>
      <c r="V144" s="90" t="s">
        <v>532</v>
      </c>
      <c r="W144" s="90" t="s">
        <v>534</v>
      </c>
      <c r="X144" s="90" t="s">
        <v>120</v>
      </c>
      <c r="Y144" s="93"/>
      <c r="Z144" s="90" t="s">
        <v>117</v>
      </c>
      <c r="AA144" s="97" t="s">
        <v>1582</v>
      </c>
      <c r="AB144" s="90" t="s">
        <v>117</v>
      </c>
      <c r="AC144" s="90" t="s">
        <v>117</v>
      </c>
      <c r="AD144" s="146" t="s">
        <v>1053</v>
      </c>
      <c r="AE144" s="90" t="s">
        <v>117</v>
      </c>
      <c r="AF144" s="90" t="s">
        <v>1665</v>
      </c>
      <c r="AG144" s="90" t="s">
        <v>117</v>
      </c>
      <c r="AH144" s="90" t="s">
        <v>1667</v>
      </c>
      <c r="AI144" s="90" t="s">
        <v>120</v>
      </c>
      <c r="AJ144" s="93"/>
      <c r="AK144" s="93"/>
      <c r="AL144" s="90" t="s">
        <v>129</v>
      </c>
      <c r="AM144" s="90" t="s">
        <v>138</v>
      </c>
      <c r="AN144" s="90" t="s">
        <v>242</v>
      </c>
      <c r="AO144" s="118" t="s">
        <v>216</v>
      </c>
      <c r="AP144" s="59"/>
    </row>
    <row r="145" ht="22.5" customHeight="1">
      <c r="A145" s="119" t="s">
        <v>1771</v>
      </c>
      <c r="B145" s="79" t="s">
        <v>1772</v>
      </c>
      <c r="C145" s="86"/>
      <c r="D145" s="80">
        <v>39399.0</v>
      </c>
      <c r="E145" s="79" t="s">
        <v>98</v>
      </c>
      <c r="F145" s="81">
        <v>5.5832508E9</v>
      </c>
      <c r="G145" s="79" t="s">
        <v>1774</v>
      </c>
      <c r="H145" s="79" t="s">
        <v>101</v>
      </c>
      <c r="I145" s="86"/>
      <c r="J145" s="79" t="s">
        <v>1775</v>
      </c>
      <c r="K145" s="79" t="s">
        <v>1776</v>
      </c>
      <c r="L145" s="81">
        <v>5.623930955E9</v>
      </c>
      <c r="M145" s="86"/>
      <c r="N145" s="86"/>
      <c r="O145" s="86"/>
      <c r="P145" s="81">
        <v>18.0</v>
      </c>
      <c r="Q145" s="83">
        <v>46041.39333333333</v>
      </c>
      <c r="R145" s="79" t="s">
        <v>231</v>
      </c>
      <c r="S145" s="79" t="s">
        <v>125</v>
      </c>
      <c r="T145" s="79" t="s">
        <v>208</v>
      </c>
      <c r="U145" s="79" t="s">
        <v>1599</v>
      </c>
      <c r="V145" s="79" t="s">
        <v>1600</v>
      </c>
      <c r="W145" s="79" t="s">
        <v>1602</v>
      </c>
      <c r="X145" s="79" t="s">
        <v>120</v>
      </c>
      <c r="Y145" s="86"/>
      <c r="Z145" s="79" t="s">
        <v>120</v>
      </c>
      <c r="AA145" s="86"/>
      <c r="AB145" s="79" t="s">
        <v>120</v>
      </c>
      <c r="AC145" s="86"/>
      <c r="AD145" s="86"/>
      <c r="AE145" s="79" t="s">
        <v>120</v>
      </c>
      <c r="AF145" s="86"/>
      <c r="AG145" s="79" t="s">
        <v>117</v>
      </c>
      <c r="AH145" s="79" t="s">
        <v>1781</v>
      </c>
      <c r="AI145" s="79" t="s">
        <v>120</v>
      </c>
      <c r="AJ145" s="86"/>
      <c r="AK145" s="86"/>
      <c r="AL145" s="79" t="s">
        <v>185</v>
      </c>
      <c r="AM145" s="79" t="s">
        <v>216</v>
      </c>
      <c r="AN145" s="79" t="s">
        <v>129</v>
      </c>
      <c r="AO145" s="120" t="s">
        <v>124</v>
      </c>
      <c r="AP145" s="17"/>
    </row>
    <row r="146" ht="22.5" customHeight="1">
      <c r="A146" s="119" t="s">
        <v>1807</v>
      </c>
      <c r="B146" s="79" t="s">
        <v>1808</v>
      </c>
      <c r="C146" s="79" t="s">
        <v>1809</v>
      </c>
      <c r="D146" s="80">
        <v>36157.0</v>
      </c>
      <c r="E146" s="79" t="s">
        <v>98</v>
      </c>
      <c r="F146" s="81">
        <v>5.5137558E9</v>
      </c>
      <c r="G146" s="79" t="s">
        <v>1811</v>
      </c>
      <c r="H146" s="79" t="s">
        <v>101</v>
      </c>
      <c r="I146" s="86"/>
      <c r="J146" s="79" t="s">
        <v>1814</v>
      </c>
      <c r="K146" s="79" t="s">
        <v>1815</v>
      </c>
      <c r="L146" s="81">
        <v>5.560447055E9</v>
      </c>
      <c r="M146" s="86"/>
      <c r="N146" s="86"/>
      <c r="O146" s="86"/>
      <c r="P146" s="81">
        <v>27.0</v>
      </c>
      <c r="Q146" s="83">
        <v>46026.72221064815</v>
      </c>
      <c r="R146" s="79" t="s">
        <v>107</v>
      </c>
      <c r="S146" s="79" t="s">
        <v>125</v>
      </c>
      <c r="T146" s="79" t="s">
        <v>208</v>
      </c>
      <c r="U146" s="79" t="s">
        <v>601</v>
      </c>
      <c r="V146" s="79" t="s">
        <v>602</v>
      </c>
      <c r="W146" s="79" t="s">
        <v>603</v>
      </c>
      <c r="X146" s="79" t="s">
        <v>120</v>
      </c>
      <c r="Y146" s="86"/>
      <c r="Z146" s="79" t="s">
        <v>120</v>
      </c>
      <c r="AA146" s="86"/>
      <c r="AB146" s="79" t="s">
        <v>120</v>
      </c>
      <c r="AC146" s="79" t="s">
        <v>120</v>
      </c>
      <c r="AD146" s="86"/>
      <c r="AE146" s="79" t="s">
        <v>120</v>
      </c>
      <c r="AF146" s="86"/>
      <c r="AG146" s="79" t="s">
        <v>117</v>
      </c>
      <c r="AH146" s="123" t="s">
        <v>1828</v>
      </c>
      <c r="AI146" s="79" t="s">
        <v>120</v>
      </c>
      <c r="AJ146" s="86"/>
      <c r="AK146" s="86"/>
      <c r="AL146" s="79" t="s">
        <v>138</v>
      </c>
      <c r="AM146" s="79" t="s">
        <v>128</v>
      </c>
      <c r="AN146" s="79" t="s">
        <v>242</v>
      </c>
      <c r="AO146" s="120" t="s">
        <v>156</v>
      </c>
      <c r="AP146" s="17"/>
    </row>
    <row r="147" ht="22.5" customHeight="1">
      <c r="A147" s="15" t="s">
        <v>2028</v>
      </c>
      <c r="B147" s="15" t="s">
        <v>2029</v>
      </c>
      <c r="C147" s="15" t="s">
        <v>2030</v>
      </c>
      <c r="D147" s="41">
        <v>37650.0</v>
      </c>
      <c r="E147" s="15" t="s">
        <v>177</v>
      </c>
      <c r="F147" s="15">
        <v>5.565253053E9</v>
      </c>
      <c r="G147" s="15" t="s">
        <v>2033</v>
      </c>
      <c r="H147" s="15" t="s">
        <v>140</v>
      </c>
      <c r="I147" s="18"/>
      <c r="J147" s="15" t="s">
        <v>2037</v>
      </c>
      <c r="K147" s="15" t="s">
        <v>2038</v>
      </c>
      <c r="L147" s="20">
        <v>5.526927012E9</v>
      </c>
      <c r="M147" s="18"/>
      <c r="N147" s="18"/>
      <c r="O147" s="18"/>
      <c r="P147" s="20">
        <v>23.0</v>
      </c>
      <c r="Q147" s="22">
        <v>46040.52894675926</v>
      </c>
      <c r="R147" s="15" t="s">
        <v>107</v>
      </c>
      <c r="S147" s="15" t="s">
        <v>125</v>
      </c>
      <c r="T147" s="15" t="s">
        <v>192</v>
      </c>
      <c r="U147" s="15" t="s">
        <v>609</v>
      </c>
      <c r="V147" s="15" t="s">
        <v>611</v>
      </c>
      <c r="W147" s="15" t="s">
        <v>612</v>
      </c>
      <c r="X147" s="15" t="s">
        <v>120</v>
      </c>
      <c r="Y147" s="18"/>
      <c r="Z147" s="15" t="s">
        <v>120</v>
      </c>
      <c r="AA147" s="18"/>
      <c r="AB147" s="15" t="s">
        <v>117</v>
      </c>
      <c r="AC147" s="15" t="s">
        <v>117</v>
      </c>
      <c r="AD147" s="108" t="s">
        <v>365</v>
      </c>
      <c r="AE147" s="15" t="s">
        <v>117</v>
      </c>
      <c r="AF147" s="15" t="s">
        <v>366</v>
      </c>
      <c r="AG147" s="15" t="s">
        <v>120</v>
      </c>
      <c r="AH147" s="18"/>
      <c r="AI147" s="15" t="s">
        <v>120</v>
      </c>
      <c r="AJ147" s="18"/>
      <c r="AK147" s="18"/>
      <c r="AL147" s="15" t="s">
        <v>240</v>
      </c>
      <c r="AM147" s="15" t="s">
        <v>185</v>
      </c>
      <c r="AN147" s="15" t="s">
        <v>242</v>
      </c>
      <c r="AO147" s="15" t="s">
        <v>141</v>
      </c>
      <c r="AP147" s="15"/>
    </row>
    <row r="148" ht="22.5" customHeight="1">
      <c r="A148" s="15" t="s">
        <v>2413</v>
      </c>
      <c r="B148" s="15" t="s">
        <v>2414</v>
      </c>
      <c r="C148" s="15" t="s">
        <v>2415</v>
      </c>
      <c r="D148" s="41">
        <v>35914.0</v>
      </c>
      <c r="E148" s="15" t="s">
        <v>98</v>
      </c>
      <c r="F148" s="15">
        <v>5.549139182E9</v>
      </c>
      <c r="G148" s="15" t="s">
        <v>2416</v>
      </c>
      <c r="H148" s="15" t="s">
        <v>140</v>
      </c>
      <c r="I148" s="15" t="s">
        <v>135</v>
      </c>
      <c r="J148" s="15" t="s">
        <v>2417</v>
      </c>
      <c r="K148" s="15" t="s">
        <v>2418</v>
      </c>
      <c r="L148" s="20">
        <v>5.535002853E9</v>
      </c>
      <c r="M148" s="18"/>
      <c r="N148" s="18"/>
      <c r="O148" s="18"/>
      <c r="P148" s="20">
        <v>27.0</v>
      </c>
      <c r="Q148" s="22">
        <v>46040.41475694445</v>
      </c>
      <c r="R148" s="15" t="s">
        <v>231</v>
      </c>
      <c r="S148" s="15" t="s">
        <v>125</v>
      </c>
      <c r="T148" s="15" t="s">
        <v>192</v>
      </c>
      <c r="U148" s="15" t="s">
        <v>505</v>
      </c>
      <c r="V148" s="15" t="s">
        <v>506</v>
      </c>
      <c r="W148" s="15" t="s">
        <v>507</v>
      </c>
      <c r="X148" s="15" t="s">
        <v>120</v>
      </c>
      <c r="Y148" s="18"/>
      <c r="Z148" s="15" t="s">
        <v>120</v>
      </c>
      <c r="AA148" s="18"/>
      <c r="AB148" s="15" t="s">
        <v>117</v>
      </c>
      <c r="AC148" s="15" t="s">
        <v>117</v>
      </c>
      <c r="AD148" s="108" t="s">
        <v>2423</v>
      </c>
      <c r="AE148" s="15" t="s">
        <v>120</v>
      </c>
      <c r="AF148" s="18"/>
      <c r="AG148" s="15" t="s">
        <v>120</v>
      </c>
      <c r="AH148" s="18"/>
      <c r="AI148" s="15" t="s">
        <v>117</v>
      </c>
      <c r="AJ148" s="15" t="s">
        <v>2427</v>
      </c>
      <c r="AK148" s="18"/>
      <c r="AL148" s="15" t="s">
        <v>138</v>
      </c>
      <c r="AM148" s="15" t="s">
        <v>124</v>
      </c>
      <c r="AN148" s="15" t="s">
        <v>129</v>
      </c>
      <c r="AO148" s="15" t="s">
        <v>242</v>
      </c>
      <c r="AP148" s="15"/>
    </row>
    <row r="149" ht="22.5" customHeight="1">
      <c r="A149" s="15" t="s">
        <v>2450</v>
      </c>
      <c r="B149" s="15" t="s">
        <v>2452</v>
      </c>
      <c r="C149" s="15" t="s">
        <v>61</v>
      </c>
      <c r="D149" s="41">
        <v>38182.0</v>
      </c>
      <c r="E149" s="15" t="s">
        <v>177</v>
      </c>
      <c r="F149" s="15">
        <v>5.52342538E9</v>
      </c>
      <c r="G149" s="15" t="s">
        <v>2454</v>
      </c>
      <c r="H149" s="15" t="s">
        <v>382</v>
      </c>
      <c r="I149" s="18"/>
      <c r="J149" s="15" t="s">
        <v>2456</v>
      </c>
      <c r="K149" s="15" t="s">
        <v>2458</v>
      </c>
      <c r="L149" s="20">
        <v>5.554355822E9</v>
      </c>
      <c r="M149" s="18"/>
      <c r="N149" s="18"/>
      <c r="O149" s="18"/>
      <c r="P149" s="20">
        <v>21.0</v>
      </c>
      <c r="Q149" s="22">
        <v>46026.388287037036</v>
      </c>
      <c r="R149" s="15" t="s">
        <v>107</v>
      </c>
      <c r="S149" s="15" t="s">
        <v>125</v>
      </c>
      <c r="T149" s="15" t="s">
        <v>192</v>
      </c>
      <c r="U149" s="15" t="s">
        <v>195</v>
      </c>
      <c r="V149" s="15" t="s">
        <v>198</v>
      </c>
      <c r="W149" s="15" t="s">
        <v>200</v>
      </c>
      <c r="X149" s="15" t="s">
        <v>120</v>
      </c>
      <c r="Y149" s="18"/>
      <c r="Z149" s="15" t="s">
        <v>120</v>
      </c>
      <c r="AA149" s="18"/>
      <c r="AB149" s="15" t="s">
        <v>117</v>
      </c>
      <c r="AC149" s="15" t="s">
        <v>117</v>
      </c>
      <c r="AD149" s="18"/>
      <c r="AE149" s="15" t="s">
        <v>120</v>
      </c>
      <c r="AF149" s="18"/>
      <c r="AG149" s="15" t="s">
        <v>120</v>
      </c>
      <c r="AH149" s="18"/>
      <c r="AI149" s="15" t="s">
        <v>120</v>
      </c>
      <c r="AJ149" s="18"/>
      <c r="AK149" s="18"/>
      <c r="AL149" s="15" t="s">
        <v>129</v>
      </c>
      <c r="AM149" s="15" t="s">
        <v>156</v>
      </c>
      <c r="AN149" s="15" t="s">
        <v>138</v>
      </c>
      <c r="AO149" s="15" t="s">
        <v>128</v>
      </c>
      <c r="AP149" s="15"/>
    </row>
    <row r="150" ht="22.5" customHeight="1">
      <c r="A150" s="119" t="s">
        <v>2544</v>
      </c>
      <c r="B150" s="79" t="s">
        <v>103</v>
      </c>
      <c r="C150" s="79" t="s">
        <v>121</v>
      </c>
      <c r="D150" s="80">
        <v>38594.0</v>
      </c>
      <c r="E150" s="79" t="s">
        <v>98</v>
      </c>
      <c r="F150" s="81">
        <v>5.616129315E9</v>
      </c>
      <c r="G150" s="79" t="s">
        <v>2546</v>
      </c>
      <c r="H150" s="79" t="s">
        <v>101</v>
      </c>
      <c r="I150" s="86"/>
      <c r="J150" s="79" t="s">
        <v>2549</v>
      </c>
      <c r="K150" s="79" t="s">
        <v>118</v>
      </c>
      <c r="L150" s="81">
        <v>5.518897341E9</v>
      </c>
      <c r="M150" s="79" t="s">
        <v>2554</v>
      </c>
      <c r="N150" s="79" t="s">
        <v>834</v>
      </c>
      <c r="O150" s="81">
        <v>5.53040827E9</v>
      </c>
      <c r="P150" s="81">
        <v>20.0</v>
      </c>
      <c r="Q150" s="83">
        <v>46033.90505787037</v>
      </c>
      <c r="R150" s="79" t="s">
        <v>107</v>
      </c>
      <c r="S150" s="79" t="s">
        <v>125</v>
      </c>
      <c r="T150" s="79" t="s">
        <v>127</v>
      </c>
      <c r="U150" s="79" t="s">
        <v>130</v>
      </c>
      <c r="V150" s="79" t="s">
        <v>131</v>
      </c>
      <c r="W150" s="79" t="s">
        <v>132</v>
      </c>
      <c r="X150" s="79" t="s">
        <v>120</v>
      </c>
      <c r="Y150" s="86"/>
      <c r="Z150" s="79" t="s">
        <v>117</v>
      </c>
      <c r="AA150" s="97" t="s">
        <v>2558</v>
      </c>
      <c r="AB150" s="79" t="s">
        <v>120</v>
      </c>
      <c r="AC150" s="79" t="s">
        <v>120</v>
      </c>
      <c r="AD150" s="86"/>
      <c r="AE150" s="79" t="s">
        <v>117</v>
      </c>
      <c r="AF150" s="79" t="s">
        <v>2559</v>
      </c>
      <c r="AG150" s="79" t="s">
        <v>120</v>
      </c>
      <c r="AH150" s="86"/>
      <c r="AI150" s="79" t="s">
        <v>120</v>
      </c>
      <c r="AJ150" s="86"/>
      <c r="AK150" s="86"/>
      <c r="AL150" s="79" t="s">
        <v>126</v>
      </c>
      <c r="AM150" s="79" t="s">
        <v>138</v>
      </c>
      <c r="AN150" s="79" t="s">
        <v>128</v>
      </c>
      <c r="AO150" s="120" t="s">
        <v>156</v>
      </c>
      <c r="AP150" s="17"/>
    </row>
    <row r="151" ht="22.5" customHeight="1">
      <c r="A151" s="116" t="s">
        <v>2564</v>
      </c>
      <c r="B151" s="90" t="s">
        <v>2566</v>
      </c>
      <c r="C151" s="90" t="s">
        <v>2568</v>
      </c>
      <c r="D151" s="91">
        <v>38726.0</v>
      </c>
      <c r="E151" s="90" t="s">
        <v>98</v>
      </c>
      <c r="F151" s="92">
        <v>5.648747442E9</v>
      </c>
      <c r="G151" s="90" t="s">
        <v>2570</v>
      </c>
      <c r="H151" s="90" t="s">
        <v>140</v>
      </c>
      <c r="I151" s="93"/>
      <c r="J151" s="90" t="s">
        <v>2572</v>
      </c>
      <c r="K151" s="90" t="s">
        <v>2574</v>
      </c>
      <c r="L151" s="92">
        <v>5.621647192E9</v>
      </c>
      <c r="M151" s="93"/>
      <c r="N151" s="93"/>
      <c r="O151" s="93"/>
      <c r="P151" s="92">
        <v>20.0</v>
      </c>
      <c r="Q151" s="94">
        <v>45999.772210648145</v>
      </c>
      <c r="R151" s="90" t="s">
        <v>546</v>
      </c>
      <c r="S151" s="90" t="s">
        <v>125</v>
      </c>
      <c r="T151" s="90" t="s">
        <v>2579</v>
      </c>
      <c r="U151" s="90" t="s">
        <v>2581</v>
      </c>
      <c r="V151" s="90" t="s">
        <v>2582</v>
      </c>
      <c r="W151" s="90" t="s">
        <v>2583</v>
      </c>
      <c r="X151" s="90" t="s">
        <v>120</v>
      </c>
      <c r="Y151" s="93"/>
      <c r="Z151" s="90" t="s">
        <v>120</v>
      </c>
      <c r="AA151" s="93"/>
      <c r="AB151" s="90" t="s">
        <v>117</v>
      </c>
      <c r="AC151" s="90" t="s">
        <v>117</v>
      </c>
      <c r="AD151" s="92">
        <v>2.0</v>
      </c>
      <c r="AE151" s="90" t="s">
        <v>120</v>
      </c>
      <c r="AF151" s="93"/>
      <c r="AG151" s="90" t="s">
        <v>120</v>
      </c>
      <c r="AH151" s="93"/>
      <c r="AI151" s="90" t="s">
        <v>120</v>
      </c>
      <c r="AJ151" s="93"/>
      <c r="AK151" s="93"/>
      <c r="AL151" s="90" t="s">
        <v>156</v>
      </c>
      <c r="AM151" s="90" t="s">
        <v>124</v>
      </c>
      <c r="AN151" s="90" t="s">
        <v>185</v>
      </c>
      <c r="AO151" s="118" t="s">
        <v>216</v>
      </c>
      <c r="AP151" s="59"/>
    </row>
    <row r="152" ht="22.5" customHeight="1">
      <c r="A152" s="119" t="s">
        <v>2587</v>
      </c>
      <c r="B152" s="79" t="s">
        <v>2588</v>
      </c>
      <c r="C152" s="79" t="s">
        <v>2589</v>
      </c>
      <c r="D152" s="80">
        <v>37393.0</v>
      </c>
      <c r="E152" s="79" t="s">
        <v>98</v>
      </c>
      <c r="F152" s="81">
        <v>5.538793119E9</v>
      </c>
      <c r="G152" s="79" t="s">
        <v>2590</v>
      </c>
      <c r="H152" s="79" t="s">
        <v>382</v>
      </c>
      <c r="I152" s="86"/>
      <c r="J152" s="79" t="s">
        <v>2591</v>
      </c>
      <c r="K152" s="79" t="s">
        <v>2592</v>
      </c>
      <c r="L152" s="81">
        <v>5.532255001E9</v>
      </c>
      <c r="M152" s="86"/>
      <c r="N152" s="86"/>
      <c r="O152" s="86"/>
      <c r="P152" s="81">
        <v>23.0</v>
      </c>
      <c r="Q152" s="83">
        <v>46024.85403935185</v>
      </c>
      <c r="R152" s="79" t="s">
        <v>107</v>
      </c>
      <c r="S152" s="79" t="s">
        <v>125</v>
      </c>
      <c r="T152" s="79" t="s">
        <v>171</v>
      </c>
      <c r="U152" s="79" t="s">
        <v>526</v>
      </c>
      <c r="V152" s="79" t="s">
        <v>527</v>
      </c>
      <c r="W152" s="79" t="s">
        <v>528</v>
      </c>
      <c r="X152" s="79" t="s">
        <v>120</v>
      </c>
      <c r="Y152" s="86"/>
      <c r="Z152" s="79" t="s">
        <v>120</v>
      </c>
      <c r="AA152" s="86"/>
      <c r="AB152" s="79" t="s">
        <v>117</v>
      </c>
      <c r="AC152" s="79" t="s">
        <v>117</v>
      </c>
      <c r="AD152" s="145" t="s">
        <v>2600</v>
      </c>
      <c r="AE152" s="79" t="s">
        <v>120</v>
      </c>
      <c r="AF152" s="86"/>
      <c r="AG152" s="79" t="s">
        <v>120</v>
      </c>
      <c r="AH152" s="86"/>
      <c r="AI152" s="79" t="s">
        <v>120</v>
      </c>
      <c r="AJ152" s="86"/>
      <c r="AK152" s="86"/>
      <c r="AL152" s="79" t="s">
        <v>124</v>
      </c>
      <c r="AM152" s="79" t="s">
        <v>141</v>
      </c>
      <c r="AN152" s="79" t="s">
        <v>129</v>
      </c>
      <c r="AO152" s="120" t="s">
        <v>242</v>
      </c>
      <c r="AP152" s="17"/>
    </row>
    <row r="153" ht="22.5" customHeight="1">
      <c r="A153" s="116" t="s">
        <v>2517</v>
      </c>
      <c r="B153" s="90" t="s">
        <v>2518</v>
      </c>
      <c r="C153" s="90" t="s">
        <v>2519</v>
      </c>
      <c r="D153" s="91">
        <v>37686.0</v>
      </c>
      <c r="E153" s="90" t="s">
        <v>98</v>
      </c>
      <c r="F153" s="92">
        <v>5.550670823E9</v>
      </c>
      <c r="G153" s="90" t="s">
        <v>2522</v>
      </c>
      <c r="H153" s="90" t="s">
        <v>101</v>
      </c>
      <c r="I153" s="90" t="s">
        <v>135</v>
      </c>
      <c r="J153" s="90" t="s">
        <v>2524</v>
      </c>
      <c r="K153" s="90" t="s">
        <v>2522</v>
      </c>
      <c r="L153" s="92">
        <v>5.554240848E9</v>
      </c>
      <c r="M153" s="93"/>
      <c r="N153" s="93"/>
      <c r="O153" s="93"/>
      <c r="P153" s="92">
        <v>22.0</v>
      </c>
      <c r="Q153" s="94">
        <v>46033.51980324074</v>
      </c>
      <c r="R153" s="90" t="s">
        <v>107</v>
      </c>
      <c r="S153" s="90" t="s">
        <v>125</v>
      </c>
      <c r="T153" s="90" t="s">
        <v>171</v>
      </c>
      <c r="U153" s="90" t="s">
        <v>1474</v>
      </c>
      <c r="V153" s="90" t="s">
        <v>1475</v>
      </c>
      <c r="W153" s="90" t="s">
        <v>1476</v>
      </c>
      <c r="X153" s="90" t="s">
        <v>120</v>
      </c>
      <c r="Y153" s="93"/>
      <c r="Z153" s="90" t="s">
        <v>120</v>
      </c>
      <c r="AA153" s="93"/>
      <c r="AB153" s="90" t="s">
        <v>120</v>
      </c>
      <c r="AC153" s="93"/>
      <c r="AD153" s="93"/>
      <c r="AE153" s="90" t="s">
        <v>117</v>
      </c>
      <c r="AF153" s="90" t="s">
        <v>2529</v>
      </c>
      <c r="AG153" s="90" t="s">
        <v>120</v>
      </c>
      <c r="AH153" s="93"/>
      <c r="AI153" s="90" t="s">
        <v>117</v>
      </c>
      <c r="AJ153" s="90" t="s">
        <v>2530</v>
      </c>
      <c r="AK153" s="90" t="s">
        <v>2531</v>
      </c>
      <c r="AL153" s="90" t="s">
        <v>126</v>
      </c>
      <c r="AM153" s="90" t="s">
        <v>216</v>
      </c>
      <c r="AN153" s="90" t="s">
        <v>240</v>
      </c>
      <c r="AO153" s="118" t="s">
        <v>141</v>
      </c>
      <c r="AP153" s="59"/>
    </row>
    <row r="154" ht="22.5" customHeight="1">
      <c r="A154" s="119" t="s">
        <v>2782</v>
      </c>
      <c r="B154" s="79" t="s">
        <v>2783</v>
      </c>
      <c r="C154" s="79" t="s">
        <v>2784</v>
      </c>
      <c r="D154" s="80">
        <v>37120.0</v>
      </c>
      <c r="E154" s="79" t="s">
        <v>98</v>
      </c>
      <c r="F154" s="81">
        <v>5.513963517E9</v>
      </c>
      <c r="G154" s="79" t="s">
        <v>2785</v>
      </c>
      <c r="H154" s="79" t="s">
        <v>150</v>
      </c>
      <c r="I154" s="79" t="s">
        <v>2786</v>
      </c>
      <c r="J154" s="79" t="s">
        <v>2787</v>
      </c>
      <c r="K154" s="79" t="s">
        <v>2788</v>
      </c>
      <c r="L154" s="81">
        <v>5.573481742E9</v>
      </c>
      <c r="M154" s="86"/>
      <c r="N154" s="86"/>
      <c r="O154" s="86"/>
      <c r="P154" s="81">
        <v>24.0</v>
      </c>
      <c r="Q154" s="83">
        <v>46026.67153935185</v>
      </c>
      <c r="R154" s="79" t="s">
        <v>107</v>
      </c>
      <c r="S154" s="79" t="s">
        <v>125</v>
      </c>
      <c r="T154" s="79" t="s">
        <v>192</v>
      </c>
      <c r="U154" s="79" t="s">
        <v>609</v>
      </c>
      <c r="V154" s="79" t="s">
        <v>611</v>
      </c>
      <c r="W154" s="79" t="s">
        <v>612</v>
      </c>
      <c r="X154" s="79" t="s">
        <v>120</v>
      </c>
      <c r="Y154" s="86"/>
      <c r="Z154" s="79" t="s">
        <v>117</v>
      </c>
      <c r="AA154" s="97" t="s">
        <v>2796</v>
      </c>
      <c r="AB154" s="79" t="s">
        <v>117</v>
      </c>
      <c r="AC154" s="79" t="s">
        <v>117</v>
      </c>
      <c r="AD154" s="86"/>
      <c r="AE154" s="79" t="s">
        <v>120</v>
      </c>
      <c r="AF154" s="86"/>
      <c r="AG154" s="79" t="s">
        <v>120</v>
      </c>
      <c r="AH154" s="86"/>
      <c r="AI154" s="79" t="s">
        <v>120</v>
      </c>
      <c r="AJ154" s="86"/>
      <c r="AK154" s="86"/>
      <c r="AL154" s="79" t="s">
        <v>128</v>
      </c>
      <c r="AM154" s="79" t="s">
        <v>156</v>
      </c>
      <c r="AN154" s="79" t="s">
        <v>138</v>
      </c>
      <c r="AO154" s="120" t="s">
        <v>242</v>
      </c>
      <c r="AP154" s="17"/>
    </row>
    <row r="155" ht="22.5" customHeight="1">
      <c r="A155" s="116" t="s">
        <v>2810</v>
      </c>
      <c r="B155" s="90" t="s">
        <v>2811</v>
      </c>
      <c r="C155" s="90" t="s">
        <v>2812</v>
      </c>
      <c r="D155" s="91">
        <v>35342.0</v>
      </c>
      <c r="E155" s="90" t="s">
        <v>177</v>
      </c>
      <c r="F155" s="92">
        <v>5.523639983E9</v>
      </c>
      <c r="G155" s="90" t="s">
        <v>2813</v>
      </c>
      <c r="H155" s="90" t="s">
        <v>150</v>
      </c>
      <c r="I155" s="93"/>
      <c r="J155" s="90" t="s">
        <v>2814</v>
      </c>
      <c r="K155" s="90" t="s">
        <v>2815</v>
      </c>
      <c r="L155" s="92">
        <v>5.538261898E9</v>
      </c>
      <c r="M155" s="93"/>
      <c r="N155" s="93"/>
      <c r="O155" s="93"/>
      <c r="P155" s="92">
        <v>29.0</v>
      </c>
      <c r="Q155" s="94">
        <v>46021.40256944444</v>
      </c>
      <c r="R155" s="90" t="s">
        <v>107</v>
      </c>
      <c r="S155" s="90" t="s">
        <v>125</v>
      </c>
      <c r="T155" s="90" t="s">
        <v>160</v>
      </c>
      <c r="U155" s="90" t="s">
        <v>279</v>
      </c>
      <c r="V155" s="90" t="s">
        <v>280</v>
      </c>
      <c r="W155" s="90" t="s">
        <v>282</v>
      </c>
      <c r="X155" s="90" t="s">
        <v>120</v>
      </c>
      <c r="Y155" s="93"/>
      <c r="Z155" s="90" t="s">
        <v>120</v>
      </c>
      <c r="AA155" s="93"/>
      <c r="AB155" s="90" t="s">
        <v>117</v>
      </c>
      <c r="AC155" s="90" t="s">
        <v>117</v>
      </c>
      <c r="AD155" s="146" t="s">
        <v>2818</v>
      </c>
      <c r="AE155" s="90" t="s">
        <v>120</v>
      </c>
      <c r="AF155" s="93"/>
      <c r="AG155" s="90" t="s">
        <v>120</v>
      </c>
      <c r="AH155" s="93"/>
      <c r="AI155" s="90" t="s">
        <v>120</v>
      </c>
      <c r="AJ155" s="93"/>
      <c r="AK155" s="90" t="s">
        <v>2824</v>
      </c>
      <c r="AL155" s="90" t="s">
        <v>141</v>
      </c>
      <c r="AM155" s="90" t="s">
        <v>126</v>
      </c>
      <c r="AN155" s="90" t="s">
        <v>156</v>
      </c>
      <c r="AO155" s="118" t="s">
        <v>128</v>
      </c>
      <c r="AP155" s="59"/>
    </row>
    <row r="156" ht="22.5" customHeight="1">
      <c r="A156" s="116" t="s">
        <v>2990</v>
      </c>
      <c r="B156" s="90" t="s">
        <v>2991</v>
      </c>
      <c r="C156" s="90" t="s">
        <v>2995</v>
      </c>
      <c r="D156" s="91">
        <v>38354.0</v>
      </c>
      <c r="E156" s="90" t="s">
        <v>98</v>
      </c>
      <c r="F156" s="92">
        <v>5.521376187E9</v>
      </c>
      <c r="G156" s="90" t="s">
        <v>2998</v>
      </c>
      <c r="H156" s="90" t="s">
        <v>101</v>
      </c>
      <c r="I156" s="93"/>
      <c r="J156" s="90" t="s">
        <v>2999</v>
      </c>
      <c r="K156" s="90" t="s">
        <v>3000</v>
      </c>
      <c r="L156" s="92" t="s">
        <v>3001</v>
      </c>
      <c r="M156" s="93"/>
      <c r="N156" s="93"/>
      <c r="O156" s="93"/>
      <c r="P156" s="92">
        <v>21.0</v>
      </c>
      <c r="Q156" s="94">
        <v>46038.898125</v>
      </c>
      <c r="R156" s="90" t="s">
        <v>107</v>
      </c>
      <c r="S156" s="90" t="s">
        <v>125</v>
      </c>
      <c r="T156" s="90" t="s">
        <v>160</v>
      </c>
      <c r="U156" s="90" t="s">
        <v>308</v>
      </c>
      <c r="V156" s="90" t="s">
        <v>309</v>
      </c>
      <c r="W156" s="90" t="s">
        <v>310</v>
      </c>
      <c r="X156" s="90" t="s">
        <v>120</v>
      </c>
      <c r="Y156" s="93"/>
      <c r="Z156" s="90" t="s">
        <v>120</v>
      </c>
      <c r="AA156" s="93"/>
      <c r="AB156" s="90" t="s">
        <v>117</v>
      </c>
      <c r="AC156" s="90" t="s">
        <v>117</v>
      </c>
      <c r="AD156" s="146" t="s">
        <v>1639</v>
      </c>
      <c r="AE156" s="90" t="s">
        <v>120</v>
      </c>
      <c r="AF156" s="93"/>
      <c r="AG156" s="90" t="s">
        <v>120</v>
      </c>
      <c r="AH156" s="93"/>
      <c r="AI156" s="90" t="s">
        <v>120</v>
      </c>
      <c r="AJ156" s="93"/>
      <c r="AK156" s="93"/>
      <c r="AL156" s="90" t="s">
        <v>240</v>
      </c>
      <c r="AM156" s="90" t="s">
        <v>185</v>
      </c>
      <c r="AN156" s="90" t="s">
        <v>126</v>
      </c>
      <c r="AO156" s="118" t="s">
        <v>156</v>
      </c>
      <c r="AP156" s="59"/>
    </row>
    <row r="157" ht="22.5" customHeight="1">
      <c r="A157" s="119" t="s">
        <v>3069</v>
      </c>
      <c r="B157" s="79" t="s">
        <v>3070</v>
      </c>
      <c r="C157" s="79" t="s">
        <v>3077</v>
      </c>
      <c r="D157" s="80">
        <v>38511.0</v>
      </c>
      <c r="E157" s="79" t="s">
        <v>98</v>
      </c>
      <c r="F157" s="81">
        <v>5.624051722E9</v>
      </c>
      <c r="G157" s="79" t="s">
        <v>3087</v>
      </c>
      <c r="H157" s="79" t="s">
        <v>140</v>
      </c>
      <c r="I157" s="86"/>
      <c r="J157" s="79" t="s">
        <v>3088</v>
      </c>
      <c r="K157" s="79" t="s">
        <v>3089</v>
      </c>
      <c r="L157" s="81">
        <v>5.55334649E9</v>
      </c>
      <c r="M157" s="86"/>
      <c r="N157" s="86"/>
      <c r="O157" s="86"/>
      <c r="P157" s="81">
        <v>20.0</v>
      </c>
      <c r="Q157" s="83">
        <v>46039.909050925926</v>
      </c>
      <c r="R157" s="79" t="s">
        <v>231</v>
      </c>
      <c r="S157" s="79" t="s">
        <v>125</v>
      </c>
      <c r="T157" s="79" t="s">
        <v>171</v>
      </c>
      <c r="U157" s="79" t="s">
        <v>1474</v>
      </c>
      <c r="V157" s="79" t="s">
        <v>1475</v>
      </c>
      <c r="W157" s="79" t="s">
        <v>1476</v>
      </c>
      <c r="X157" s="79" t="s">
        <v>120</v>
      </c>
      <c r="Y157" s="86"/>
      <c r="Z157" s="79" t="s">
        <v>120</v>
      </c>
      <c r="AA157" s="86"/>
      <c r="AB157" s="79" t="s">
        <v>117</v>
      </c>
      <c r="AC157" s="79" t="s">
        <v>117</v>
      </c>
      <c r="AD157" s="86"/>
      <c r="AE157" s="79" t="s">
        <v>117</v>
      </c>
      <c r="AF157" s="79" t="s">
        <v>3118</v>
      </c>
      <c r="AG157" s="79" t="s">
        <v>120</v>
      </c>
      <c r="AH157" s="86"/>
      <c r="AI157" s="79" t="s">
        <v>120</v>
      </c>
      <c r="AJ157" s="86"/>
      <c r="AK157" s="86"/>
      <c r="AL157" s="79" t="s">
        <v>138</v>
      </c>
      <c r="AM157" s="79" t="s">
        <v>128</v>
      </c>
      <c r="AN157" s="79" t="s">
        <v>124</v>
      </c>
      <c r="AO157" s="120" t="s">
        <v>126</v>
      </c>
      <c r="AP157" s="17"/>
    </row>
    <row r="158" ht="22.5" customHeight="1">
      <c r="A158" s="119" t="s">
        <v>3185</v>
      </c>
      <c r="B158" s="79" t="s">
        <v>2220</v>
      </c>
      <c r="C158" s="79" t="s">
        <v>3189</v>
      </c>
      <c r="D158" s="80">
        <v>38227.0</v>
      </c>
      <c r="E158" s="79" t="s">
        <v>98</v>
      </c>
      <c r="F158" s="79" t="s">
        <v>3194</v>
      </c>
      <c r="G158" s="79" t="s">
        <v>3195</v>
      </c>
      <c r="H158" s="79" t="s">
        <v>140</v>
      </c>
      <c r="I158" s="86"/>
      <c r="J158" s="79" t="s">
        <v>2229</v>
      </c>
      <c r="K158" s="79" t="s">
        <v>3197</v>
      </c>
      <c r="L158" s="81" t="str">
        <f>+52 55 3462 1137</f>
        <v>#ERROR!</v>
      </c>
      <c r="M158" s="86"/>
      <c r="N158" s="86"/>
      <c r="O158" s="86"/>
      <c r="P158" s="81">
        <v>21.0</v>
      </c>
      <c r="Q158" s="83">
        <v>45979.5841087963</v>
      </c>
      <c r="R158" s="79" t="s">
        <v>107</v>
      </c>
      <c r="S158" s="79" t="s">
        <v>125</v>
      </c>
      <c r="T158" s="79" t="s">
        <v>204</v>
      </c>
      <c r="U158" s="79" t="s">
        <v>205</v>
      </c>
      <c r="V158" s="79" t="s">
        <v>206</v>
      </c>
      <c r="W158" s="79" t="s">
        <v>207</v>
      </c>
      <c r="X158" s="79" t="s">
        <v>120</v>
      </c>
      <c r="Y158" s="86"/>
      <c r="Z158" s="79" t="s">
        <v>120</v>
      </c>
      <c r="AA158" s="86"/>
      <c r="AB158" s="79" t="s">
        <v>117</v>
      </c>
      <c r="AC158" s="79" t="s">
        <v>117</v>
      </c>
      <c r="AD158" s="145" t="s">
        <v>3211</v>
      </c>
      <c r="AE158" s="79" t="s">
        <v>117</v>
      </c>
      <c r="AF158" s="79" t="s">
        <v>3217</v>
      </c>
      <c r="AG158" s="79" t="s">
        <v>120</v>
      </c>
      <c r="AH158" s="86"/>
      <c r="AI158" s="79" t="s">
        <v>120</v>
      </c>
      <c r="AJ158" s="86"/>
      <c r="AK158" s="86"/>
      <c r="AL158" s="79" t="s">
        <v>185</v>
      </c>
      <c r="AM158" s="79" t="s">
        <v>138</v>
      </c>
      <c r="AN158" s="79" t="s">
        <v>240</v>
      </c>
      <c r="AO158" s="120" t="s">
        <v>129</v>
      </c>
      <c r="AP158" s="17"/>
    </row>
    <row r="159" ht="22.5" customHeight="1">
      <c r="A159" s="116" t="s">
        <v>2532</v>
      </c>
      <c r="B159" s="90" t="s">
        <v>2533</v>
      </c>
      <c r="C159" s="90" t="s">
        <v>2535</v>
      </c>
      <c r="D159" s="91">
        <v>37728.0</v>
      </c>
      <c r="E159" s="90" t="s">
        <v>98</v>
      </c>
      <c r="F159" s="92">
        <v>2.321175658E9</v>
      </c>
      <c r="G159" s="90" t="s">
        <v>2538</v>
      </c>
      <c r="H159" s="90" t="s">
        <v>150</v>
      </c>
      <c r="I159" s="93"/>
      <c r="J159" s="90" t="s">
        <v>2540</v>
      </c>
      <c r="K159" s="90" t="s">
        <v>2541</v>
      </c>
      <c r="L159" s="92">
        <v>2.212231159E9</v>
      </c>
      <c r="M159" s="93"/>
      <c r="N159" s="93"/>
      <c r="O159" s="93"/>
      <c r="P159" s="92">
        <v>22.0</v>
      </c>
      <c r="Q159" s="94">
        <v>45979.6325462963</v>
      </c>
      <c r="R159" s="90" t="s">
        <v>107</v>
      </c>
      <c r="S159" s="90" t="s">
        <v>125</v>
      </c>
      <c r="T159" s="90" t="s">
        <v>2547</v>
      </c>
      <c r="U159" s="90" t="s">
        <v>2548</v>
      </c>
      <c r="V159" s="90" t="s">
        <v>2550</v>
      </c>
      <c r="W159" s="90" t="s">
        <v>2552</v>
      </c>
      <c r="X159" s="90" t="s">
        <v>120</v>
      </c>
      <c r="Y159" s="93"/>
      <c r="Z159" s="90" t="s">
        <v>120</v>
      </c>
      <c r="AA159" s="93"/>
      <c r="AB159" s="90" t="s">
        <v>117</v>
      </c>
      <c r="AC159" s="90" t="s">
        <v>120</v>
      </c>
      <c r="AD159" s="146" t="s">
        <v>2555</v>
      </c>
      <c r="AE159" s="90" t="s">
        <v>120</v>
      </c>
      <c r="AF159" s="93"/>
      <c r="AG159" s="90" t="s">
        <v>120</v>
      </c>
      <c r="AH159" s="93"/>
      <c r="AI159" s="90" t="s">
        <v>117</v>
      </c>
      <c r="AJ159" s="90" t="s">
        <v>2557</v>
      </c>
      <c r="AK159" s="93"/>
      <c r="AL159" s="90" t="s">
        <v>141</v>
      </c>
      <c r="AM159" s="90" t="s">
        <v>138</v>
      </c>
      <c r="AN159" s="90" t="s">
        <v>156</v>
      </c>
      <c r="AO159" s="118" t="s">
        <v>124</v>
      </c>
      <c r="AP159" s="59"/>
    </row>
    <row r="160" ht="22.5" customHeight="1">
      <c r="A160" s="15" t="s">
        <v>4249</v>
      </c>
      <c r="B160" s="15" t="s">
        <v>4157</v>
      </c>
      <c r="C160" s="15" t="s">
        <v>4253</v>
      </c>
      <c r="D160" s="41">
        <v>37482.0</v>
      </c>
      <c r="E160" s="15" t="s">
        <v>177</v>
      </c>
      <c r="F160" s="15">
        <v>5.551638874E9</v>
      </c>
      <c r="G160" s="15" t="s">
        <v>4261</v>
      </c>
      <c r="H160" s="15" t="s">
        <v>150</v>
      </c>
      <c r="I160" s="18"/>
      <c r="J160" s="15" t="s">
        <v>4264</v>
      </c>
      <c r="K160" s="15" t="s">
        <v>4267</v>
      </c>
      <c r="L160" s="20" t="s">
        <v>4271</v>
      </c>
      <c r="M160" s="18"/>
      <c r="N160" s="18"/>
      <c r="O160" s="18"/>
      <c r="P160" s="20">
        <v>23.0</v>
      </c>
      <c r="Q160" s="22">
        <v>46038.7559837963</v>
      </c>
      <c r="R160" s="15" t="s">
        <v>107</v>
      </c>
      <c r="S160" s="15" t="s">
        <v>125</v>
      </c>
      <c r="T160" s="15" t="s">
        <v>204</v>
      </c>
      <c r="U160" s="15" t="s">
        <v>357</v>
      </c>
      <c r="V160" s="15" t="s">
        <v>359</v>
      </c>
      <c r="W160" s="15" t="s">
        <v>362</v>
      </c>
      <c r="X160" s="15" t="s">
        <v>120</v>
      </c>
      <c r="Y160" s="18"/>
      <c r="Z160" s="15" t="s">
        <v>120</v>
      </c>
      <c r="AA160" s="18"/>
      <c r="AB160" s="15" t="s">
        <v>120</v>
      </c>
      <c r="AC160" s="15" t="s">
        <v>120</v>
      </c>
      <c r="AD160" s="18"/>
      <c r="AE160" s="15" t="s">
        <v>117</v>
      </c>
      <c r="AF160" s="15" t="s">
        <v>4278</v>
      </c>
      <c r="AG160" s="15" t="s">
        <v>120</v>
      </c>
      <c r="AH160" s="18"/>
      <c r="AI160" s="15" t="s">
        <v>120</v>
      </c>
      <c r="AJ160" s="18"/>
      <c r="AK160" s="18"/>
      <c r="AL160" s="15" t="s">
        <v>240</v>
      </c>
      <c r="AM160" s="15" t="s">
        <v>216</v>
      </c>
      <c r="AN160" s="15" t="s">
        <v>129</v>
      </c>
      <c r="AO160" s="15" t="s">
        <v>156</v>
      </c>
      <c r="AP160" s="15"/>
    </row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9" width="13.5"/>
    <col customWidth="1" min="10" max="41" width="14.38"/>
  </cols>
  <sheetData>
    <row r="1" ht="22.5" customHeight="1">
      <c r="A1" s="4" t="s">
        <v>2</v>
      </c>
      <c r="B1" s="4" t="s">
        <v>5</v>
      </c>
      <c r="C1" s="4" t="s">
        <v>6</v>
      </c>
      <c r="D1" s="4" t="s">
        <v>1</v>
      </c>
      <c r="E1" s="4" t="s">
        <v>7</v>
      </c>
      <c r="F1" s="4" t="s">
        <v>9</v>
      </c>
      <c r="G1" s="4" t="s">
        <v>10</v>
      </c>
      <c r="H1" s="4" t="s">
        <v>11</v>
      </c>
      <c r="I1" s="9" t="s">
        <v>12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25</v>
      </c>
      <c r="T1" s="4" t="s">
        <v>26</v>
      </c>
      <c r="U1" s="4" t="s">
        <v>27</v>
      </c>
      <c r="V1" s="4" t="s">
        <v>29</v>
      </c>
      <c r="W1" s="4" t="s">
        <v>30</v>
      </c>
      <c r="X1" s="9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38</v>
      </c>
      <c r="AD1" s="4" t="s">
        <v>40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47</v>
      </c>
      <c r="AJ1" s="4" t="s">
        <v>48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58</v>
      </c>
    </row>
    <row r="2" ht="22.5" customHeight="1">
      <c r="A2" s="23"/>
      <c r="B2" s="23"/>
      <c r="C2" s="23"/>
      <c r="D2" s="68"/>
      <c r="E2" s="23"/>
      <c r="F2" s="23"/>
      <c r="G2" s="23"/>
      <c r="H2" s="23"/>
      <c r="I2" s="23"/>
      <c r="J2" s="23"/>
      <c r="K2" s="23"/>
      <c r="L2" s="23"/>
      <c r="M2" s="69"/>
      <c r="N2" s="69"/>
      <c r="O2" s="69"/>
      <c r="P2" s="70"/>
      <c r="Q2" s="71"/>
      <c r="R2" s="23"/>
      <c r="S2" s="23"/>
      <c r="T2" s="23"/>
      <c r="U2" s="23"/>
      <c r="V2" s="23"/>
      <c r="W2" s="23"/>
      <c r="X2" s="23"/>
      <c r="Y2" s="23"/>
      <c r="Z2" s="23"/>
      <c r="AA2" s="24"/>
      <c r="AB2" s="23"/>
      <c r="AC2" s="23"/>
      <c r="AD2" s="69"/>
      <c r="AE2" s="23"/>
      <c r="AF2" s="69"/>
      <c r="AG2" s="23"/>
      <c r="AH2" s="69"/>
      <c r="AI2" s="23"/>
      <c r="AJ2" s="23"/>
      <c r="AK2" s="69"/>
      <c r="AL2" s="23"/>
      <c r="AM2" s="23"/>
      <c r="AN2" s="23"/>
      <c r="AO2" s="23"/>
    </row>
    <row r="3" ht="22.5" customHeight="1">
      <c r="A3" s="23"/>
      <c r="B3" s="72" t="s">
        <v>718</v>
      </c>
      <c r="C3" s="73" t="s">
        <v>720</v>
      </c>
      <c r="D3" s="68"/>
      <c r="E3" s="23"/>
      <c r="F3" s="23"/>
      <c r="G3" s="23"/>
      <c r="H3" s="23"/>
      <c r="I3" s="23"/>
      <c r="J3" s="72" t="s">
        <v>718</v>
      </c>
      <c r="K3" s="73" t="s">
        <v>720</v>
      </c>
      <c r="L3" s="23"/>
      <c r="M3" s="69"/>
      <c r="N3" s="69"/>
      <c r="O3" s="69"/>
      <c r="P3" s="70"/>
      <c r="Q3" s="71"/>
      <c r="R3" s="23"/>
      <c r="S3" s="23"/>
      <c r="T3" s="23"/>
      <c r="U3" s="23"/>
      <c r="V3" s="72" t="s">
        <v>718</v>
      </c>
      <c r="W3" s="73" t="s">
        <v>720</v>
      </c>
      <c r="X3" s="23"/>
      <c r="Y3" s="23"/>
      <c r="Z3" s="23"/>
      <c r="AA3" s="24"/>
      <c r="AB3" s="23"/>
      <c r="AC3" s="23"/>
      <c r="AD3" s="69"/>
      <c r="AE3" s="23"/>
      <c r="AF3" s="69"/>
      <c r="AG3" s="23"/>
      <c r="AH3" s="69"/>
      <c r="AI3" s="23"/>
      <c r="AJ3" s="74" t="s">
        <v>718</v>
      </c>
      <c r="AK3" s="73" t="s">
        <v>720</v>
      </c>
      <c r="AL3" s="23"/>
      <c r="AM3" s="23"/>
      <c r="AN3" s="23"/>
      <c r="AO3" s="23"/>
    </row>
    <row r="4" ht="22.5" customHeight="1">
      <c r="A4" s="45" t="s">
        <v>94</v>
      </c>
      <c r="B4" s="46"/>
      <c r="C4" s="46"/>
      <c r="D4" s="47"/>
      <c r="E4" s="46"/>
      <c r="F4" s="48"/>
      <c r="G4" s="46"/>
      <c r="H4" s="46"/>
      <c r="I4" s="46"/>
      <c r="J4" s="46"/>
      <c r="K4" s="46"/>
      <c r="L4" s="48"/>
      <c r="M4" s="45" t="s">
        <v>94</v>
      </c>
      <c r="N4" s="46"/>
      <c r="O4" s="48"/>
      <c r="P4" s="48"/>
      <c r="Q4" s="50"/>
      <c r="R4" s="46"/>
      <c r="S4" s="46"/>
      <c r="T4" s="46"/>
      <c r="U4" s="46"/>
      <c r="V4" s="46"/>
      <c r="W4" s="46"/>
      <c r="X4" s="46"/>
      <c r="Y4" s="46"/>
      <c r="Z4" s="46"/>
      <c r="AA4" s="53"/>
      <c r="AB4" s="46"/>
      <c r="AC4" s="46"/>
      <c r="AD4" s="46"/>
      <c r="AE4" s="46"/>
      <c r="AF4" s="54"/>
      <c r="AG4" s="46"/>
      <c r="AH4" s="54"/>
      <c r="AI4" s="46"/>
      <c r="AJ4" s="54"/>
      <c r="AK4" s="54"/>
      <c r="AL4" s="46"/>
      <c r="AM4" s="46"/>
      <c r="AN4" s="45" t="s">
        <v>94</v>
      </c>
      <c r="AO4" s="46"/>
    </row>
    <row r="5" ht="22.5" customHeight="1">
      <c r="A5" s="15" t="s">
        <v>95</v>
      </c>
      <c r="B5" s="15" t="s">
        <v>96</v>
      </c>
      <c r="C5" s="15" t="s">
        <v>97</v>
      </c>
      <c r="D5" s="41">
        <v>39962.0</v>
      </c>
      <c r="E5" s="15" t="s">
        <v>98</v>
      </c>
      <c r="F5" s="15">
        <v>5.610238747E9</v>
      </c>
      <c r="G5" s="15" t="s">
        <v>99</v>
      </c>
      <c r="H5" s="15" t="s">
        <v>101</v>
      </c>
      <c r="I5" s="49" t="s">
        <v>102</v>
      </c>
      <c r="J5" s="15" t="s">
        <v>104</v>
      </c>
      <c r="K5" s="15" t="s">
        <v>106</v>
      </c>
      <c r="L5" s="15">
        <v>5.566802269E9</v>
      </c>
      <c r="M5" s="18"/>
      <c r="N5" s="18"/>
      <c r="O5" s="18"/>
      <c r="P5" s="20">
        <v>16.0</v>
      </c>
      <c r="Q5" s="22">
        <v>46040.61277777778</v>
      </c>
      <c r="R5" s="15" t="s">
        <v>107</v>
      </c>
      <c r="S5" s="15" t="s">
        <v>109</v>
      </c>
      <c r="T5" s="15" t="s">
        <v>111</v>
      </c>
      <c r="U5" s="15" t="s">
        <v>112</v>
      </c>
      <c r="V5" s="15" t="s">
        <v>114</v>
      </c>
      <c r="W5" s="15" t="s">
        <v>115</v>
      </c>
      <c r="X5" s="51" t="s">
        <v>117</v>
      </c>
      <c r="Y5" s="49" t="s">
        <v>102</v>
      </c>
      <c r="Z5" s="15" t="s">
        <v>117</v>
      </c>
      <c r="AA5" s="52" t="s">
        <v>119</v>
      </c>
      <c r="AB5" s="15" t="s">
        <v>120</v>
      </c>
      <c r="AC5" s="15"/>
      <c r="AD5" s="18"/>
      <c r="AE5" s="15" t="s">
        <v>120</v>
      </c>
      <c r="AF5" s="18"/>
      <c r="AG5" s="15" t="s">
        <v>120</v>
      </c>
      <c r="AH5" s="18"/>
      <c r="AI5" s="15" t="s">
        <v>117</v>
      </c>
      <c r="AJ5" s="75" t="s">
        <v>123</v>
      </c>
      <c r="AK5" s="18"/>
      <c r="AL5" s="15" t="s">
        <v>124</v>
      </c>
      <c r="AM5" s="15" t="s">
        <v>126</v>
      </c>
      <c r="AN5" s="15" t="s">
        <v>128</v>
      </c>
      <c r="AO5" s="15" t="s">
        <v>129</v>
      </c>
    </row>
    <row r="6" ht="23.25" customHeight="1">
      <c r="A6" s="15" t="s">
        <v>157</v>
      </c>
      <c r="B6" s="15" t="s">
        <v>158</v>
      </c>
      <c r="C6" s="15" t="s">
        <v>159</v>
      </c>
      <c r="D6" s="41">
        <v>40857.0</v>
      </c>
      <c r="E6" s="15" t="s">
        <v>98</v>
      </c>
      <c r="F6" s="15">
        <v>5.578876242E9</v>
      </c>
      <c r="G6" s="15" t="s">
        <v>162</v>
      </c>
      <c r="H6" s="15" t="s">
        <v>101</v>
      </c>
      <c r="I6" s="49" t="s">
        <v>164</v>
      </c>
      <c r="J6" s="15" t="s">
        <v>166</v>
      </c>
      <c r="K6" s="15" t="s">
        <v>167</v>
      </c>
      <c r="L6" s="15">
        <v>5.591110991E9</v>
      </c>
      <c r="M6" s="18"/>
      <c r="N6" s="18"/>
      <c r="O6" s="18"/>
      <c r="P6" s="20">
        <v>14.0</v>
      </c>
      <c r="Q6" s="22">
        <v>46033.58049768519</v>
      </c>
      <c r="R6" s="15" t="s">
        <v>107</v>
      </c>
      <c r="S6" s="15" t="s">
        <v>109</v>
      </c>
      <c r="T6" s="15" t="s">
        <v>171</v>
      </c>
      <c r="U6" s="15" t="s">
        <v>173</v>
      </c>
      <c r="V6" s="15" t="s">
        <v>167</v>
      </c>
      <c r="W6" s="15" t="s">
        <v>175</v>
      </c>
      <c r="X6" s="51" t="s">
        <v>117</v>
      </c>
      <c r="Y6" s="49" t="s">
        <v>176</v>
      </c>
      <c r="Z6" s="15" t="s">
        <v>120</v>
      </c>
      <c r="AA6" s="18"/>
      <c r="AB6" s="15" t="s">
        <v>120</v>
      </c>
      <c r="AC6" s="15" t="s">
        <v>120</v>
      </c>
      <c r="AD6" s="18"/>
      <c r="AE6" s="15" t="s">
        <v>120</v>
      </c>
      <c r="AF6" s="18"/>
      <c r="AG6" s="15" t="s">
        <v>120</v>
      </c>
      <c r="AH6" s="18"/>
      <c r="AI6" s="15" t="s">
        <v>117</v>
      </c>
      <c r="AJ6" s="76" t="s">
        <v>182</v>
      </c>
      <c r="AK6" s="18"/>
      <c r="AL6" s="15" t="s">
        <v>156</v>
      </c>
      <c r="AM6" s="15" t="s">
        <v>138</v>
      </c>
      <c r="AN6" s="15" t="s">
        <v>129</v>
      </c>
      <c r="AO6" s="15" t="s">
        <v>185</v>
      </c>
    </row>
    <row r="7" ht="22.5" customHeight="1">
      <c r="A7" s="15" t="s">
        <v>243</v>
      </c>
      <c r="B7" s="15" t="s">
        <v>244</v>
      </c>
      <c r="C7" s="15" t="s">
        <v>245</v>
      </c>
      <c r="D7" s="41">
        <v>40754.0</v>
      </c>
      <c r="E7" s="15" t="s">
        <v>98</v>
      </c>
      <c r="F7" s="15">
        <v>5.520419854E9</v>
      </c>
      <c r="G7" s="15" t="s">
        <v>247</v>
      </c>
      <c r="H7" s="15" t="s">
        <v>140</v>
      </c>
      <c r="I7" s="49" t="s">
        <v>250</v>
      </c>
      <c r="J7" s="15" t="s">
        <v>251</v>
      </c>
      <c r="K7" s="15" t="s">
        <v>252</v>
      </c>
      <c r="L7" s="15">
        <v>5.511201062E9</v>
      </c>
      <c r="M7" s="15" t="s">
        <v>253</v>
      </c>
      <c r="N7" s="15" t="s">
        <v>254</v>
      </c>
      <c r="O7" s="15">
        <v>5.546900783E9</v>
      </c>
      <c r="P7" s="20">
        <v>14.0</v>
      </c>
      <c r="Q7" s="22">
        <v>46020.53304398148</v>
      </c>
      <c r="R7" s="15" t="s">
        <v>107</v>
      </c>
      <c r="S7" s="15" t="s">
        <v>109</v>
      </c>
      <c r="T7" s="15" t="s">
        <v>208</v>
      </c>
      <c r="U7" s="15" t="s">
        <v>209</v>
      </c>
      <c r="V7" s="15" t="s">
        <v>210</v>
      </c>
      <c r="W7" s="15" t="s">
        <v>211</v>
      </c>
      <c r="X7" s="51" t="s">
        <v>117</v>
      </c>
      <c r="Y7" s="49" t="s">
        <v>259</v>
      </c>
      <c r="Z7" s="15" t="s">
        <v>120</v>
      </c>
      <c r="AA7" s="18"/>
      <c r="AB7" s="15" t="s">
        <v>117</v>
      </c>
      <c r="AC7" s="15" t="s">
        <v>117</v>
      </c>
      <c r="AD7" s="27" t="s">
        <v>261</v>
      </c>
      <c r="AE7" s="15" t="s">
        <v>120</v>
      </c>
      <c r="AF7" s="18"/>
      <c r="AG7" s="15" t="s">
        <v>120</v>
      </c>
      <c r="AH7" s="18"/>
      <c r="AI7" s="15" t="s">
        <v>117</v>
      </c>
      <c r="AJ7" s="76" t="s">
        <v>178</v>
      </c>
      <c r="AK7" s="18"/>
      <c r="AL7" s="15" t="s">
        <v>156</v>
      </c>
      <c r="AM7" s="15" t="s">
        <v>138</v>
      </c>
      <c r="AN7" s="15" t="s">
        <v>156</v>
      </c>
      <c r="AO7" s="15" t="s">
        <v>128</v>
      </c>
    </row>
    <row r="8" ht="22.5" customHeight="1">
      <c r="A8" s="15" t="s">
        <v>370</v>
      </c>
      <c r="B8" s="15" t="s">
        <v>372</v>
      </c>
      <c r="C8" s="15" t="s">
        <v>374</v>
      </c>
      <c r="D8" s="41">
        <v>39834.0</v>
      </c>
      <c r="E8" s="15" t="s">
        <v>98</v>
      </c>
      <c r="F8" s="15" t="s">
        <v>378</v>
      </c>
      <c r="G8" s="15" t="s">
        <v>379</v>
      </c>
      <c r="H8" s="15" t="s">
        <v>382</v>
      </c>
      <c r="I8" s="49" t="s">
        <v>384</v>
      </c>
      <c r="J8" s="15" t="s">
        <v>385</v>
      </c>
      <c r="K8" s="15" t="s">
        <v>386</v>
      </c>
      <c r="L8" s="15">
        <v>5.580044851E9</v>
      </c>
      <c r="M8" s="15" t="s">
        <v>390</v>
      </c>
      <c r="N8" s="15" t="s">
        <v>393</v>
      </c>
      <c r="O8" s="15">
        <v>5.519776431E9</v>
      </c>
      <c r="P8" s="20">
        <v>17.0</v>
      </c>
      <c r="Q8" s="22">
        <v>46038.59107638889</v>
      </c>
      <c r="R8" s="15" t="s">
        <v>107</v>
      </c>
      <c r="S8" s="15" t="s">
        <v>109</v>
      </c>
      <c r="T8" s="15" t="s">
        <v>111</v>
      </c>
      <c r="U8" s="15" t="s">
        <v>398</v>
      </c>
      <c r="V8" s="15" t="s">
        <v>399</v>
      </c>
      <c r="W8" s="15" t="s">
        <v>400</v>
      </c>
      <c r="X8" s="51" t="s">
        <v>117</v>
      </c>
      <c r="Y8" s="49" t="s">
        <v>403</v>
      </c>
      <c r="Z8" s="15" t="s">
        <v>117</v>
      </c>
      <c r="AA8" s="58" t="s">
        <v>404</v>
      </c>
      <c r="AB8" s="15" t="s">
        <v>117</v>
      </c>
      <c r="AC8" s="15" t="s">
        <v>117</v>
      </c>
      <c r="AD8" s="27" t="s">
        <v>405</v>
      </c>
      <c r="AE8" s="15" t="s">
        <v>117</v>
      </c>
      <c r="AF8" s="23" t="s">
        <v>406</v>
      </c>
      <c r="AG8" s="15" t="s">
        <v>120</v>
      </c>
      <c r="AH8" s="18"/>
      <c r="AI8" s="15" t="s">
        <v>117</v>
      </c>
      <c r="AJ8" s="76" t="s">
        <v>410</v>
      </c>
      <c r="AK8" s="23" t="s">
        <v>411</v>
      </c>
      <c r="AL8" s="15" t="s">
        <v>138</v>
      </c>
      <c r="AM8" s="15" t="s">
        <v>126</v>
      </c>
      <c r="AN8" s="15" t="s">
        <v>185</v>
      </c>
      <c r="AO8" s="15" t="s">
        <v>156</v>
      </c>
    </row>
    <row r="9" ht="22.5" customHeight="1">
      <c r="A9" s="15" t="s">
        <v>431</v>
      </c>
      <c r="B9" s="15" t="s">
        <v>432</v>
      </c>
      <c r="C9" s="15" t="s">
        <v>434</v>
      </c>
      <c r="D9" s="41">
        <v>40565.0</v>
      </c>
      <c r="E9" s="15" t="s">
        <v>98</v>
      </c>
      <c r="F9" s="15">
        <v>5.571936655E9</v>
      </c>
      <c r="G9" s="15" t="s">
        <v>436</v>
      </c>
      <c r="H9" s="15" t="s">
        <v>110</v>
      </c>
      <c r="I9" s="49" t="s">
        <v>437</v>
      </c>
      <c r="J9" s="15" t="s">
        <v>439</v>
      </c>
      <c r="K9" s="15" t="s">
        <v>440</v>
      </c>
      <c r="L9" s="15">
        <v>5.64576689E9</v>
      </c>
      <c r="M9" s="18"/>
      <c r="N9" s="18"/>
      <c r="O9" s="18"/>
      <c r="P9" s="20">
        <v>15.0</v>
      </c>
      <c r="Q9" s="22">
        <v>46045.92314814815</v>
      </c>
      <c r="R9" s="15" t="s">
        <v>107</v>
      </c>
      <c r="S9" s="15" t="s">
        <v>109</v>
      </c>
      <c r="T9" s="15" t="s">
        <v>171</v>
      </c>
      <c r="U9" s="15" t="s">
        <v>444</v>
      </c>
      <c r="V9" s="15" t="s">
        <v>445</v>
      </c>
      <c r="W9" s="15" t="s">
        <v>446</v>
      </c>
      <c r="X9" s="51" t="s">
        <v>117</v>
      </c>
      <c r="Y9" s="49" t="s">
        <v>437</v>
      </c>
      <c r="Z9" s="15" t="s">
        <v>117</v>
      </c>
      <c r="AA9" s="23" t="s">
        <v>450</v>
      </c>
      <c r="AB9" s="15" t="s">
        <v>120</v>
      </c>
      <c r="AC9" s="18"/>
      <c r="AD9" s="18"/>
      <c r="AE9" s="15" t="s">
        <v>120</v>
      </c>
      <c r="AF9" s="18"/>
      <c r="AG9" s="15" t="s">
        <v>120</v>
      </c>
      <c r="AH9" s="18"/>
      <c r="AI9" s="15" t="s">
        <v>117</v>
      </c>
      <c r="AJ9" s="75" t="s">
        <v>454</v>
      </c>
      <c r="AK9" s="18"/>
      <c r="AL9" s="15" t="s">
        <v>138</v>
      </c>
      <c r="AM9" s="15" t="s">
        <v>156</v>
      </c>
      <c r="AN9" s="15" t="s">
        <v>124</v>
      </c>
      <c r="AO9" s="15" t="s">
        <v>240</v>
      </c>
    </row>
    <row r="10" ht="22.5" customHeight="1">
      <c r="A10" s="78" t="s">
        <v>510</v>
      </c>
      <c r="B10" s="79" t="s">
        <v>512</v>
      </c>
      <c r="C10" s="79" t="s">
        <v>513</v>
      </c>
      <c r="D10" s="80">
        <v>40627.0</v>
      </c>
      <c r="E10" s="79" t="s">
        <v>98</v>
      </c>
      <c r="F10" s="81">
        <v>5.573406241E9</v>
      </c>
      <c r="G10" s="79" t="s">
        <v>514</v>
      </c>
      <c r="H10" s="79" t="s">
        <v>150</v>
      </c>
      <c r="I10" s="82" t="s">
        <v>516</v>
      </c>
      <c r="J10" s="79" t="s">
        <v>517</v>
      </c>
      <c r="K10" s="79" t="s">
        <v>519</v>
      </c>
      <c r="L10" s="81">
        <v>5.533352183E9</v>
      </c>
      <c r="M10" s="79" t="s">
        <v>521</v>
      </c>
      <c r="N10" s="79" t="s">
        <v>514</v>
      </c>
      <c r="O10" s="81">
        <v>5.573406241E9</v>
      </c>
      <c r="P10" s="81">
        <v>14.0</v>
      </c>
      <c r="Q10" s="83">
        <v>46037.452685185184</v>
      </c>
      <c r="R10" s="79" t="s">
        <v>107</v>
      </c>
      <c r="S10" s="79" t="s">
        <v>109</v>
      </c>
      <c r="T10" s="79" t="s">
        <v>171</v>
      </c>
      <c r="U10" s="79" t="s">
        <v>526</v>
      </c>
      <c r="V10" s="79" t="s">
        <v>527</v>
      </c>
      <c r="W10" s="79" t="s">
        <v>528</v>
      </c>
      <c r="X10" s="84" t="s">
        <v>117</v>
      </c>
      <c r="Y10" s="82" t="s">
        <v>529</v>
      </c>
      <c r="Z10" s="79" t="s">
        <v>117</v>
      </c>
      <c r="AA10" s="85" t="s">
        <v>530</v>
      </c>
      <c r="AB10" s="79" t="s">
        <v>120</v>
      </c>
      <c r="AC10" s="86"/>
      <c r="AD10" s="86"/>
      <c r="AE10" s="79" t="s">
        <v>120</v>
      </c>
      <c r="AF10" s="86"/>
      <c r="AG10" s="79" t="s">
        <v>120</v>
      </c>
      <c r="AH10" s="86"/>
      <c r="AI10" s="79" t="s">
        <v>117</v>
      </c>
      <c r="AJ10" s="87" t="s">
        <v>536</v>
      </c>
      <c r="AK10" s="86"/>
      <c r="AL10" s="79" t="s">
        <v>156</v>
      </c>
      <c r="AM10" s="79" t="s">
        <v>126</v>
      </c>
      <c r="AN10" s="79" t="s">
        <v>129</v>
      </c>
      <c r="AO10" s="88" t="s">
        <v>124</v>
      </c>
    </row>
    <row r="11" ht="22.5" customHeight="1">
      <c r="A11" s="78" t="s">
        <v>451</v>
      </c>
      <c r="B11" s="79" t="s">
        <v>188</v>
      </c>
      <c r="C11" s="79" t="s">
        <v>556</v>
      </c>
      <c r="D11" s="80">
        <v>39984.0</v>
      </c>
      <c r="E11" s="79" t="s">
        <v>98</v>
      </c>
      <c r="F11" s="81">
        <v>5.62127044E9</v>
      </c>
      <c r="G11" s="79" t="s">
        <v>558</v>
      </c>
      <c r="H11" s="79" t="s">
        <v>140</v>
      </c>
      <c r="I11" s="82" t="s">
        <v>559</v>
      </c>
      <c r="J11" s="79" t="s">
        <v>560</v>
      </c>
      <c r="K11" s="79" t="s">
        <v>203</v>
      </c>
      <c r="L11" s="81">
        <v>5.584775869E9</v>
      </c>
      <c r="M11" s="86"/>
      <c r="N11" s="86"/>
      <c r="O11" s="86"/>
      <c r="P11" s="81">
        <v>16.0</v>
      </c>
      <c r="Q11" s="83">
        <v>46026.005428240744</v>
      </c>
      <c r="R11" s="79" t="s">
        <v>107</v>
      </c>
      <c r="S11" s="79" t="s">
        <v>109</v>
      </c>
      <c r="T11" s="79" t="s">
        <v>208</v>
      </c>
      <c r="U11" s="79" t="s">
        <v>209</v>
      </c>
      <c r="V11" s="79" t="s">
        <v>210</v>
      </c>
      <c r="W11" s="79" t="s">
        <v>211</v>
      </c>
      <c r="X11" s="84" t="s">
        <v>117</v>
      </c>
      <c r="Y11" s="82" t="s">
        <v>559</v>
      </c>
      <c r="Z11" s="79" t="s">
        <v>117</v>
      </c>
      <c r="AA11" s="79" t="s">
        <v>570</v>
      </c>
      <c r="AB11" s="79" t="s">
        <v>120</v>
      </c>
      <c r="AC11" s="79" t="s">
        <v>120</v>
      </c>
      <c r="AD11" s="86"/>
      <c r="AE11" s="79" t="s">
        <v>120</v>
      </c>
      <c r="AF11" s="86"/>
      <c r="AG11" s="79" t="s">
        <v>120</v>
      </c>
      <c r="AH11" s="86"/>
      <c r="AI11" s="79" t="s">
        <v>117</v>
      </c>
      <c r="AJ11" s="87" t="s">
        <v>575</v>
      </c>
      <c r="AK11" s="79" t="s">
        <v>120</v>
      </c>
      <c r="AL11" s="79" t="s">
        <v>126</v>
      </c>
      <c r="AM11" s="79" t="s">
        <v>216</v>
      </c>
      <c r="AN11" s="79" t="s">
        <v>242</v>
      </c>
      <c r="AO11" s="88" t="s">
        <v>156</v>
      </c>
    </row>
    <row r="12" ht="22.5" customHeight="1">
      <c r="A12" s="15" t="s">
        <v>683</v>
      </c>
      <c r="B12" s="15" t="s">
        <v>684</v>
      </c>
      <c r="C12" s="15" t="s">
        <v>686</v>
      </c>
      <c r="D12" s="41">
        <v>39556.0</v>
      </c>
      <c r="E12" s="15" t="s">
        <v>98</v>
      </c>
      <c r="F12" s="15">
        <v>5.610310969E9</v>
      </c>
      <c r="G12" s="15" t="s">
        <v>689</v>
      </c>
      <c r="H12" s="15" t="s">
        <v>101</v>
      </c>
      <c r="I12" s="49" t="s">
        <v>690</v>
      </c>
      <c r="J12" s="15" t="s">
        <v>691</v>
      </c>
      <c r="K12" s="15" t="s">
        <v>693</v>
      </c>
      <c r="L12" s="15">
        <v>5.574250371E9</v>
      </c>
      <c r="M12" s="18"/>
      <c r="N12" s="18"/>
      <c r="O12" s="18"/>
      <c r="P12" s="20">
        <v>17.0</v>
      </c>
      <c r="Q12" s="22">
        <v>46037.7896875</v>
      </c>
      <c r="R12" s="15" t="s">
        <v>107</v>
      </c>
      <c r="S12" s="15" t="s">
        <v>109</v>
      </c>
      <c r="T12" s="15" t="s">
        <v>111</v>
      </c>
      <c r="U12" s="15" t="s">
        <v>657</v>
      </c>
      <c r="V12" s="15" t="s">
        <v>659</v>
      </c>
      <c r="W12" s="15" t="s">
        <v>662</v>
      </c>
      <c r="X12" s="51" t="s">
        <v>117</v>
      </c>
      <c r="Y12" s="49" t="s">
        <v>697</v>
      </c>
      <c r="Z12" s="15" t="s">
        <v>117</v>
      </c>
      <c r="AA12" s="23" t="s">
        <v>698</v>
      </c>
      <c r="AB12" s="15" t="s">
        <v>120</v>
      </c>
      <c r="AC12" s="18"/>
      <c r="AD12" s="15" t="s">
        <v>667</v>
      </c>
      <c r="AE12" s="15" t="s">
        <v>120</v>
      </c>
      <c r="AF12" s="15" t="s">
        <v>667</v>
      </c>
      <c r="AG12" s="15" t="s">
        <v>120</v>
      </c>
      <c r="AH12" s="15" t="s">
        <v>667</v>
      </c>
      <c r="AI12" s="15" t="s">
        <v>117</v>
      </c>
      <c r="AJ12" s="76" t="s">
        <v>701</v>
      </c>
      <c r="AK12" s="15" t="s">
        <v>667</v>
      </c>
      <c r="AL12" s="15" t="s">
        <v>129</v>
      </c>
      <c r="AM12" s="15" t="s">
        <v>128</v>
      </c>
      <c r="AN12" s="15" t="s">
        <v>185</v>
      </c>
      <c r="AO12" s="15" t="s">
        <v>124</v>
      </c>
    </row>
    <row r="13" ht="22.5" customHeight="1">
      <c r="A13" s="89" t="s">
        <v>955</v>
      </c>
      <c r="B13" s="90" t="s">
        <v>959</v>
      </c>
      <c r="C13" s="90" t="s">
        <v>960</v>
      </c>
      <c r="D13" s="91">
        <v>40113.0</v>
      </c>
      <c r="E13" s="90" t="s">
        <v>177</v>
      </c>
      <c r="F13" s="92">
        <v>5.645755195E9</v>
      </c>
      <c r="G13" s="90" t="s">
        <v>963</v>
      </c>
      <c r="H13" s="90" t="s">
        <v>101</v>
      </c>
      <c r="I13" s="82" t="s">
        <v>964</v>
      </c>
      <c r="J13" s="90" t="s">
        <v>965</v>
      </c>
      <c r="K13" s="90" t="s">
        <v>966</v>
      </c>
      <c r="L13" s="92">
        <v>5.56611599E9</v>
      </c>
      <c r="M13" s="93"/>
      <c r="N13" s="93"/>
      <c r="O13" s="93"/>
      <c r="P13" s="92">
        <v>16.0</v>
      </c>
      <c r="Q13" s="94">
        <v>46040.4921412037</v>
      </c>
      <c r="R13" s="90" t="s">
        <v>107</v>
      </c>
      <c r="S13" s="90" t="s">
        <v>109</v>
      </c>
      <c r="T13" s="90" t="s">
        <v>111</v>
      </c>
      <c r="U13" s="90" t="s">
        <v>657</v>
      </c>
      <c r="V13" s="90" t="s">
        <v>659</v>
      </c>
      <c r="W13" s="90" t="s">
        <v>662</v>
      </c>
      <c r="X13" s="90" t="s">
        <v>120</v>
      </c>
      <c r="Y13" s="93"/>
      <c r="Z13" s="90" t="s">
        <v>120</v>
      </c>
      <c r="AA13" s="93"/>
      <c r="AB13" s="90" t="s">
        <v>117</v>
      </c>
      <c r="AC13" s="90" t="s">
        <v>117</v>
      </c>
      <c r="AD13" s="90" t="s">
        <v>990</v>
      </c>
      <c r="AE13" s="90" t="s">
        <v>120</v>
      </c>
      <c r="AF13" s="93"/>
      <c r="AG13" s="90" t="s">
        <v>120</v>
      </c>
      <c r="AH13" s="93"/>
      <c r="AI13" s="90" t="s">
        <v>117</v>
      </c>
      <c r="AJ13" s="95" t="s">
        <v>992</v>
      </c>
      <c r="AK13" s="93"/>
      <c r="AL13" s="90" t="s">
        <v>216</v>
      </c>
      <c r="AM13" s="90" t="s">
        <v>138</v>
      </c>
      <c r="AN13" s="90" t="s">
        <v>129</v>
      </c>
      <c r="AO13" s="96" t="s">
        <v>124</v>
      </c>
    </row>
    <row r="14" ht="22.5" customHeight="1">
      <c r="A14" s="78" t="s">
        <v>1000</v>
      </c>
      <c r="B14" s="79" t="s">
        <v>1002</v>
      </c>
      <c r="C14" s="79" t="s">
        <v>1005</v>
      </c>
      <c r="D14" s="80">
        <v>40099.0</v>
      </c>
      <c r="E14" s="79" t="s">
        <v>98</v>
      </c>
      <c r="F14" s="81">
        <v>5.539879512E9</v>
      </c>
      <c r="G14" s="79" t="s">
        <v>1007</v>
      </c>
      <c r="H14" s="79" t="s">
        <v>140</v>
      </c>
      <c r="I14" s="82" t="s">
        <v>1008</v>
      </c>
      <c r="J14" s="79" t="s">
        <v>650</v>
      </c>
      <c r="K14" s="79" t="s">
        <v>652</v>
      </c>
      <c r="L14" s="81">
        <v>5.540155903E9</v>
      </c>
      <c r="M14" s="86"/>
      <c r="N14" s="86"/>
      <c r="O14" s="86"/>
      <c r="P14" s="81">
        <v>16.0</v>
      </c>
      <c r="Q14" s="83">
        <v>46037.78009259259</v>
      </c>
      <c r="R14" s="79" t="s">
        <v>107</v>
      </c>
      <c r="S14" s="79" t="s">
        <v>109</v>
      </c>
      <c r="T14" s="79" t="s">
        <v>111</v>
      </c>
      <c r="U14" s="79" t="s">
        <v>657</v>
      </c>
      <c r="V14" s="79" t="s">
        <v>659</v>
      </c>
      <c r="W14" s="79" t="s">
        <v>662</v>
      </c>
      <c r="X14" s="79" t="s">
        <v>120</v>
      </c>
      <c r="Y14" s="79" t="s">
        <v>667</v>
      </c>
      <c r="Z14" s="79" t="s">
        <v>120</v>
      </c>
      <c r="AA14" s="79" t="s">
        <v>667</v>
      </c>
      <c r="AB14" s="79" t="s">
        <v>120</v>
      </c>
      <c r="AC14" s="86"/>
      <c r="AD14" s="79" t="s">
        <v>667</v>
      </c>
      <c r="AE14" s="79" t="s">
        <v>120</v>
      </c>
      <c r="AF14" s="79" t="s">
        <v>667</v>
      </c>
      <c r="AG14" s="79" t="s">
        <v>120</v>
      </c>
      <c r="AH14" s="79" t="s">
        <v>667</v>
      </c>
      <c r="AI14" s="79" t="s">
        <v>120</v>
      </c>
      <c r="AJ14" s="79" t="s">
        <v>667</v>
      </c>
      <c r="AK14" s="79" t="s">
        <v>667</v>
      </c>
      <c r="AL14" s="79" t="s">
        <v>141</v>
      </c>
      <c r="AM14" s="79" t="s">
        <v>156</v>
      </c>
      <c r="AN14" s="79" t="s">
        <v>216</v>
      </c>
      <c r="AO14" s="88" t="s">
        <v>138</v>
      </c>
    </row>
    <row r="15" ht="22.5" customHeight="1">
      <c r="A15" s="89" t="s">
        <v>1025</v>
      </c>
      <c r="B15" s="90" t="s">
        <v>1027</v>
      </c>
      <c r="C15" s="90" t="s">
        <v>1028</v>
      </c>
      <c r="D15" s="91">
        <v>41264.0</v>
      </c>
      <c r="E15" s="90" t="s">
        <v>177</v>
      </c>
      <c r="F15" s="92">
        <v>5.520905035E9</v>
      </c>
      <c r="G15" s="90" t="s">
        <v>1029</v>
      </c>
      <c r="H15" s="90" t="s">
        <v>150</v>
      </c>
      <c r="I15" s="82" t="s">
        <v>1030</v>
      </c>
      <c r="J15" s="90" t="s">
        <v>1031</v>
      </c>
      <c r="K15" s="90" t="s">
        <v>1032</v>
      </c>
      <c r="L15" s="92">
        <v>5.520905035E9</v>
      </c>
      <c r="M15" s="90" t="s">
        <v>1034</v>
      </c>
      <c r="N15" s="90" t="s">
        <v>1036</v>
      </c>
      <c r="O15" s="92">
        <v>5.5149201E9</v>
      </c>
      <c r="P15" s="92">
        <v>13.0</v>
      </c>
      <c r="Q15" s="94">
        <v>46029.42487268519</v>
      </c>
      <c r="R15" s="90" t="s">
        <v>107</v>
      </c>
      <c r="S15" s="90" t="s">
        <v>109</v>
      </c>
      <c r="T15" s="90" t="s">
        <v>111</v>
      </c>
      <c r="U15" s="90" t="s">
        <v>112</v>
      </c>
      <c r="V15" s="90" t="s">
        <v>114</v>
      </c>
      <c r="W15" s="90" t="s">
        <v>115</v>
      </c>
      <c r="X15" s="90" t="s">
        <v>120</v>
      </c>
      <c r="Y15" s="90" t="s">
        <v>1047</v>
      </c>
      <c r="Z15" s="90" t="s">
        <v>117</v>
      </c>
      <c r="AA15" s="97" t="s">
        <v>1049</v>
      </c>
      <c r="AB15" s="90" t="s">
        <v>117</v>
      </c>
      <c r="AC15" s="90" t="s">
        <v>120</v>
      </c>
      <c r="AD15" s="90" t="s">
        <v>1053</v>
      </c>
      <c r="AE15" s="90" t="s">
        <v>120</v>
      </c>
      <c r="AF15" s="93"/>
      <c r="AG15" s="90" t="s">
        <v>120</v>
      </c>
      <c r="AH15" s="93"/>
      <c r="AI15" s="90" t="s">
        <v>120</v>
      </c>
      <c r="AJ15" s="93"/>
      <c r="AK15" s="98" t="s">
        <v>1055</v>
      </c>
      <c r="AL15" s="90" t="s">
        <v>126</v>
      </c>
      <c r="AM15" s="90" t="s">
        <v>240</v>
      </c>
      <c r="AN15" s="90" t="s">
        <v>242</v>
      </c>
      <c r="AO15" s="96" t="s">
        <v>124</v>
      </c>
    </row>
    <row r="16" ht="23.25" customHeight="1">
      <c r="A16" s="15" t="s">
        <v>1061</v>
      </c>
      <c r="B16" s="15" t="s">
        <v>1063</v>
      </c>
      <c r="C16" s="15" t="s">
        <v>1065</v>
      </c>
      <c r="D16" s="41">
        <v>39817.0</v>
      </c>
      <c r="E16" s="15" t="s">
        <v>177</v>
      </c>
      <c r="F16" s="15">
        <v>5.566664013E9</v>
      </c>
      <c r="G16" s="15" t="s">
        <v>1072</v>
      </c>
      <c r="H16" s="15" t="s">
        <v>101</v>
      </c>
      <c r="I16" s="49" t="s">
        <v>1074</v>
      </c>
      <c r="J16" s="15" t="s">
        <v>1076</v>
      </c>
      <c r="K16" s="15" t="s">
        <v>1072</v>
      </c>
      <c r="L16" s="15">
        <v>5.566664013E9</v>
      </c>
      <c r="M16" s="15" t="s">
        <v>1078</v>
      </c>
      <c r="N16" s="15" t="s">
        <v>1079</v>
      </c>
      <c r="O16" s="15">
        <v>5.576102705E9</v>
      </c>
      <c r="P16" s="20">
        <v>17.0</v>
      </c>
      <c r="Q16" s="22">
        <v>46018.91241898148</v>
      </c>
      <c r="R16" s="15" t="s">
        <v>107</v>
      </c>
      <c r="S16" s="15" t="s">
        <v>109</v>
      </c>
      <c r="T16" s="15" t="s">
        <v>127</v>
      </c>
      <c r="U16" s="15" t="s">
        <v>672</v>
      </c>
      <c r="V16" s="15" t="s">
        <v>673</v>
      </c>
      <c r="W16" s="15" t="s">
        <v>674</v>
      </c>
      <c r="X16" s="15" t="s">
        <v>120</v>
      </c>
      <c r="Y16" s="18"/>
      <c r="Z16" s="15" t="s">
        <v>117</v>
      </c>
      <c r="AA16" s="15" t="s">
        <v>1090</v>
      </c>
      <c r="AB16" s="15" t="s">
        <v>120</v>
      </c>
      <c r="AC16" s="18"/>
      <c r="AD16" s="18"/>
      <c r="AE16" s="15" t="s">
        <v>120</v>
      </c>
      <c r="AF16" s="18"/>
      <c r="AG16" s="15" t="s">
        <v>120</v>
      </c>
      <c r="AH16" s="18"/>
      <c r="AI16" s="15" t="s">
        <v>117</v>
      </c>
      <c r="AJ16" s="76" t="s">
        <v>1096</v>
      </c>
      <c r="AK16" s="15" t="s">
        <v>1098</v>
      </c>
      <c r="AL16" s="15" t="s">
        <v>185</v>
      </c>
      <c r="AM16" s="15" t="s">
        <v>240</v>
      </c>
      <c r="AN16" s="15" t="s">
        <v>138</v>
      </c>
      <c r="AO16" s="15" t="s">
        <v>242</v>
      </c>
    </row>
    <row r="17" ht="23.25" customHeight="1">
      <c r="A17" s="15" t="s">
        <v>1107</v>
      </c>
      <c r="B17" s="15" t="s">
        <v>1109</v>
      </c>
      <c r="C17" s="15" t="s">
        <v>1110</v>
      </c>
      <c r="D17" s="41">
        <v>41035.0</v>
      </c>
      <c r="E17" s="15" t="s">
        <v>98</v>
      </c>
      <c r="F17" s="15">
        <v>5.587931444E9</v>
      </c>
      <c r="G17" s="15" t="s">
        <v>1114</v>
      </c>
      <c r="H17" s="15" t="s">
        <v>140</v>
      </c>
      <c r="I17" s="49" t="s">
        <v>1116</v>
      </c>
      <c r="J17" s="15" t="s">
        <v>1118</v>
      </c>
      <c r="K17" s="15" t="s">
        <v>1120</v>
      </c>
      <c r="L17" s="15">
        <v>5.587931444E9</v>
      </c>
      <c r="M17" s="18"/>
      <c r="N17" s="18"/>
      <c r="O17" s="18"/>
      <c r="P17" s="20">
        <v>13.0</v>
      </c>
      <c r="Q17" s="22">
        <v>46032.68609953704</v>
      </c>
      <c r="R17" s="15" t="s">
        <v>107</v>
      </c>
      <c r="S17" s="15" t="s">
        <v>109</v>
      </c>
      <c r="T17" s="15" t="s">
        <v>204</v>
      </c>
      <c r="U17" s="15" t="s">
        <v>357</v>
      </c>
      <c r="V17" s="15" t="s">
        <v>359</v>
      </c>
      <c r="W17" s="15" t="s">
        <v>362</v>
      </c>
      <c r="X17" s="15" t="s">
        <v>120</v>
      </c>
      <c r="Y17" s="18"/>
      <c r="Z17" s="15" t="s">
        <v>117</v>
      </c>
      <c r="AA17" s="52" t="s">
        <v>1129</v>
      </c>
      <c r="AB17" s="15" t="s">
        <v>117</v>
      </c>
      <c r="AC17" s="15" t="s">
        <v>117</v>
      </c>
      <c r="AD17" s="15" t="s">
        <v>1131</v>
      </c>
      <c r="AE17" s="15" t="s">
        <v>120</v>
      </c>
      <c r="AF17" s="18"/>
      <c r="AG17" s="15" t="s">
        <v>120</v>
      </c>
      <c r="AH17" s="18"/>
      <c r="AI17" s="15" t="s">
        <v>117</v>
      </c>
      <c r="AJ17" s="75" t="s">
        <v>1137</v>
      </c>
      <c r="AK17" s="18"/>
      <c r="AL17" s="15" t="s">
        <v>216</v>
      </c>
      <c r="AM17" s="15" t="s">
        <v>138</v>
      </c>
      <c r="AN17" s="15" t="s">
        <v>156</v>
      </c>
      <c r="AO17" s="15" t="s">
        <v>141</v>
      </c>
    </row>
    <row r="18" ht="22.5" customHeight="1">
      <c r="A18" s="15" t="s">
        <v>1138</v>
      </c>
      <c r="B18" s="15" t="s">
        <v>1139</v>
      </c>
      <c r="C18" s="15" t="s">
        <v>1140</v>
      </c>
      <c r="D18" s="41">
        <v>40163.0</v>
      </c>
      <c r="E18" s="15" t="s">
        <v>98</v>
      </c>
      <c r="F18" s="15">
        <v>5.626895005E9</v>
      </c>
      <c r="G18" s="15" t="s">
        <v>1141</v>
      </c>
      <c r="H18" s="15" t="s">
        <v>150</v>
      </c>
      <c r="I18" s="49" t="s">
        <v>1142</v>
      </c>
      <c r="J18" s="15" t="s">
        <v>1143</v>
      </c>
      <c r="K18" s="15" t="s">
        <v>1144</v>
      </c>
      <c r="L18" s="15">
        <v>5.512573397E9</v>
      </c>
      <c r="M18" s="18"/>
      <c r="N18" s="18"/>
      <c r="O18" s="18"/>
      <c r="P18" s="20">
        <v>16.0</v>
      </c>
      <c r="Q18" s="22">
        <v>46037.80364583333</v>
      </c>
      <c r="R18" s="15" t="s">
        <v>107</v>
      </c>
      <c r="S18" s="15" t="s">
        <v>109</v>
      </c>
      <c r="T18" s="15" t="s">
        <v>111</v>
      </c>
      <c r="U18" s="15" t="s">
        <v>657</v>
      </c>
      <c r="V18" s="15" t="s">
        <v>659</v>
      </c>
      <c r="W18" s="15" t="s">
        <v>662</v>
      </c>
      <c r="X18" s="15" t="s">
        <v>120</v>
      </c>
      <c r="Y18" s="49" t="s">
        <v>697</v>
      </c>
      <c r="Z18" s="15" t="s">
        <v>120</v>
      </c>
      <c r="AA18" s="15" t="s">
        <v>698</v>
      </c>
      <c r="AB18" s="15" t="s">
        <v>120</v>
      </c>
      <c r="AC18" s="15" t="s">
        <v>120</v>
      </c>
      <c r="AD18" s="15" t="s">
        <v>1165</v>
      </c>
      <c r="AE18" s="15" t="s">
        <v>120</v>
      </c>
      <c r="AF18" s="15" t="s">
        <v>667</v>
      </c>
      <c r="AG18" s="15" t="s">
        <v>120</v>
      </c>
      <c r="AH18" s="15" t="s">
        <v>667</v>
      </c>
      <c r="AI18" s="15" t="s">
        <v>117</v>
      </c>
      <c r="AJ18" s="76" t="s">
        <v>1167</v>
      </c>
      <c r="AK18" s="15" t="s">
        <v>667</v>
      </c>
      <c r="AL18" s="15" t="s">
        <v>141</v>
      </c>
      <c r="AM18" s="15" t="s">
        <v>128</v>
      </c>
      <c r="AN18" s="15" t="s">
        <v>156</v>
      </c>
      <c r="AO18" s="15" t="s">
        <v>242</v>
      </c>
    </row>
    <row r="19" ht="22.5" customHeight="1">
      <c r="A19" s="15" t="s">
        <v>1169</v>
      </c>
      <c r="B19" s="15" t="s">
        <v>1171</v>
      </c>
      <c r="C19" s="15" t="s">
        <v>1173</v>
      </c>
      <c r="D19" s="41">
        <v>41260.0</v>
      </c>
      <c r="E19" s="15" t="s">
        <v>98</v>
      </c>
      <c r="F19" s="15">
        <v>5.614743694E9</v>
      </c>
      <c r="G19" s="15" t="s">
        <v>1178</v>
      </c>
      <c r="H19" s="15" t="s">
        <v>140</v>
      </c>
      <c r="I19" s="18"/>
      <c r="J19" s="15" t="s">
        <v>1181</v>
      </c>
      <c r="K19" s="15" t="s">
        <v>1184</v>
      </c>
      <c r="L19" s="15">
        <v>5.529999001E9</v>
      </c>
      <c r="M19" s="18"/>
      <c r="N19" s="18"/>
      <c r="O19" s="18"/>
      <c r="P19" s="20">
        <v>13.0</v>
      </c>
      <c r="Q19" s="22">
        <v>46040.8999537037</v>
      </c>
      <c r="R19" s="15" t="s">
        <v>107</v>
      </c>
      <c r="S19" s="15" t="s">
        <v>109</v>
      </c>
      <c r="T19" s="15" t="s">
        <v>192</v>
      </c>
      <c r="U19" s="15" t="s">
        <v>485</v>
      </c>
      <c r="V19" s="15" t="s">
        <v>486</v>
      </c>
      <c r="W19" s="15" t="s">
        <v>487</v>
      </c>
      <c r="X19" s="15" t="s">
        <v>120</v>
      </c>
      <c r="Y19" s="18"/>
      <c r="Z19" s="15" t="s">
        <v>120</v>
      </c>
      <c r="AA19" s="18"/>
      <c r="AB19" s="15" t="s">
        <v>117</v>
      </c>
      <c r="AC19" s="15" t="s">
        <v>117</v>
      </c>
      <c r="AD19" s="15" t="s">
        <v>1202</v>
      </c>
      <c r="AE19" s="15" t="s">
        <v>117</v>
      </c>
      <c r="AF19" s="15" t="s">
        <v>1205</v>
      </c>
      <c r="AG19" s="15" t="s">
        <v>120</v>
      </c>
      <c r="AH19" s="18"/>
      <c r="AI19" s="15" t="s">
        <v>117</v>
      </c>
      <c r="AJ19" s="75" t="s">
        <v>1207</v>
      </c>
      <c r="AK19" s="18"/>
      <c r="AL19" s="15" t="s">
        <v>240</v>
      </c>
      <c r="AM19" s="15" t="s">
        <v>126</v>
      </c>
      <c r="AN19" s="15" t="s">
        <v>242</v>
      </c>
      <c r="AO19" s="15" t="s">
        <v>156</v>
      </c>
    </row>
    <row r="20" ht="22.5" customHeight="1">
      <c r="A20" s="89" t="s">
        <v>1209</v>
      </c>
      <c r="B20" s="90" t="s">
        <v>1211</v>
      </c>
      <c r="C20" s="90" t="s">
        <v>1212</v>
      </c>
      <c r="D20" s="91">
        <v>40831.0</v>
      </c>
      <c r="E20" s="90" t="s">
        <v>98</v>
      </c>
      <c r="F20" s="92">
        <v>5.615170579E9</v>
      </c>
      <c r="G20" s="90" t="s">
        <v>1216</v>
      </c>
      <c r="H20" s="90" t="s">
        <v>150</v>
      </c>
      <c r="I20" s="93"/>
      <c r="J20" s="90" t="s">
        <v>1221</v>
      </c>
      <c r="K20" s="90" t="s">
        <v>1224</v>
      </c>
      <c r="L20" s="92">
        <v>5.575058233E9</v>
      </c>
      <c r="M20" s="90" t="s">
        <v>1225</v>
      </c>
      <c r="N20" s="90" t="s">
        <v>1227</v>
      </c>
      <c r="O20" s="92">
        <v>5.526102342E9</v>
      </c>
      <c r="P20" s="92">
        <v>14.0</v>
      </c>
      <c r="Q20" s="94">
        <v>46033.4809375</v>
      </c>
      <c r="R20" s="90" t="s">
        <v>107</v>
      </c>
      <c r="S20" s="90" t="s">
        <v>109</v>
      </c>
      <c r="T20" s="90" t="s">
        <v>160</v>
      </c>
      <c r="U20" s="90" t="s">
        <v>329</v>
      </c>
      <c r="V20" s="90" t="s">
        <v>331</v>
      </c>
      <c r="W20" s="90" t="s">
        <v>332</v>
      </c>
      <c r="X20" s="90" t="s">
        <v>120</v>
      </c>
      <c r="Y20" s="93"/>
      <c r="Z20" s="90" t="s">
        <v>120</v>
      </c>
      <c r="AA20" s="93"/>
      <c r="AB20" s="90" t="s">
        <v>120</v>
      </c>
      <c r="AC20" s="93"/>
      <c r="AD20" s="93"/>
      <c r="AE20" s="90" t="s">
        <v>117</v>
      </c>
      <c r="AF20" s="90" t="s">
        <v>807</v>
      </c>
      <c r="AG20" s="90" t="s">
        <v>120</v>
      </c>
      <c r="AH20" s="93"/>
      <c r="AI20" s="90" t="s">
        <v>117</v>
      </c>
      <c r="AJ20" s="95" t="s">
        <v>1243</v>
      </c>
      <c r="AK20" s="93"/>
      <c r="AL20" s="90" t="s">
        <v>216</v>
      </c>
      <c r="AM20" s="90" t="s">
        <v>141</v>
      </c>
      <c r="AN20" s="90" t="s">
        <v>126</v>
      </c>
      <c r="AO20" s="96" t="s">
        <v>242</v>
      </c>
    </row>
    <row r="21" ht="22.5" customHeight="1">
      <c r="A21" s="78" t="s">
        <v>1251</v>
      </c>
      <c r="B21" s="79" t="s">
        <v>1252</v>
      </c>
      <c r="C21" s="79" t="s">
        <v>1253</v>
      </c>
      <c r="D21" s="80">
        <v>40448.0</v>
      </c>
      <c r="E21" s="79" t="s">
        <v>98</v>
      </c>
      <c r="F21" s="79" t="s">
        <v>1257</v>
      </c>
      <c r="G21" s="79" t="s">
        <v>1258</v>
      </c>
      <c r="H21" s="79" t="s">
        <v>101</v>
      </c>
      <c r="I21" s="86"/>
      <c r="J21" s="79" t="s">
        <v>1260</v>
      </c>
      <c r="K21" s="79" t="s">
        <v>1261</v>
      </c>
      <c r="L21" s="81">
        <v>5.614707074E9</v>
      </c>
      <c r="M21" s="79" t="s">
        <v>1262</v>
      </c>
      <c r="N21" s="79" t="s">
        <v>1263</v>
      </c>
      <c r="O21" s="81">
        <v>5.617662662E9</v>
      </c>
      <c r="P21" s="81">
        <v>15.0</v>
      </c>
      <c r="Q21" s="83">
        <v>46026.5165162037</v>
      </c>
      <c r="R21" s="79" t="s">
        <v>107</v>
      </c>
      <c r="S21" s="79" t="s">
        <v>109</v>
      </c>
      <c r="T21" s="79" t="s">
        <v>160</v>
      </c>
      <c r="U21" s="79" t="s">
        <v>1265</v>
      </c>
      <c r="V21" s="79" t="s">
        <v>1267</v>
      </c>
      <c r="W21" s="79" t="s">
        <v>1268</v>
      </c>
      <c r="X21" s="79" t="s">
        <v>120</v>
      </c>
      <c r="Y21" s="86"/>
      <c r="Z21" s="79" t="s">
        <v>120</v>
      </c>
      <c r="AA21" s="86"/>
      <c r="AB21" s="79" t="s">
        <v>120</v>
      </c>
      <c r="AC21" s="86"/>
      <c r="AD21" s="86"/>
      <c r="AE21" s="79" t="s">
        <v>120</v>
      </c>
      <c r="AF21" s="86"/>
      <c r="AG21" s="79" t="s">
        <v>120</v>
      </c>
      <c r="AH21" s="86"/>
      <c r="AI21" s="79" t="s">
        <v>117</v>
      </c>
      <c r="AJ21" s="99" t="s">
        <v>1282</v>
      </c>
      <c r="AK21" s="86"/>
      <c r="AL21" s="79" t="s">
        <v>138</v>
      </c>
      <c r="AM21" s="79" t="s">
        <v>185</v>
      </c>
      <c r="AN21" s="79" t="s">
        <v>156</v>
      </c>
      <c r="AO21" s="88" t="s">
        <v>242</v>
      </c>
    </row>
    <row r="22" ht="22.5" customHeight="1">
      <c r="A22" s="78" t="s">
        <v>1285</v>
      </c>
      <c r="B22" s="79" t="s">
        <v>1286</v>
      </c>
      <c r="C22" s="79" t="s">
        <v>1287</v>
      </c>
      <c r="D22" s="80">
        <v>39963.0</v>
      </c>
      <c r="E22" s="79" t="s">
        <v>98</v>
      </c>
      <c r="F22" s="81">
        <v>5.517126623E9</v>
      </c>
      <c r="G22" s="79" t="s">
        <v>1290</v>
      </c>
      <c r="H22" s="79" t="s">
        <v>140</v>
      </c>
      <c r="I22" s="86"/>
      <c r="J22" s="79" t="s">
        <v>1292</v>
      </c>
      <c r="K22" s="79" t="s">
        <v>1294</v>
      </c>
      <c r="L22" s="81">
        <v>0.0</v>
      </c>
      <c r="M22" s="79" t="s">
        <v>1297</v>
      </c>
      <c r="N22" s="79" t="s">
        <v>1298</v>
      </c>
      <c r="O22" s="81">
        <v>5.548772614E9</v>
      </c>
      <c r="P22" s="81">
        <v>16.0</v>
      </c>
      <c r="Q22" s="83">
        <v>46035.62359953704</v>
      </c>
      <c r="R22" s="79" t="s">
        <v>107</v>
      </c>
      <c r="S22" s="79" t="s">
        <v>109</v>
      </c>
      <c r="T22" s="79" t="s">
        <v>192</v>
      </c>
      <c r="U22" s="79" t="s">
        <v>485</v>
      </c>
      <c r="V22" s="79" t="s">
        <v>486</v>
      </c>
      <c r="W22" s="79" t="s">
        <v>487</v>
      </c>
      <c r="X22" s="79" t="s">
        <v>120</v>
      </c>
      <c r="Y22" s="86"/>
      <c r="Z22" s="79" t="s">
        <v>120</v>
      </c>
      <c r="AA22" s="86"/>
      <c r="AB22" s="79" t="s">
        <v>117</v>
      </c>
      <c r="AC22" s="79" t="s">
        <v>117</v>
      </c>
      <c r="AD22" s="101" t="s">
        <v>1307</v>
      </c>
      <c r="AE22" s="79" t="s">
        <v>117</v>
      </c>
      <c r="AF22" s="79" t="s">
        <v>1309</v>
      </c>
      <c r="AG22" s="79" t="s">
        <v>120</v>
      </c>
      <c r="AH22" s="79" t="s">
        <v>1311</v>
      </c>
      <c r="AI22" s="79" t="s">
        <v>120</v>
      </c>
      <c r="AJ22" s="86"/>
      <c r="AK22" s="79" t="s">
        <v>1311</v>
      </c>
      <c r="AL22" s="79" t="s">
        <v>185</v>
      </c>
      <c r="AM22" s="79" t="s">
        <v>129</v>
      </c>
      <c r="AN22" s="79" t="s">
        <v>216</v>
      </c>
      <c r="AO22" s="88" t="s">
        <v>124</v>
      </c>
    </row>
    <row r="23" ht="22.5" customHeight="1">
      <c r="A23" s="15" t="s">
        <v>1328</v>
      </c>
      <c r="B23" s="15" t="s">
        <v>1330</v>
      </c>
      <c r="C23" s="15" t="s">
        <v>1331</v>
      </c>
      <c r="D23" s="41">
        <v>40046.0</v>
      </c>
      <c r="E23" s="15" t="s">
        <v>98</v>
      </c>
      <c r="F23" s="15">
        <v>5.577109241E9</v>
      </c>
      <c r="G23" s="15" t="s">
        <v>1333</v>
      </c>
      <c r="H23" s="15" t="s">
        <v>140</v>
      </c>
      <c r="I23" s="23" t="s">
        <v>135</v>
      </c>
      <c r="J23" s="15" t="s">
        <v>1336</v>
      </c>
      <c r="K23" s="15" t="s">
        <v>1338</v>
      </c>
      <c r="L23" s="15">
        <v>5.585591381E9</v>
      </c>
      <c r="M23" s="18"/>
      <c r="N23" s="18"/>
      <c r="O23" s="18"/>
      <c r="P23" s="20">
        <v>16.0</v>
      </c>
      <c r="Q23" s="22">
        <v>46033.80489583333</v>
      </c>
      <c r="R23" s="15" t="s">
        <v>107</v>
      </c>
      <c r="S23" s="15" t="s">
        <v>109</v>
      </c>
      <c r="T23" s="15" t="s">
        <v>160</v>
      </c>
      <c r="U23" s="15" t="s">
        <v>279</v>
      </c>
      <c r="V23" s="15" t="s">
        <v>280</v>
      </c>
      <c r="W23" s="15" t="s">
        <v>282</v>
      </c>
      <c r="X23" s="15" t="s">
        <v>120</v>
      </c>
      <c r="Y23" s="18"/>
      <c r="Z23" s="15" t="s">
        <v>120</v>
      </c>
      <c r="AA23" s="18"/>
      <c r="AB23" s="15" t="s">
        <v>120</v>
      </c>
      <c r="AC23" s="15" t="s">
        <v>120</v>
      </c>
      <c r="AD23" s="18"/>
      <c r="AE23" s="15" t="s">
        <v>120</v>
      </c>
      <c r="AF23" s="18"/>
      <c r="AG23" s="15" t="s">
        <v>120</v>
      </c>
      <c r="AH23" s="18"/>
      <c r="AI23" s="15" t="s">
        <v>117</v>
      </c>
      <c r="AJ23" s="76" t="s">
        <v>1360</v>
      </c>
      <c r="AK23" s="15" t="s">
        <v>1362</v>
      </c>
      <c r="AL23" s="15" t="s">
        <v>216</v>
      </c>
      <c r="AM23" s="15" t="s">
        <v>240</v>
      </c>
      <c r="AN23" s="15" t="s">
        <v>126</v>
      </c>
      <c r="AO23" s="15" t="s">
        <v>156</v>
      </c>
    </row>
    <row r="24" ht="22.5" customHeight="1">
      <c r="A24" s="15" t="s">
        <v>1366</v>
      </c>
      <c r="B24" s="15" t="s">
        <v>1367</v>
      </c>
      <c r="C24" s="15" t="s">
        <v>1369</v>
      </c>
      <c r="D24" s="41">
        <v>39785.0</v>
      </c>
      <c r="E24" s="15" t="s">
        <v>98</v>
      </c>
      <c r="F24" s="15">
        <v>5.620687961E9</v>
      </c>
      <c r="G24" s="15" t="s">
        <v>1380</v>
      </c>
      <c r="H24" s="15" t="s">
        <v>101</v>
      </c>
      <c r="I24" s="18"/>
      <c r="J24" s="15" t="s">
        <v>1383</v>
      </c>
      <c r="K24" s="15" t="s">
        <v>1386</v>
      </c>
      <c r="L24" s="15">
        <v>5.518388891E9</v>
      </c>
      <c r="M24" s="18"/>
      <c r="N24" s="18"/>
      <c r="O24" s="18"/>
      <c r="P24" s="20">
        <v>17.0</v>
      </c>
      <c r="Q24" s="22">
        <v>46033.51119212963</v>
      </c>
      <c r="R24" s="15" t="s">
        <v>107</v>
      </c>
      <c r="S24" s="15" t="s">
        <v>109</v>
      </c>
      <c r="T24" s="15" t="s">
        <v>160</v>
      </c>
      <c r="U24" s="15" t="s">
        <v>1265</v>
      </c>
      <c r="V24" s="15" t="s">
        <v>1267</v>
      </c>
      <c r="W24" s="15" t="s">
        <v>1268</v>
      </c>
      <c r="X24" s="15" t="s">
        <v>120</v>
      </c>
      <c r="Y24" s="18"/>
      <c r="Z24" s="15" t="s">
        <v>117</v>
      </c>
      <c r="AA24" s="58" t="s">
        <v>1398</v>
      </c>
      <c r="AB24" s="15" t="s">
        <v>120</v>
      </c>
      <c r="AC24" s="18"/>
      <c r="AD24" s="18"/>
      <c r="AE24" s="15" t="s">
        <v>120</v>
      </c>
      <c r="AF24" s="18"/>
      <c r="AG24" s="15" t="s">
        <v>120</v>
      </c>
      <c r="AH24" s="18"/>
      <c r="AI24" s="15" t="s">
        <v>117</v>
      </c>
      <c r="AJ24" s="76" t="s">
        <v>1402</v>
      </c>
      <c r="AK24" s="18"/>
      <c r="AL24" s="15" t="s">
        <v>129</v>
      </c>
      <c r="AM24" s="15" t="s">
        <v>216</v>
      </c>
      <c r="AN24" s="15" t="s">
        <v>124</v>
      </c>
      <c r="AO24" s="15" t="s">
        <v>240</v>
      </c>
    </row>
    <row r="25" ht="22.5" customHeight="1">
      <c r="A25" s="15" t="s">
        <v>1407</v>
      </c>
      <c r="B25" s="15" t="s">
        <v>1408</v>
      </c>
      <c r="C25" s="15" t="s">
        <v>1411</v>
      </c>
      <c r="D25" s="41">
        <v>39715.0</v>
      </c>
      <c r="E25" s="15" t="s">
        <v>98</v>
      </c>
      <c r="F25" s="15">
        <v>5.632731751E9</v>
      </c>
      <c r="G25" s="15" t="s">
        <v>700</v>
      </c>
      <c r="H25" s="15" t="s">
        <v>101</v>
      </c>
      <c r="I25" s="18"/>
      <c r="J25" s="15" t="s">
        <v>702</v>
      </c>
      <c r="K25" s="15" t="s">
        <v>700</v>
      </c>
      <c r="L25" s="15">
        <v>5.518729991E9</v>
      </c>
      <c r="M25" s="18"/>
      <c r="N25" s="18"/>
      <c r="O25" s="18"/>
      <c r="P25" s="20">
        <v>17.0</v>
      </c>
      <c r="Q25" s="22">
        <v>46019.83887731482</v>
      </c>
      <c r="R25" s="15" t="s">
        <v>107</v>
      </c>
      <c r="S25" s="15" t="s">
        <v>109</v>
      </c>
      <c r="T25" s="15" t="s">
        <v>204</v>
      </c>
      <c r="U25" s="15" t="s">
        <v>699</v>
      </c>
      <c r="V25" s="15" t="s">
        <v>700</v>
      </c>
      <c r="W25" s="15" t="s">
        <v>702</v>
      </c>
      <c r="X25" s="15" t="s">
        <v>120</v>
      </c>
      <c r="Y25" s="18"/>
      <c r="Z25" s="15" t="s">
        <v>120</v>
      </c>
      <c r="AA25" s="18"/>
      <c r="AB25" s="15" t="s">
        <v>120</v>
      </c>
      <c r="AC25" s="15" t="s">
        <v>120</v>
      </c>
      <c r="AD25" s="18"/>
      <c r="AE25" s="15" t="s">
        <v>120</v>
      </c>
      <c r="AF25" s="18"/>
      <c r="AG25" s="15" t="s">
        <v>120</v>
      </c>
      <c r="AH25" s="18"/>
      <c r="AI25" s="15" t="s">
        <v>117</v>
      </c>
      <c r="AJ25" s="76" t="s">
        <v>1437</v>
      </c>
      <c r="AK25" s="18"/>
      <c r="AL25" s="15" t="s">
        <v>141</v>
      </c>
      <c r="AM25" s="15" t="s">
        <v>129</v>
      </c>
      <c r="AN25" s="15" t="s">
        <v>185</v>
      </c>
      <c r="AO25" s="15" t="s">
        <v>156</v>
      </c>
    </row>
    <row r="26" ht="22.5" customHeight="1">
      <c r="A26" s="15" t="s">
        <v>1444</v>
      </c>
      <c r="B26" s="15" t="s">
        <v>1446</v>
      </c>
      <c r="C26" s="15" t="s">
        <v>1447</v>
      </c>
      <c r="D26" s="41">
        <v>40384.0</v>
      </c>
      <c r="E26" s="15" t="s">
        <v>98</v>
      </c>
      <c r="F26" s="18">
        <f>+525663890416</f>
        <v>525663890416</v>
      </c>
      <c r="G26" s="15" t="s">
        <v>1457</v>
      </c>
      <c r="H26" s="15" t="s">
        <v>110</v>
      </c>
      <c r="I26" s="18"/>
      <c r="J26" s="15" t="s">
        <v>1460</v>
      </c>
      <c r="K26" s="15" t="s">
        <v>1457</v>
      </c>
      <c r="L26" s="15">
        <v>5.25534837235E11</v>
      </c>
      <c r="M26" s="15" t="s">
        <v>1465</v>
      </c>
      <c r="N26" s="15" t="s">
        <v>1466</v>
      </c>
      <c r="O26" s="15">
        <v>5.512919582E9</v>
      </c>
      <c r="P26" s="20">
        <v>15.0</v>
      </c>
      <c r="Q26" s="22">
        <v>46040.89759259259</v>
      </c>
      <c r="R26" s="15" t="s">
        <v>107</v>
      </c>
      <c r="S26" s="15" t="s">
        <v>109</v>
      </c>
      <c r="T26" s="15" t="s">
        <v>171</v>
      </c>
      <c r="U26" s="15" t="s">
        <v>1474</v>
      </c>
      <c r="V26" s="15" t="s">
        <v>1475</v>
      </c>
      <c r="W26" s="15" t="s">
        <v>1476</v>
      </c>
      <c r="X26" s="15" t="s">
        <v>120</v>
      </c>
      <c r="Y26" s="18"/>
      <c r="Z26" s="15" t="s">
        <v>120</v>
      </c>
      <c r="AA26" s="18"/>
      <c r="AB26" s="15" t="s">
        <v>120</v>
      </c>
      <c r="AC26" s="18"/>
      <c r="AD26" s="18"/>
      <c r="AE26" s="15" t="s">
        <v>120</v>
      </c>
      <c r="AF26" s="18"/>
      <c r="AG26" s="15" t="s">
        <v>120</v>
      </c>
      <c r="AH26" s="18"/>
      <c r="AI26" s="15" t="s">
        <v>117</v>
      </c>
      <c r="AJ26" s="76" t="s">
        <v>1483</v>
      </c>
      <c r="AK26" s="15" t="s">
        <v>178</v>
      </c>
      <c r="AL26" s="15" t="s">
        <v>138</v>
      </c>
      <c r="AM26" s="15" t="s">
        <v>124</v>
      </c>
      <c r="AN26" s="15" t="s">
        <v>129</v>
      </c>
      <c r="AO26" s="15" t="s">
        <v>216</v>
      </c>
    </row>
    <row r="27" ht="22.5" customHeight="1">
      <c r="A27" s="15" t="s">
        <v>1493</v>
      </c>
      <c r="B27" s="15" t="s">
        <v>1495</v>
      </c>
      <c r="C27" s="15" t="s">
        <v>62</v>
      </c>
      <c r="D27" s="41">
        <v>40009.0</v>
      </c>
      <c r="E27" s="15" t="s">
        <v>177</v>
      </c>
      <c r="F27" s="15">
        <v>5.636595005E9</v>
      </c>
      <c r="G27" s="15" t="s">
        <v>1499</v>
      </c>
      <c r="H27" s="15" t="s">
        <v>150</v>
      </c>
      <c r="I27" s="18"/>
      <c r="J27" s="15" t="s">
        <v>1501</v>
      </c>
      <c r="K27" s="15" t="s">
        <v>1502</v>
      </c>
      <c r="L27" s="15">
        <v>5.565550208E9</v>
      </c>
      <c r="M27" s="18"/>
      <c r="N27" s="18"/>
      <c r="O27" s="18"/>
      <c r="P27" s="20">
        <v>16.0</v>
      </c>
      <c r="Q27" s="22">
        <v>46026.895474537036</v>
      </c>
      <c r="R27" s="15" t="s">
        <v>107</v>
      </c>
      <c r="S27" s="15" t="s">
        <v>109</v>
      </c>
      <c r="T27" s="15" t="s">
        <v>208</v>
      </c>
      <c r="U27" s="15" t="s">
        <v>601</v>
      </c>
      <c r="V27" s="15" t="s">
        <v>602</v>
      </c>
      <c r="W27" s="15" t="s">
        <v>603</v>
      </c>
      <c r="X27" s="15" t="s">
        <v>120</v>
      </c>
      <c r="Y27" s="18"/>
      <c r="Z27" s="15" t="s">
        <v>117</v>
      </c>
      <c r="AA27" s="52" t="s">
        <v>1504</v>
      </c>
      <c r="AB27" s="15" t="s">
        <v>120</v>
      </c>
      <c r="AC27" s="18"/>
      <c r="AD27" s="18"/>
      <c r="AE27" s="15" t="s">
        <v>120</v>
      </c>
      <c r="AF27" s="18"/>
      <c r="AG27" s="15" t="s">
        <v>120</v>
      </c>
      <c r="AH27" s="18"/>
      <c r="AI27" s="15" t="s">
        <v>117</v>
      </c>
      <c r="AJ27" s="75" t="s">
        <v>1506</v>
      </c>
      <c r="AK27" s="15" t="s">
        <v>135</v>
      </c>
      <c r="AL27" s="15" t="s">
        <v>185</v>
      </c>
      <c r="AM27" s="15" t="s">
        <v>124</v>
      </c>
      <c r="AN27" s="15" t="s">
        <v>156</v>
      </c>
      <c r="AO27" s="15" t="s">
        <v>126</v>
      </c>
    </row>
    <row r="28" ht="22.5" customHeight="1">
      <c r="A28" s="89" t="s">
        <v>1510</v>
      </c>
      <c r="B28" s="90" t="s">
        <v>1513</v>
      </c>
      <c r="C28" s="90" t="s">
        <v>1514</v>
      </c>
      <c r="D28" s="91">
        <v>40459.0</v>
      </c>
      <c r="E28" s="90" t="s">
        <v>177</v>
      </c>
      <c r="F28" s="90" t="s">
        <v>1515</v>
      </c>
      <c r="G28" s="90" t="s">
        <v>1516</v>
      </c>
      <c r="H28" s="90" t="s">
        <v>150</v>
      </c>
      <c r="I28" s="93"/>
      <c r="J28" s="90" t="s">
        <v>1519</v>
      </c>
      <c r="K28" s="90" t="s">
        <v>1521</v>
      </c>
      <c r="L28" s="92">
        <v>5.586136085E9</v>
      </c>
      <c r="M28" s="93"/>
      <c r="N28" s="93"/>
      <c r="O28" s="93"/>
      <c r="P28" s="92">
        <v>15.0</v>
      </c>
      <c r="Q28" s="94">
        <v>46020.466678240744</v>
      </c>
      <c r="R28" s="90" t="s">
        <v>107</v>
      </c>
      <c r="S28" s="90" t="s">
        <v>109</v>
      </c>
      <c r="T28" s="90" t="s">
        <v>208</v>
      </c>
      <c r="U28" s="90" t="s">
        <v>428</v>
      </c>
      <c r="V28" s="90" t="s">
        <v>429</v>
      </c>
      <c r="W28" s="90" t="s">
        <v>430</v>
      </c>
      <c r="X28" s="90" t="s">
        <v>120</v>
      </c>
      <c r="Y28" s="93"/>
      <c r="Z28" s="90" t="s">
        <v>120</v>
      </c>
      <c r="AA28" s="93"/>
      <c r="AB28" s="90" t="s">
        <v>120</v>
      </c>
      <c r="AC28" s="90" t="s">
        <v>117</v>
      </c>
      <c r="AD28" s="93"/>
      <c r="AE28" s="90" t="s">
        <v>120</v>
      </c>
      <c r="AF28" s="93"/>
      <c r="AG28" s="90" t="s">
        <v>120</v>
      </c>
      <c r="AH28" s="93"/>
      <c r="AI28" s="90" t="s">
        <v>117</v>
      </c>
      <c r="AJ28" s="95" t="s">
        <v>1540</v>
      </c>
      <c r="AK28" s="93"/>
      <c r="AL28" s="90" t="s">
        <v>185</v>
      </c>
      <c r="AM28" s="90" t="s">
        <v>156</v>
      </c>
      <c r="AN28" s="90" t="s">
        <v>124</v>
      </c>
      <c r="AO28" s="96" t="s">
        <v>138</v>
      </c>
    </row>
    <row r="29" ht="22.5" customHeight="1">
      <c r="A29" s="89" t="s">
        <v>1542</v>
      </c>
      <c r="B29" s="90" t="s">
        <v>1543</v>
      </c>
      <c r="C29" s="90" t="s">
        <v>1544</v>
      </c>
      <c r="D29" s="91">
        <v>40653.0</v>
      </c>
      <c r="E29" s="90" t="s">
        <v>177</v>
      </c>
      <c r="F29" s="92">
        <v>5.610274297E9</v>
      </c>
      <c r="G29" s="90" t="s">
        <v>1547</v>
      </c>
      <c r="H29" s="90" t="s">
        <v>140</v>
      </c>
      <c r="I29" s="90" t="s">
        <v>1549</v>
      </c>
      <c r="J29" s="90" t="s">
        <v>1551</v>
      </c>
      <c r="K29" s="90" t="s">
        <v>1547</v>
      </c>
      <c r="L29" s="92">
        <v>5.610274297E9</v>
      </c>
      <c r="M29" s="93"/>
      <c r="N29" s="93"/>
      <c r="O29" s="93"/>
      <c r="P29" s="92">
        <v>14.0</v>
      </c>
      <c r="Q29" s="94">
        <v>46039.70263888889</v>
      </c>
      <c r="R29" s="90" t="s">
        <v>107</v>
      </c>
      <c r="S29" s="90" t="s">
        <v>109</v>
      </c>
      <c r="T29" s="90" t="s">
        <v>204</v>
      </c>
      <c r="U29" s="90" t="s">
        <v>311</v>
      </c>
      <c r="V29" s="90" t="s">
        <v>312</v>
      </c>
      <c r="W29" s="90" t="s">
        <v>313</v>
      </c>
      <c r="X29" s="90" t="s">
        <v>120</v>
      </c>
      <c r="Y29" s="93"/>
      <c r="Z29" s="90" t="s">
        <v>120</v>
      </c>
      <c r="AA29" s="93"/>
      <c r="AB29" s="90" t="s">
        <v>117</v>
      </c>
      <c r="AC29" s="90" t="s">
        <v>117</v>
      </c>
      <c r="AD29" s="90" t="s">
        <v>1566</v>
      </c>
      <c r="AE29" s="90" t="s">
        <v>120</v>
      </c>
      <c r="AF29" s="93"/>
      <c r="AG29" s="90" t="s">
        <v>120</v>
      </c>
      <c r="AH29" s="93"/>
      <c r="AI29" s="90" t="s">
        <v>117</v>
      </c>
      <c r="AJ29" s="95" t="s">
        <v>178</v>
      </c>
      <c r="AK29" s="93"/>
      <c r="AL29" s="90" t="s">
        <v>141</v>
      </c>
      <c r="AM29" s="90" t="s">
        <v>129</v>
      </c>
      <c r="AN29" s="90" t="s">
        <v>138</v>
      </c>
      <c r="AO29" s="96" t="s">
        <v>126</v>
      </c>
    </row>
    <row r="30" ht="22.5" customHeight="1">
      <c r="A30" s="15" t="s">
        <v>1285</v>
      </c>
      <c r="B30" s="15" t="s">
        <v>1575</v>
      </c>
      <c r="C30" s="15" t="s">
        <v>1576</v>
      </c>
      <c r="D30" s="41">
        <v>39727.0</v>
      </c>
      <c r="E30" s="15" t="s">
        <v>98</v>
      </c>
      <c r="F30" s="15">
        <v>5.548718075E9</v>
      </c>
      <c r="G30" s="15" t="s">
        <v>1584</v>
      </c>
      <c r="H30" s="15" t="s">
        <v>110</v>
      </c>
      <c r="I30" s="18"/>
      <c r="J30" s="15" t="s">
        <v>1586</v>
      </c>
      <c r="K30" s="15" t="s">
        <v>1588</v>
      </c>
      <c r="L30" s="15">
        <v>5.564927995E9</v>
      </c>
      <c r="M30" s="18"/>
      <c r="N30" s="18"/>
      <c r="O30" s="18"/>
      <c r="P30" s="20">
        <v>17.0</v>
      </c>
      <c r="Q30" s="22">
        <v>46033.44185185185</v>
      </c>
      <c r="R30" s="15" t="s">
        <v>107</v>
      </c>
      <c r="S30" s="15" t="s">
        <v>109</v>
      </c>
      <c r="T30" s="15" t="s">
        <v>160</v>
      </c>
      <c r="U30" s="15" t="s">
        <v>308</v>
      </c>
      <c r="V30" s="15" t="s">
        <v>309</v>
      </c>
      <c r="W30" s="15" t="s">
        <v>310</v>
      </c>
      <c r="X30" s="15" t="s">
        <v>120</v>
      </c>
      <c r="Y30" s="18"/>
      <c r="Z30" s="15" t="s">
        <v>120</v>
      </c>
      <c r="AA30" s="18"/>
      <c r="AB30" s="15" t="s">
        <v>120</v>
      </c>
      <c r="AC30" s="18"/>
      <c r="AD30" s="18"/>
      <c r="AE30" s="15" t="s">
        <v>120</v>
      </c>
      <c r="AF30" s="18"/>
      <c r="AG30" s="15" t="s">
        <v>120</v>
      </c>
      <c r="AH30" s="18"/>
      <c r="AI30" s="15" t="s">
        <v>117</v>
      </c>
      <c r="AJ30" s="76" t="s">
        <v>1601</v>
      </c>
      <c r="AK30" s="18"/>
      <c r="AL30" s="15" t="s">
        <v>138</v>
      </c>
      <c r="AM30" s="15" t="s">
        <v>156</v>
      </c>
      <c r="AN30" s="15" t="s">
        <v>124</v>
      </c>
      <c r="AO30" s="15" t="s">
        <v>242</v>
      </c>
    </row>
    <row r="31" ht="22.5" customHeight="1">
      <c r="A31" s="78" t="s">
        <v>1606</v>
      </c>
      <c r="B31" s="79" t="s">
        <v>1607</v>
      </c>
      <c r="C31" s="86"/>
      <c r="D31" s="80">
        <v>40159.0</v>
      </c>
      <c r="E31" s="79" t="s">
        <v>177</v>
      </c>
      <c r="F31" s="81">
        <v>5.588061619E9</v>
      </c>
      <c r="G31" s="79" t="s">
        <v>1613</v>
      </c>
      <c r="H31" s="79" t="s">
        <v>140</v>
      </c>
      <c r="I31" s="86"/>
      <c r="J31" s="79" t="s">
        <v>1616</v>
      </c>
      <c r="K31" s="79" t="s">
        <v>1613</v>
      </c>
      <c r="L31" s="81">
        <v>5.588061619E9</v>
      </c>
      <c r="M31" s="86"/>
      <c r="N31" s="86"/>
      <c r="O31" s="86"/>
      <c r="P31" s="81">
        <v>16.0</v>
      </c>
      <c r="Q31" s="83">
        <v>46040.59087962963</v>
      </c>
      <c r="R31" s="79" t="s">
        <v>107</v>
      </c>
      <c r="S31" s="79" t="s">
        <v>109</v>
      </c>
      <c r="T31" s="79" t="s">
        <v>192</v>
      </c>
      <c r="U31" s="79" t="s">
        <v>485</v>
      </c>
      <c r="V31" s="79" t="s">
        <v>486</v>
      </c>
      <c r="W31" s="79" t="s">
        <v>487</v>
      </c>
      <c r="X31" s="79" t="s">
        <v>120</v>
      </c>
      <c r="Y31" s="86"/>
      <c r="Z31" s="79" t="s">
        <v>117</v>
      </c>
      <c r="AA31" s="85" t="s">
        <v>1630</v>
      </c>
      <c r="AB31" s="79" t="s">
        <v>117</v>
      </c>
      <c r="AC31" s="79" t="s">
        <v>117</v>
      </c>
      <c r="AD31" s="79" t="s">
        <v>1634</v>
      </c>
      <c r="AE31" s="79" t="s">
        <v>117</v>
      </c>
      <c r="AF31" s="79" t="s">
        <v>843</v>
      </c>
      <c r="AG31" s="79" t="s">
        <v>120</v>
      </c>
      <c r="AH31" s="86"/>
      <c r="AI31" s="79" t="s">
        <v>117</v>
      </c>
      <c r="AJ31" s="99" t="s">
        <v>178</v>
      </c>
      <c r="AK31" s="79" t="s">
        <v>1638</v>
      </c>
      <c r="AL31" s="79" t="s">
        <v>129</v>
      </c>
      <c r="AM31" s="79" t="s">
        <v>156</v>
      </c>
      <c r="AN31" s="79" t="s">
        <v>216</v>
      </c>
      <c r="AO31" s="88" t="s">
        <v>185</v>
      </c>
    </row>
    <row r="32" ht="22.5" customHeight="1">
      <c r="A32" s="78" t="s">
        <v>1640</v>
      </c>
      <c r="B32" s="79" t="s">
        <v>1642</v>
      </c>
      <c r="C32" s="79" t="s">
        <v>1643</v>
      </c>
      <c r="D32" s="80">
        <v>41117.0</v>
      </c>
      <c r="E32" s="79" t="s">
        <v>177</v>
      </c>
      <c r="F32" s="79" t="s">
        <v>1645</v>
      </c>
      <c r="G32" s="79" t="s">
        <v>1648</v>
      </c>
      <c r="H32" s="79" t="s">
        <v>101</v>
      </c>
      <c r="I32" s="90" t="s">
        <v>1652</v>
      </c>
      <c r="J32" s="79" t="s">
        <v>136</v>
      </c>
      <c r="K32" s="79" t="s">
        <v>1655</v>
      </c>
      <c r="L32" s="81">
        <v>5.583376421E9</v>
      </c>
      <c r="M32" s="86"/>
      <c r="N32" s="86"/>
      <c r="O32" s="86"/>
      <c r="P32" s="81">
        <v>13.0</v>
      </c>
      <c r="Q32" s="83">
        <v>46034.830671296295</v>
      </c>
      <c r="R32" s="79" t="s">
        <v>107</v>
      </c>
      <c r="S32" s="79" t="s">
        <v>109</v>
      </c>
      <c r="T32" s="79" t="s">
        <v>208</v>
      </c>
      <c r="U32" s="79" t="s">
        <v>788</v>
      </c>
      <c r="V32" s="79" t="s">
        <v>789</v>
      </c>
      <c r="W32" s="79" t="s">
        <v>790</v>
      </c>
      <c r="X32" s="79" t="s">
        <v>120</v>
      </c>
      <c r="Y32" s="86"/>
      <c r="Z32" s="79" t="s">
        <v>120</v>
      </c>
      <c r="AA32" s="86"/>
      <c r="AB32" s="79" t="s">
        <v>120</v>
      </c>
      <c r="AC32" s="86"/>
      <c r="AD32" s="79" t="s">
        <v>135</v>
      </c>
      <c r="AE32" s="79" t="s">
        <v>120</v>
      </c>
      <c r="AF32" s="86"/>
      <c r="AG32" s="79" t="s">
        <v>120</v>
      </c>
      <c r="AH32" s="86"/>
      <c r="AI32" s="79" t="s">
        <v>117</v>
      </c>
      <c r="AJ32" s="99" t="s">
        <v>1682</v>
      </c>
      <c r="AK32" s="79" t="s">
        <v>1684</v>
      </c>
      <c r="AL32" s="79" t="s">
        <v>138</v>
      </c>
      <c r="AM32" s="79" t="s">
        <v>128</v>
      </c>
      <c r="AN32" s="79" t="s">
        <v>156</v>
      </c>
      <c r="AO32" s="88" t="s">
        <v>185</v>
      </c>
    </row>
    <row r="33" ht="22.5" customHeight="1">
      <c r="A33" s="15" t="s">
        <v>1690</v>
      </c>
      <c r="B33" s="15" t="s">
        <v>1691</v>
      </c>
      <c r="C33" s="15" t="s">
        <v>1692</v>
      </c>
      <c r="D33" s="41">
        <v>40575.0</v>
      </c>
      <c r="E33" s="15" t="s">
        <v>177</v>
      </c>
      <c r="F33" s="15">
        <v>5.544044844E9</v>
      </c>
      <c r="G33" s="15" t="s">
        <v>1693</v>
      </c>
      <c r="H33" s="15" t="s">
        <v>101</v>
      </c>
      <c r="I33" s="18"/>
      <c r="J33" s="15" t="s">
        <v>1694</v>
      </c>
      <c r="K33" s="15" t="s">
        <v>1697</v>
      </c>
      <c r="L33" s="15">
        <v>5.583677919E9</v>
      </c>
      <c r="M33" s="18"/>
      <c r="N33" s="18"/>
      <c r="O33" s="18"/>
      <c r="P33" s="20">
        <v>15.0</v>
      </c>
      <c r="Q33" s="22">
        <v>46039.514328703706</v>
      </c>
      <c r="R33" s="15" t="s">
        <v>107</v>
      </c>
      <c r="S33" s="15" t="s">
        <v>109</v>
      </c>
      <c r="T33" s="15" t="s">
        <v>204</v>
      </c>
      <c r="U33" s="15" t="s">
        <v>367</v>
      </c>
      <c r="V33" s="15" t="s">
        <v>368</v>
      </c>
      <c r="W33" s="15" t="s">
        <v>369</v>
      </c>
      <c r="X33" s="15" t="s">
        <v>120</v>
      </c>
      <c r="Y33" s="18"/>
      <c r="Z33" s="15" t="s">
        <v>117</v>
      </c>
      <c r="AA33" s="58" t="s">
        <v>1708</v>
      </c>
      <c r="AB33" s="15" t="s">
        <v>120</v>
      </c>
      <c r="AC33" s="15" t="s">
        <v>120</v>
      </c>
      <c r="AD33" s="18"/>
      <c r="AE33" s="15" t="s">
        <v>120</v>
      </c>
      <c r="AF33" s="18"/>
      <c r="AG33" s="15" t="s">
        <v>120</v>
      </c>
      <c r="AH33" s="18"/>
      <c r="AI33" s="15" t="s">
        <v>117</v>
      </c>
      <c r="AJ33" s="76" t="s">
        <v>1711</v>
      </c>
      <c r="AK33" s="18"/>
      <c r="AL33" s="15" t="s">
        <v>156</v>
      </c>
      <c r="AM33" s="15" t="s">
        <v>185</v>
      </c>
      <c r="AN33" s="15" t="s">
        <v>128</v>
      </c>
      <c r="AO33" s="15" t="s">
        <v>240</v>
      </c>
    </row>
    <row r="34" ht="22.5" customHeight="1">
      <c r="A34" s="78" t="s">
        <v>1715</v>
      </c>
      <c r="B34" s="79" t="s">
        <v>1718</v>
      </c>
      <c r="C34" s="79" t="s">
        <v>1721</v>
      </c>
      <c r="D34" s="80">
        <v>39656.0</v>
      </c>
      <c r="E34" s="79" t="s">
        <v>98</v>
      </c>
      <c r="F34" s="81">
        <v>5.586817115E9</v>
      </c>
      <c r="G34" s="79" t="s">
        <v>1723</v>
      </c>
      <c r="H34" s="79" t="s">
        <v>150</v>
      </c>
      <c r="I34" s="86"/>
      <c r="J34" s="79" t="s">
        <v>1726</v>
      </c>
      <c r="K34" s="79" t="s">
        <v>1727</v>
      </c>
      <c r="L34" s="81">
        <v>5.565208788E9</v>
      </c>
      <c r="M34" s="86"/>
      <c r="N34" s="86"/>
      <c r="O34" s="86"/>
      <c r="P34" s="81">
        <v>17.0</v>
      </c>
      <c r="Q34" s="83">
        <v>46029.90769675926</v>
      </c>
      <c r="R34" s="79" t="s">
        <v>107</v>
      </c>
      <c r="S34" s="79" t="s">
        <v>109</v>
      </c>
      <c r="T34" s="79" t="s">
        <v>160</v>
      </c>
      <c r="U34" s="79" t="s">
        <v>1739</v>
      </c>
      <c r="V34" s="79" t="s">
        <v>1740</v>
      </c>
      <c r="W34" s="79" t="s">
        <v>1741</v>
      </c>
      <c r="X34" s="79" t="s">
        <v>120</v>
      </c>
      <c r="Y34" s="86"/>
      <c r="Z34" s="79" t="s">
        <v>120</v>
      </c>
      <c r="AA34" s="86"/>
      <c r="AB34" s="79" t="s">
        <v>120</v>
      </c>
      <c r="AC34" s="86"/>
      <c r="AD34" s="86"/>
      <c r="AE34" s="79" t="s">
        <v>120</v>
      </c>
      <c r="AF34" s="86"/>
      <c r="AG34" s="79" t="s">
        <v>120</v>
      </c>
      <c r="AH34" s="86"/>
      <c r="AI34" s="79" t="s">
        <v>117</v>
      </c>
      <c r="AJ34" s="99" t="s">
        <v>575</v>
      </c>
      <c r="AK34" s="86"/>
      <c r="AL34" s="79" t="s">
        <v>141</v>
      </c>
      <c r="AM34" s="79" t="s">
        <v>129</v>
      </c>
      <c r="AN34" s="79" t="s">
        <v>128</v>
      </c>
      <c r="AO34" s="88" t="s">
        <v>156</v>
      </c>
    </row>
    <row r="35" ht="22.5" customHeight="1">
      <c r="A35" s="89" t="s">
        <v>1754</v>
      </c>
      <c r="B35" s="90" t="s">
        <v>1757</v>
      </c>
      <c r="C35" s="90" t="s">
        <v>1758</v>
      </c>
      <c r="D35" s="91">
        <v>41197.0</v>
      </c>
      <c r="E35" s="90" t="s">
        <v>98</v>
      </c>
      <c r="F35" s="92">
        <v>5.540167442E9</v>
      </c>
      <c r="G35" s="90" t="s">
        <v>1762</v>
      </c>
      <c r="H35" s="90" t="s">
        <v>150</v>
      </c>
      <c r="I35" s="93"/>
      <c r="J35" s="90" t="s">
        <v>1764</v>
      </c>
      <c r="K35" s="90" t="s">
        <v>1766</v>
      </c>
      <c r="L35" s="92">
        <v>5.539984743E9</v>
      </c>
      <c r="M35" s="90" t="s">
        <v>1769</v>
      </c>
      <c r="N35" s="90" t="s">
        <v>1770</v>
      </c>
      <c r="O35" s="92">
        <v>5.511350907E9</v>
      </c>
      <c r="P35" s="92">
        <v>13.0</v>
      </c>
      <c r="Q35" s="94">
        <v>46021.54019675926</v>
      </c>
      <c r="R35" s="90" t="s">
        <v>107</v>
      </c>
      <c r="S35" s="90" t="s">
        <v>109</v>
      </c>
      <c r="T35" s="90" t="s">
        <v>204</v>
      </c>
      <c r="U35" s="90" t="s">
        <v>205</v>
      </c>
      <c r="V35" s="90" t="s">
        <v>206</v>
      </c>
      <c r="W35" s="90" t="s">
        <v>207</v>
      </c>
      <c r="X35" s="90" t="s">
        <v>120</v>
      </c>
      <c r="Y35" s="93"/>
      <c r="Z35" s="90" t="s">
        <v>120</v>
      </c>
      <c r="AA35" s="93"/>
      <c r="AB35" s="90" t="s">
        <v>117</v>
      </c>
      <c r="AC35" s="90" t="s">
        <v>117</v>
      </c>
      <c r="AD35" s="109" t="s">
        <v>1777</v>
      </c>
      <c r="AE35" s="90" t="s">
        <v>117</v>
      </c>
      <c r="AF35" s="90" t="s">
        <v>1778</v>
      </c>
      <c r="AG35" s="90" t="s">
        <v>117</v>
      </c>
      <c r="AH35" s="90" t="s">
        <v>1779</v>
      </c>
      <c r="AI35" s="90" t="s">
        <v>117</v>
      </c>
      <c r="AJ35" s="90" t="s">
        <v>1780</v>
      </c>
      <c r="AK35" s="93"/>
      <c r="AL35" s="90" t="s">
        <v>138</v>
      </c>
      <c r="AM35" s="90" t="s">
        <v>156</v>
      </c>
      <c r="AN35" s="90" t="s">
        <v>126</v>
      </c>
      <c r="AO35" s="96" t="s">
        <v>185</v>
      </c>
    </row>
    <row r="36" ht="22.5" customHeight="1">
      <c r="A36" s="78" t="s">
        <v>1782</v>
      </c>
      <c r="B36" s="79" t="s">
        <v>1783</v>
      </c>
      <c r="C36" s="79" t="s">
        <v>1786</v>
      </c>
      <c r="D36" s="80">
        <v>40523.0</v>
      </c>
      <c r="E36" s="79" t="s">
        <v>177</v>
      </c>
      <c r="F36" s="81">
        <v>5.513875488E9</v>
      </c>
      <c r="G36" s="79" t="s">
        <v>1792</v>
      </c>
      <c r="H36" s="79" t="s">
        <v>150</v>
      </c>
      <c r="I36" s="90" t="s">
        <v>1325</v>
      </c>
      <c r="J36" s="79" t="s">
        <v>1794</v>
      </c>
      <c r="K36" s="79" t="s">
        <v>1796</v>
      </c>
      <c r="L36" s="81">
        <v>5.559632729E9</v>
      </c>
      <c r="M36" s="86"/>
      <c r="N36" s="86"/>
      <c r="O36" s="86"/>
      <c r="P36" s="81">
        <v>15.0</v>
      </c>
      <c r="Q36" s="83">
        <v>46039.877847222226</v>
      </c>
      <c r="R36" s="79" t="s">
        <v>107</v>
      </c>
      <c r="S36" s="79" t="s">
        <v>109</v>
      </c>
      <c r="T36" s="79" t="s">
        <v>204</v>
      </c>
      <c r="U36" s="79" t="s">
        <v>295</v>
      </c>
      <c r="V36" s="79" t="s">
        <v>298</v>
      </c>
      <c r="W36" s="79" t="s">
        <v>299</v>
      </c>
      <c r="X36" s="79" t="s">
        <v>120</v>
      </c>
      <c r="Y36" s="86"/>
      <c r="Z36" s="79" t="s">
        <v>120</v>
      </c>
      <c r="AA36" s="86"/>
      <c r="AB36" s="79" t="s">
        <v>120</v>
      </c>
      <c r="AC36" s="86"/>
      <c r="AD36" s="86"/>
      <c r="AE36" s="79" t="s">
        <v>120</v>
      </c>
      <c r="AF36" s="86"/>
      <c r="AG36" s="79" t="s">
        <v>120</v>
      </c>
      <c r="AH36" s="86"/>
      <c r="AI36" s="79" t="s">
        <v>117</v>
      </c>
      <c r="AJ36" s="99" t="s">
        <v>1810</v>
      </c>
      <c r="AK36" s="79" t="s">
        <v>1325</v>
      </c>
      <c r="AL36" s="79" t="s">
        <v>138</v>
      </c>
      <c r="AM36" s="79" t="s">
        <v>124</v>
      </c>
      <c r="AN36" s="79" t="s">
        <v>126</v>
      </c>
      <c r="AO36" s="88" t="s">
        <v>240</v>
      </c>
    </row>
    <row r="37" ht="22.5" customHeight="1">
      <c r="A37" s="89" t="s">
        <v>1816</v>
      </c>
      <c r="B37" s="90" t="s">
        <v>1818</v>
      </c>
      <c r="C37" s="90" t="s">
        <v>1819</v>
      </c>
      <c r="D37" s="91">
        <v>40828.0</v>
      </c>
      <c r="E37" s="90" t="s">
        <v>177</v>
      </c>
      <c r="F37" s="92">
        <v>5.513438456E9</v>
      </c>
      <c r="G37" s="90" t="s">
        <v>1823</v>
      </c>
      <c r="H37" s="90" t="s">
        <v>101</v>
      </c>
      <c r="I37" s="90" t="s">
        <v>1824</v>
      </c>
      <c r="J37" s="90" t="s">
        <v>1825</v>
      </c>
      <c r="K37" s="90" t="s">
        <v>1823</v>
      </c>
      <c r="L37" s="92">
        <v>5.513438456E9</v>
      </c>
      <c r="M37" s="93"/>
      <c r="N37" s="93"/>
      <c r="O37" s="93"/>
      <c r="P37" s="92">
        <v>14.0</v>
      </c>
      <c r="Q37" s="94">
        <v>46024.60833333333</v>
      </c>
      <c r="R37" s="90" t="s">
        <v>107</v>
      </c>
      <c r="S37" s="90" t="s">
        <v>109</v>
      </c>
      <c r="T37" s="90" t="s">
        <v>160</v>
      </c>
      <c r="U37" s="90" t="s">
        <v>329</v>
      </c>
      <c r="V37" s="90" t="s">
        <v>331</v>
      </c>
      <c r="W37" s="90" t="s">
        <v>332</v>
      </c>
      <c r="X37" s="90" t="s">
        <v>120</v>
      </c>
      <c r="Y37" s="93"/>
      <c r="Z37" s="90" t="s">
        <v>120</v>
      </c>
      <c r="AA37" s="93"/>
      <c r="AB37" s="90" t="s">
        <v>120</v>
      </c>
      <c r="AC37" s="93"/>
      <c r="AD37" s="93"/>
      <c r="AE37" s="90" t="s">
        <v>120</v>
      </c>
      <c r="AF37" s="93"/>
      <c r="AG37" s="90" t="s">
        <v>120</v>
      </c>
      <c r="AH37" s="93"/>
      <c r="AI37" s="90" t="s">
        <v>117</v>
      </c>
      <c r="AJ37" s="98" t="s">
        <v>1841</v>
      </c>
      <c r="AK37" s="93"/>
      <c r="AL37" s="90" t="s">
        <v>138</v>
      </c>
      <c r="AM37" s="90" t="s">
        <v>185</v>
      </c>
      <c r="AN37" s="90" t="s">
        <v>156</v>
      </c>
      <c r="AO37" s="96" t="s">
        <v>129</v>
      </c>
    </row>
    <row r="38" ht="22.5" customHeight="1">
      <c r="A38" s="89" t="s">
        <v>1847</v>
      </c>
      <c r="B38" s="90" t="s">
        <v>1848</v>
      </c>
      <c r="C38" s="90" t="s">
        <v>1849</v>
      </c>
      <c r="D38" s="91">
        <v>39577.0</v>
      </c>
      <c r="E38" s="90" t="s">
        <v>98</v>
      </c>
      <c r="F38" s="92">
        <v>5.574880708E9</v>
      </c>
      <c r="G38" s="90" t="s">
        <v>1851</v>
      </c>
      <c r="H38" s="90" t="s">
        <v>150</v>
      </c>
      <c r="I38" s="93"/>
      <c r="J38" s="90" t="s">
        <v>1852</v>
      </c>
      <c r="K38" s="90" t="s">
        <v>1853</v>
      </c>
      <c r="L38" s="92">
        <v>5.536704548E9</v>
      </c>
      <c r="M38" s="93"/>
      <c r="N38" s="93"/>
      <c r="O38" s="93"/>
      <c r="P38" s="92">
        <v>17.0</v>
      </c>
      <c r="Q38" s="94">
        <v>46034.69836805556</v>
      </c>
      <c r="R38" s="90" t="s">
        <v>107</v>
      </c>
      <c r="S38" s="90" t="s">
        <v>109</v>
      </c>
      <c r="T38" s="90" t="s">
        <v>127</v>
      </c>
      <c r="U38" s="90" t="s">
        <v>234</v>
      </c>
      <c r="V38" s="90" t="s">
        <v>227</v>
      </c>
      <c r="W38" s="90" t="s">
        <v>236</v>
      </c>
      <c r="X38" s="90" t="s">
        <v>120</v>
      </c>
      <c r="Y38" s="93"/>
      <c r="Z38" s="90" t="s">
        <v>120</v>
      </c>
      <c r="AA38" s="93"/>
      <c r="AB38" s="90" t="s">
        <v>120</v>
      </c>
      <c r="AC38" s="93"/>
      <c r="AD38" s="93"/>
      <c r="AE38" s="90" t="s">
        <v>120</v>
      </c>
      <c r="AF38" s="93"/>
      <c r="AG38" s="90" t="s">
        <v>120</v>
      </c>
      <c r="AH38" s="93"/>
      <c r="AI38" s="90" t="s">
        <v>117</v>
      </c>
      <c r="AJ38" s="95" t="s">
        <v>178</v>
      </c>
      <c r="AK38" s="93"/>
      <c r="AL38" s="90" t="s">
        <v>138</v>
      </c>
      <c r="AM38" s="90" t="s">
        <v>242</v>
      </c>
      <c r="AN38" s="90" t="s">
        <v>141</v>
      </c>
      <c r="AO38" s="96" t="s">
        <v>126</v>
      </c>
    </row>
    <row r="39" ht="22.5" customHeight="1">
      <c r="A39" s="78" t="s">
        <v>1879</v>
      </c>
      <c r="B39" s="79" t="s">
        <v>1881</v>
      </c>
      <c r="C39" s="79" t="s">
        <v>1882</v>
      </c>
      <c r="D39" s="80">
        <v>39946.0</v>
      </c>
      <c r="E39" s="79" t="s">
        <v>98</v>
      </c>
      <c r="F39" s="81">
        <v>5.561064727E9</v>
      </c>
      <c r="G39" s="79" t="s">
        <v>1883</v>
      </c>
      <c r="H39" s="79" t="s">
        <v>140</v>
      </c>
      <c r="I39" s="86"/>
      <c r="J39" s="79" t="s">
        <v>1889</v>
      </c>
      <c r="K39" s="79" t="s">
        <v>1891</v>
      </c>
      <c r="L39" s="81">
        <v>5.529369198E9</v>
      </c>
      <c r="M39" s="86"/>
      <c r="N39" s="86"/>
      <c r="O39" s="86"/>
      <c r="P39" s="81">
        <v>16.0</v>
      </c>
      <c r="Q39" s="83">
        <v>46038.53</v>
      </c>
      <c r="R39" s="79" t="s">
        <v>107</v>
      </c>
      <c r="S39" s="79" t="s">
        <v>109</v>
      </c>
      <c r="T39" s="79" t="s">
        <v>192</v>
      </c>
      <c r="U39" s="79" t="s">
        <v>485</v>
      </c>
      <c r="V39" s="79" t="s">
        <v>486</v>
      </c>
      <c r="W39" s="79" t="s">
        <v>487</v>
      </c>
      <c r="X39" s="79" t="s">
        <v>120</v>
      </c>
      <c r="Y39" s="86"/>
      <c r="Z39" s="79" t="s">
        <v>120</v>
      </c>
      <c r="AA39" s="86"/>
      <c r="AB39" s="79" t="s">
        <v>120</v>
      </c>
      <c r="AC39" s="86"/>
      <c r="AD39" s="86"/>
      <c r="AE39" s="79" t="s">
        <v>120</v>
      </c>
      <c r="AF39" s="86"/>
      <c r="AG39" s="79" t="s">
        <v>120</v>
      </c>
      <c r="AH39" s="86"/>
      <c r="AI39" s="79" t="s">
        <v>117</v>
      </c>
      <c r="AJ39" s="99" t="s">
        <v>807</v>
      </c>
      <c r="AK39" s="86"/>
      <c r="AL39" s="79" t="s">
        <v>216</v>
      </c>
      <c r="AM39" s="79" t="s">
        <v>185</v>
      </c>
      <c r="AN39" s="79" t="s">
        <v>138</v>
      </c>
      <c r="AO39" s="88" t="s">
        <v>156</v>
      </c>
    </row>
    <row r="40" ht="22.5" customHeight="1">
      <c r="A40" s="89" t="s">
        <v>451</v>
      </c>
      <c r="B40" s="90" t="s">
        <v>1912</v>
      </c>
      <c r="C40" s="90" t="s">
        <v>1913</v>
      </c>
      <c r="D40" s="91">
        <v>40257.0</v>
      </c>
      <c r="E40" s="90" t="s">
        <v>98</v>
      </c>
      <c r="F40" s="92">
        <v>5.642992795E9</v>
      </c>
      <c r="G40" s="90" t="s">
        <v>1920</v>
      </c>
      <c r="H40" s="90" t="s">
        <v>150</v>
      </c>
      <c r="I40" s="93"/>
      <c r="J40" s="90" t="s">
        <v>1924</v>
      </c>
      <c r="K40" s="90" t="s">
        <v>1925</v>
      </c>
      <c r="L40" s="92">
        <v>5.546144414E9</v>
      </c>
      <c r="M40" s="90" t="s">
        <v>1928</v>
      </c>
      <c r="N40" s="90" t="s">
        <v>1929</v>
      </c>
      <c r="O40" s="92">
        <v>5.616834998E9</v>
      </c>
      <c r="P40" s="92">
        <v>15.0</v>
      </c>
      <c r="Q40" s="94">
        <v>46025.666655092595</v>
      </c>
      <c r="R40" s="90" t="s">
        <v>107</v>
      </c>
      <c r="S40" s="90" t="s">
        <v>109</v>
      </c>
      <c r="T40" s="90" t="s">
        <v>127</v>
      </c>
      <c r="U40" s="90" t="s">
        <v>531</v>
      </c>
      <c r="V40" s="90" t="s">
        <v>532</v>
      </c>
      <c r="W40" s="90" t="s">
        <v>534</v>
      </c>
      <c r="X40" s="90" t="s">
        <v>120</v>
      </c>
      <c r="Y40" s="93"/>
      <c r="Z40" s="90" t="s">
        <v>120</v>
      </c>
      <c r="AA40" s="93"/>
      <c r="AB40" s="90" t="s">
        <v>120</v>
      </c>
      <c r="AC40" s="93"/>
      <c r="AD40" s="93"/>
      <c r="AE40" s="90" t="s">
        <v>117</v>
      </c>
      <c r="AF40" s="90" t="s">
        <v>1934</v>
      </c>
      <c r="AG40" s="90" t="s">
        <v>120</v>
      </c>
      <c r="AH40" s="93"/>
      <c r="AI40" s="90" t="s">
        <v>117</v>
      </c>
      <c r="AJ40" s="90" t="s">
        <v>1937</v>
      </c>
      <c r="AK40" s="93"/>
      <c r="AL40" s="90" t="s">
        <v>156</v>
      </c>
      <c r="AM40" s="90" t="s">
        <v>185</v>
      </c>
      <c r="AN40" s="90" t="s">
        <v>124</v>
      </c>
      <c r="AO40" s="96" t="s">
        <v>242</v>
      </c>
    </row>
    <row r="41" ht="22.5" customHeight="1">
      <c r="A41" s="78" t="s">
        <v>1946</v>
      </c>
      <c r="B41" s="79" t="s">
        <v>1947</v>
      </c>
      <c r="C41" s="79" t="s">
        <v>1949</v>
      </c>
      <c r="D41" s="80">
        <v>40071.0</v>
      </c>
      <c r="E41" s="79" t="s">
        <v>98</v>
      </c>
      <c r="F41" s="81">
        <v>2.207730057E9</v>
      </c>
      <c r="G41" s="79" t="s">
        <v>1958</v>
      </c>
      <c r="H41" s="79" t="s">
        <v>150</v>
      </c>
      <c r="I41" s="90" t="s">
        <v>135</v>
      </c>
      <c r="J41" s="79" t="s">
        <v>1964</v>
      </c>
      <c r="K41" s="79" t="s">
        <v>1965</v>
      </c>
      <c r="L41" s="81">
        <v>5.657460651E9</v>
      </c>
      <c r="M41" s="86"/>
      <c r="N41" s="86"/>
      <c r="O41" s="86"/>
      <c r="P41" s="81">
        <v>16.0</v>
      </c>
      <c r="Q41" s="83">
        <v>46036.94164351852</v>
      </c>
      <c r="R41" s="79" t="s">
        <v>107</v>
      </c>
      <c r="S41" s="79" t="s">
        <v>109</v>
      </c>
      <c r="T41" s="79" t="s">
        <v>127</v>
      </c>
      <c r="U41" s="79" t="s">
        <v>672</v>
      </c>
      <c r="V41" s="79" t="s">
        <v>673</v>
      </c>
      <c r="W41" s="79" t="s">
        <v>674</v>
      </c>
      <c r="X41" s="79" t="s">
        <v>120</v>
      </c>
      <c r="Y41" s="79" t="s">
        <v>1969</v>
      </c>
      <c r="Z41" s="79" t="s">
        <v>120</v>
      </c>
      <c r="AA41" s="79" t="s">
        <v>1969</v>
      </c>
      <c r="AB41" s="79" t="s">
        <v>120</v>
      </c>
      <c r="AC41" s="79" t="s">
        <v>120</v>
      </c>
      <c r="AD41" s="79" t="s">
        <v>135</v>
      </c>
      <c r="AE41" s="79" t="s">
        <v>120</v>
      </c>
      <c r="AF41" s="79" t="s">
        <v>1969</v>
      </c>
      <c r="AG41" s="79" t="s">
        <v>120</v>
      </c>
      <c r="AH41" s="79" t="s">
        <v>1969</v>
      </c>
      <c r="AI41" s="79" t="s">
        <v>117</v>
      </c>
      <c r="AJ41" s="99" t="s">
        <v>178</v>
      </c>
      <c r="AK41" s="79" t="s">
        <v>1969</v>
      </c>
      <c r="AL41" s="79" t="s">
        <v>129</v>
      </c>
      <c r="AM41" s="79" t="s">
        <v>138</v>
      </c>
      <c r="AN41" s="79" t="s">
        <v>141</v>
      </c>
      <c r="AO41" s="88" t="s">
        <v>242</v>
      </c>
    </row>
    <row r="42" ht="22.5" customHeight="1">
      <c r="A42" s="15" t="s">
        <v>1974</v>
      </c>
      <c r="B42" s="15" t="s">
        <v>1975</v>
      </c>
      <c r="C42" s="18"/>
      <c r="D42" s="41">
        <v>39967.0</v>
      </c>
      <c r="E42" s="15" t="s">
        <v>98</v>
      </c>
      <c r="F42" s="15">
        <v>5.539321895E9</v>
      </c>
      <c r="G42" s="15" t="s">
        <v>1976</v>
      </c>
      <c r="H42" s="15" t="s">
        <v>101</v>
      </c>
      <c r="I42" s="18"/>
      <c r="J42" s="15" t="s">
        <v>1977</v>
      </c>
      <c r="K42" s="15" t="s">
        <v>1978</v>
      </c>
      <c r="L42" s="15">
        <v>5.544611281E9</v>
      </c>
      <c r="M42" s="18"/>
      <c r="N42" s="18"/>
      <c r="O42" s="18"/>
      <c r="P42" s="20">
        <v>16.0</v>
      </c>
      <c r="Q42" s="22">
        <v>46038.77663194444</v>
      </c>
      <c r="R42" s="15" t="s">
        <v>107</v>
      </c>
      <c r="S42" s="15" t="s">
        <v>109</v>
      </c>
      <c r="T42" s="15" t="s">
        <v>111</v>
      </c>
      <c r="U42" s="15" t="s">
        <v>1979</v>
      </c>
      <c r="V42" s="15" t="s">
        <v>1980</v>
      </c>
      <c r="W42" s="15" t="s">
        <v>1981</v>
      </c>
      <c r="X42" s="15" t="s">
        <v>120</v>
      </c>
      <c r="Y42" s="18"/>
      <c r="Z42" s="15" t="s">
        <v>117</v>
      </c>
      <c r="AA42" s="52" t="s">
        <v>1982</v>
      </c>
      <c r="AB42" s="15" t="s">
        <v>120</v>
      </c>
      <c r="AC42" s="18"/>
      <c r="AD42" s="18"/>
      <c r="AE42" s="15" t="s">
        <v>120</v>
      </c>
      <c r="AF42" s="18"/>
      <c r="AG42" s="15" t="s">
        <v>120</v>
      </c>
      <c r="AH42" s="18"/>
      <c r="AI42" s="15" t="s">
        <v>117</v>
      </c>
      <c r="AJ42" s="76" t="s">
        <v>1987</v>
      </c>
      <c r="AK42" s="18"/>
      <c r="AL42" s="15" t="s">
        <v>156</v>
      </c>
      <c r="AM42" s="15" t="s">
        <v>185</v>
      </c>
      <c r="AN42" s="15" t="s">
        <v>242</v>
      </c>
      <c r="AO42" s="15" t="s">
        <v>141</v>
      </c>
    </row>
    <row r="43" ht="22.5" customHeight="1">
      <c r="A43" s="15" t="s">
        <v>1990</v>
      </c>
      <c r="B43" s="15" t="s">
        <v>1991</v>
      </c>
      <c r="C43" s="15" t="s">
        <v>1992</v>
      </c>
      <c r="D43" s="41">
        <v>40544.0</v>
      </c>
      <c r="E43" s="15" t="s">
        <v>98</v>
      </c>
      <c r="F43" s="15">
        <v>5.568774912E9</v>
      </c>
      <c r="G43" s="15" t="s">
        <v>1993</v>
      </c>
      <c r="H43" s="15" t="s">
        <v>101</v>
      </c>
      <c r="I43" s="23" t="s">
        <v>1325</v>
      </c>
      <c r="J43" s="15" t="s">
        <v>1994</v>
      </c>
      <c r="K43" s="15" t="s">
        <v>1995</v>
      </c>
      <c r="L43" s="15">
        <v>5.643332372E9</v>
      </c>
      <c r="M43" s="18"/>
      <c r="N43" s="18"/>
      <c r="O43" s="18"/>
      <c r="P43" s="20">
        <v>15.0</v>
      </c>
      <c r="Q43" s="22">
        <v>46039.93827546296</v>
      </c>
      <c r="R43" s="15" t="s">
        <v>107</v>
      </c>
      <c r="S43" s="15" t="s">
        <v>109</v>
      </c>
      <c r="T43" s="15" t="s">
        <v>204</v>
      </c>
      <c r="U43" s="15" t="s">
        <v>295</v>
      </c>
      <c r="V43" s="15" t="s">
        <v>298</v>
      </c>
      <c r="W43" s="15" t="s">
        <v>299</v>
      </c>
      <c r="X43" s="15" t="s">
        <v>120</v>
      </c>
      <c r="Y43" s="18"/>
      <c r="Z43" s="15" t="s">
        <v>120</v>
      </c>
      <c r="AA43" s="18"/>
      <c r="AB43" s="15" t="s">
        <v>120</v>
      </c>
      <c r="AC43" s="18"/>
      <c r="AD43" s="18"/>
      <c r="AE43" s="15" t="s">
        <v>120</v>
      </c>
      <c r="AF43" s="18"/>
      <c r="AG43" s="15" t="s">
        <v>120</v>
      </c>
      <c r="AH43" s="18"/>
      <c r="AI43" s="15" t="s">
        <v>117</v>
      </c>
      <c r="AJ43" s="76" t="s">
        <v>2005</v>
      </c>
      <c r="AK43" s="15" t="s">
        <v>1325</v>
      </c>
      <c r="AL43" s="15" t="s">
        <v>141</v>
      </c>
      <c r="AM43" s="15" t="s">
        <v>138</v>
      </c>
      <c r="AN43" s="15" t="s">
        <v>128</v>
      </c>
      <c r="AO43" s="15" t="s">
        <v>216</v>
      </c>
    </row>
    <row r="44" ht="22.5" customHeight="1">
      <c r="A44" s="15" t="s">
        <v>2012</v>
      </c>
      <c r="B44" s="15" t="s">
        <v>2014</v>
      </c>
      <c r="C44" s="15" t="s">
        <v>70</v>
      </c>
      <c r="D44" s="41">
        <v>40375.0</v>
      </c>
      <c r="E44" s="15" t="s">
        <v>98</v>
      </c>
      <c r="F44" s="15">
        <v>5.621292376E9</v>
      </c>
      <c r="G44" s="15" t="s">
        <v>2018</v>
      </c>
      <c r="H44" s="15" t="s">
        <v>101</v>
      </c>
      <c r="I44" s="18"/>
      <c r="J44" s="15" t="s">
        <v>2019</v>
      </c>
      <c r="K44" s="15" t="s">
        <v>2021</v>
      </c>
      <c r="L44" s="15" t="s">
        <v>2022</v>
      </c>
      <c r="M44" s="18"/>
      <c r="N44" s="18"/>
      <c r="O44" s="18"/>
      <c r="P44" s="20">
        <v>15.0</v>
      </c>
      <c r="Q44" s="22">
        <v>46038.83427083334</v>
      </c>
      <c r="R44" s="15" t="s">
        <v>107</v>
      </c>
      <c r="S44" s="15" t="s">
        <v>109</v>
      </c>
      <c r="T44" s="15" t="s">
        <v>111</v>
      </c>
      <c r="U44" s="15" t="s">
        <v>1979</v>
      </c>
      <c r="V44" s="15" t="s">
        <v>1980</v>
      </c>
      <c r="W44" s="15" t="s">
        <v>1981</v>
      </c>
      <c r="X44" s="15" t="s">
        <v>120</v>
      </c>
      <c r="Y44" s="18"/>
      <c r="Z44" s="15" t="s">
        <v>117</v>
      </c>
      <c r="AA44" s="49" t="s">
        <v>2024</v>
      </c>
      <c r="AB44" s="15" t="s">
        <v>117</v>
      </c>
      <c r="AC44" s="15" t="s">
        <v>117</v>
      </c>
      <c r="AD44" s="18"/>
      <c r="AE44" s="15" t="s">
        <v>120</v>
      </c>
      <c r="AF44" s="18"/>
      <c r="AG44" s="15" t="s">
        <v>120</v>
      </c>
      <c r="AH44" s="18"/>
      <c r="AI44" s="15" t="s">
        <v>117</v>
      </c>
      <c r="AJ44" s="76" t="s">
        <v>2031</v>
      </c>
      <c r="AK44" s="18"/>
      <c r="AL44" s="15" t="s">
        <v>126</v>
      </c>
      <c r="AM44" s="15" t="s">
        <v>242</v>
      </c>
      <c r="AN44" s="15" t="s">
        <v>216</v>
      </c>
      <c r="AO44" s="15" t="s">
        <v>124</v>
      </c>
    </row>
    <row r="45" ht="22.5" customHeight="1">
      <c r="A45" s="78" t="s">
        <v>2040</v>
      </c>
      <c r="B45" s="79" t="s">
        <v>2043</v>
      </c>
      <c r="C45" s="79" t="s">
        <v>2045</v>
      </c>
      <c r="D45" s="80">
        <v>40664.0</v>
      </c>
      <c r="E45" s="79" t="s">
        <v>98</v>
      </c>
      <c r="F45" s="81">
        <v>5.656977662E9</v>
      </c>
      <c r="G45" s="79" t="s">
        <v>2049</v>
      </c>
      <c r="H45" s="79" t="s">
        <v>140</v>
      </c>
      <c r="I45" s="86"/>
      <c r="J45" s="79" t="s">
        <v>2050</v>
      </c>
      <c r="K45" s="79" t="s">
        <v>2049</v>
      </c>
      <c r="L45" s="81">
        <v>2.217449886E9</v>
      </c>
      <c r="M45" s="86"/>
      <c r="N45" s="86"/>
      <c r="O45" s="86"/>
      <c r="P45" s="81">
        <v>14.0</v>
      </c>
      <c r="Q45" s="83">
        <v>46031.57121527778</v>
      </c>
      <c r="R45" s="79" t="s">
        <v>107</v>
      </c>
      <c r="S45" s="79" t="s">
        <v>109</v>
      </c>
      <c r="T45" s="79" t="s">
        <v>160</v>
      </c>
      <c r="U45" s="79" t="s">
        <v>279</v>
      </c>
      <c r="V45" s="79" t="s">
        <v>280</v>
      </c>
      <c r="W45" s="79" t="s">
        <v>282</v>
      </c>
      <c r="X45" s="79" t="s">
        <v>120</v>
      </c>
      <c r="Y45" s="86"/>
      <c r="Z45" s="79" t="s">
        <v>120</v>
      </c>
      <c r="AA45" s="86"/>
      <c r="AB45" s="79" t="s">
        <v>120</v>
      </c>
      <c r="AC45" s="86"/>
      <c r="AD45" s="86"/>
      <c r="AE45" s="79" t="s">
        <v>120</v>
      </c>
      <c r="AF45" s="86"/>
      <c r="AG45" s="79" t="s">
        <v>120</v>
      </c>
      <c r="AH45" s="86"/>
      <c r="AI45" s="79" t="s">
        <v>117</v>
      </c>
      <c r="AJ45" s="99" t="s">
        <v>2061</v>
      </c>
      <c r="AK45" s="86"/>
      <c r="AL45" s="79" t="s">
        <v>141</v>
      </c>
      <c r="AM45" s="79" t="s">
        <v>156</v>
      </c>
      <c r="AN45" s="79" t="s">
        <v>216</v>
      </c>
      <c r="AO45" s="88" t="s">
        <v>126</v>
      </c>
    </row>
    <row r="46" ht="22.5" customHeight="1">
      <c r="A46" s="89" t="s">
        <v>2068</v>
      </c>
      <c r="B46" s="90" t="s">
        <v>413</v>
      </c>
      <c r="C46" s="90" t="s">
        <v>78</v>
      </c>
      <c r="D46" s="91">
        <v>41107.0</v>
      </c>
      <c r="E46" s="90" t="s">
        <v>177</v>
      </c>
      <c r="F46" s="90" t="s">
        <v>2069</v>
      </c>
      <c r="G46" s="90" t="s">
        <v>2070</v>
      </c>
      <c r="H46" s="90" t="s">
        <v>101</v>
      </c>
      <c r="I46" s="90" t="s">
        <v>135</v>
      </c>
      <c r="J46" s="90" t="s">
        <v>417</v>
      </c>
      <c r="K46" s="90" t="s">
        <v>2071</v>
      </c>
      <c r="L46" s="92">
        <v>5.530664884E9</v>
      </c>
      <c r="M46" s="93"/>
      <c r="N46" s="93"/>
      <c r="O46" s="93"/>
      <c r="P46" s="92">
        <v>13.0</v>
      </c>
      <c r="Q46" s="94">
        <v>46026.47891203704</v>
      </c>
      <c r="R46" s="90" t="s">
        <v>107</v>
      </c>
      <c r="S46" s="90" t="s">
        <v>109</v>
      </c>
      <c r="T46" s="90" t="s">
        <v>208</v>
      </c>
      <c r="U46" s="90" t="s">
        <v>228</v>
      </c>
      <c r="V46" s="90" t="s">
        <v>229</v>
      </c>
      <c r="W46" s="90" t="s">
        <v>230</v>
      </c>
      <c r="X46" s="90" t="s">
        <v>120</v>
      </c>
      <c r="Y46" s="93"/>
      <c r="Z46" s="90" t="s">
        <v>120</v>
      </c>
      <c r="AA46" s="93"/>
      <c r="AB46" s="90" t="s">
        <v>120</v>
      </c>
      <c r="AC46" s="93"/>
      <c r="AD46" s="93"/>
      <c r="AE46" s="90" t="s">
        <v>120</v>
      </c>
      <c r="AF46" s="93"/>
      <c r="AG46" s="90" t="s">
        <v>120</v>
      </c>
      <c r="AH46" s="93"/>
      <c r="AI46" s="90" t="s">
        <v>117</v>
      </c>
      <c r="AJ46" s="95" t="s">
        <v>1096</v>
      </c>
      <c r="AK46" s="93"/>
      <c r="AL46" s="90" t="s">
        <v>242</v>
      </c>
      <c r="AM46" s="90" t="s">
        <v>138</v>
      </c>
      <c r="AN46" s="90" t="s">
        <v>126</v>
      </c>
      <c r="AO46" s="96" t="s">
        <v>156</v>
      </c>
    </row>
    <row r="47" ht="22.5" customHeight="1">
      <c r="A47" s="15" t="s">
        <v>2087</v>
      </c>
      <c r="B47" s="15" t="s">
        <v>2088</v>
      </c>
      <c r="C47" s="15" t="s">
        <v>2089</v>
      </c>
      <c r="D47" s="41">
        <v>40998.0</v>
      </c>
      <c r="E47" s="15" t="s">
        <v>98</v>
      </c>
      <c r="F47" s="15">
        <v>5.662465364E9</v>
      </c>
      <c r="G47" s="15" t="s">
        <v>2091</v>
      </c>
      <c r="H47" s="15" t="s">
        <v>101</v>
      </c>
      <c r="I47" s="23" t="s">
        <v>2093</v>
      </c>
      <c r="J47" s="15" t="s">
        <v>2094</v>
      </c>
      <c r="K47" s="15" t="s">
        <v>2095</v>
      </c>
      <c r="L47" s="15">
        <v>5.623849054E9</v>
      </c>
      <c r="M47" s="18"/>
      <c r="N47" s="18"/>
      <c r="O47" s="18"/>
      <c r="P47" s="20">
        <v>13.0</v>
      </c>
      <c r="Q47" s="22">
        <v>46038.745787037034</v>
      </c>
      <c r="R47" s="15" t="s">
        <v>107</v>
      </c>
      <c r="S47" s="15" t="s">
        <v>109</v>
      </c>
      <c r="T47" s="15" t="s">
        <v>111</v>
      </c>
      <c r="U47" s="15" t="s">
        <v>1979</v>
      </c>
      <c r="V47" s="15" t="s">
        <v>1980</v>
      </c>
      <c r="W47" s="15" t="s">
        <v>1981</v>
      </c>
      <c r="X47" s="15" t="s">
        <v>120</v>
      </c>
      <c r="Y47" s="18"/>
      <c r="Z47" s="15" t="s">
        <v>120</v>
      </c>
      <c r="AA47" s="18"/>
      <c r="AB47" s="15" t="s">
        <v>120</v>
      </c>
      <c r="AC47" s="18"/>
      <c r="AD47" s="18"/>
      <c r="AE47" s="15" t="s">
        <v>120</v>
      </c>
      <c r="AF47" s="18"/>
      <c r="AG47" s="15" t="s">
        <v>120</v>
      </c>
      <c r="AH47" s="18"/>
      <c r="AI47" s="15" t="s">
        <v>117</v>
      </c>
      <c r="AJ47" s="76" t="s">
        <v>807</v>
      </c>
      <c r="AK47" s="18"/>
      <c r="AL47" s="15" t="s">
        <v>126</v>
      </c>
      <c r="AM47" s="15" t="s">
        <v>124</v>
      </c>
      <c r="AN47" s="15" t="s">
        <v>156</v>
      </c>
      <c r="AO47" s="15" t="s">
        <v>138</v>
      </c>
    </row>
    <row r="48" ht="22.5" customHeight="1">
      <c r="A48" s="78" t="s">
        <v>2107</v>
      </c>
      <c r="B48" s="79" t="s">
        <v>2109</v>
      </c>
      <c r="C48" s="79" t="s">
        <v>2110</v>
      </c>
      <c r="D48" s="80">
        <v>39501.0</v>
      </c>
      <c r="E48" s="79" t="s">
        <v>177</v>
      </c>
      <c r="F48" s="81">
        <v>5.647514006E9</v>
      </c>
      <c r="G48" s="79" t="s">
        <v>2111</v>
      </c>
      <c r="H48" s="79" t="s">
        <v>101</v>
      </c>
      <c r="I48" s="86"/>
      <c r="J48" s="79" t="s">
        <v>2113</v>
      </c>
      <c r="K48" s="79" t="s">
        <v>2114</v>
      </c>
      <c r="L48" s="81">
        <v>5.531576762E9</v>
      </c>
      <c r="M48" s="86"/>
      <c r="N48" s="86"/>
      <c r="O48" s="86"/>
      <c r="P48" s="81">
        <v>18.0</v>
      </c>
      <c r="Q48" s="83">
        <v>46033.43136574074</v>
      </c>
      <c r="R48" s="79" t="s">
        <v>107</v>
      </c>
      <c r="S48" s="79" t="s">
        <v>109</v>
      </c>
      <c r="T48" s="79" t="s">
        <v>127</v>
      </c>
      <c r="U48" s="79" t="s">
        <v>130</v>
      </c>
      <c r="V48" s="79" t="s">
        <v>131</v>
      </c>
      <c r="W48" s="79" t="s">
        <v>132</v>
      </c>
      <c r="X48" s="79" t="s">
        <v>120</v>
      </c>
      <c r="Y48" s="86"/>
      <c r="Z48" s="79" t="s">
        <v>120</v>
      </c>
      <c r="AA48" s="86"/>
      <c r="AB48" s="79" t="s">
        <v>120</v>
      </c>
      <c r="AC48" s="79" t="s">
        <v>120</v>
      </c>
      <c r="AD48" s="86"/>
      <c r="AE48" s="79" t="s">
        <v>120</v>
      </c>
      <c r="AF48" s="86"/>
      <c r="AG48" s="79" t="s">
        <v>120</v>
      </c>
      <c r="AH48" s="86"/>
      <c r="AI48" s="79" t="s">
        <v>117</v>
      </c>
      <c r="AJ48" s="99" t="s">
        <v>1282</v>
      </c>
      <c r="AK48" s="86"/>
      <c r="AL48" s="79" t="s">
        <v>141</v>
      </c>
      <c r="AM48" s="79" t="s">
        <v>242</v>
      </c>
      <c r="AN48" s="79" t="s">
        <v>128</v>
      </c>
      <c r="AO48" s="88" t="s">
        <v>185</v>
      </c>
    </row>
    <row r="49" ht="22.5" customHeight="1">
      <c r="A49" s="78" t="s">
        <v>2130</v>
      </c>
      <c r="B49" s="79" t="s">
        <v>2132</v>
      </c>
      <c r="C49" s="79" t="s">
        <v>2135</v>
      </c>
      <c r="D49" s="80">
        <v>41174.0</v>
      </c>
      <c r="E49" s="79" t="s">
        <v>177</v>
      </c>
      <c r="F49" s="81">
        <v>5.543910301E9</v>
      </c>
      <c r="G49" s="79" t="s">
        <v>2138</v>
      </c>
      <c r="H49" s="79" t="s">
        <v>101</v>
      </c>
      <c r="I49" s="90" t="s">
        <v>2140</v>
      </c>
      <c r="J49" s="79" t="s">
        <v>2142</v>
      </c>
      <c r="K49" s="79" t="s">
        <v>2143</v>
      </c>
      <c r="L49" s="81">
        <v>5.616811205E9</v>
      </c>
      <c r="M49" s="79" t="s">
        <v>2144</v>
      </c>
      <c r="N49" s="79" t="s">
        <v>2146</v>
      </c>
      <c r="O49" s="81">
        <v>5.543910301E9</v>
      </c>
      <c r="P49" s="81">
        <v>13.0</v>
      </c>
      <c r="Q49" s="83">
        <v>46034.67327546296</v>
      </c>
      <c r="R49" s="79" t="s">
        <v>107</v>
      </c>
      <c r="S49" s="79" t="s">
        <v>109</v>
      </c>
      <c r="T49" s="79" t="s">
        <v>204</v>
      </c>
      <c r="U49" s="79" t="s">
        <v>357</v>
      </c>
      <c r="V49" s="79" t="s">
        <v>359</v>
      </c>
      <c r="W49" s="79" t="s">
        <v>362</v>
      </c>
      <c r="X49" s="79" t="s">
        <v>120</v>
      </c>
      <c r="Y49" s="79" t="s">
        <v>1325</v>
      </c>
      <c r="Z49" s="79" t="s">
        <v>117</v>
      </c>
      <c r="AA49" s="97" t="s">
        <v>2153</v>
      </c>
      <c r="AB49" s="79" t="s">
        <v>120</v>
      </c>
      <c r="AC49" s="79" t="s">
        <v>120</v>
      </c>
      <c r="AD49" s="79" t="s">
        <v>1325</v>
      </c>
      <c r="AE49" s="79" t="s">
        <v>120</v>
      </c>
      <c r="AF49" s="79" t="s">
        <v>1325</v>
      </c>
      <c r="AG49" s="79" t="s">
        <v>120</v>
      </c>
      <c r="AH49" s="79" t="s">
        <v>1325</v>
      </c>
      <c r="AI49" s="79" t="s">
        <v>117</v>
      </c>
      <c r="AJ49" s="99" t="s">
        <v>1282</v>
      </c>
      <c r="AK49" s="79" t="s">
        <v>1325</v>
      </c>
      <c r="AL49" s="79" t="s">
        <v>129</v>
      </c>
      <c r="AM49" s="79" t="s">
        <v>126</v>
      </c>
      <c r="AN49" s="79" t="s">
        <v>156</v>
      </c>
      <c r="AO49" s="88" t="s">
        <v>124</v>
      </c>
    </row>
    <row r="50" ht="22.5" customHeight="1">
      <c r="A50" s="15" t="s">
        <v>1285</v>
      </c>
      <c r="B50" s="15" t="s">
        <v>1575</v>
      </c>
      <c r="C50" s="18"/>
      <c r="D50" s="41">
        <v>39727.0</v>
      </c>
      <c r="E50" s="15" t="s">
        <v>98</v>
      </c>
      <c r="F50" s="15">
        <v>5.548718075E9</v>
      </c>
      <c r="G50" s="15" t="s">
        <v>1584</v>
      </c>
      <c r="H50" s="15" t="s">
        <v>110</v>
      </c>
      <c r="I50" s="18"/>
      <c r="J50" s="15" t="s">
        <v>1586</v>
      </c>
      <c r="K50" s="15" t="s">
        <v>2165</v>
      </c>
      <c r="L50" s="15">
        <v>5.564927995E9</v>
      </c>
      <c r="M50" s="18"/>
      <c r="N50" s="18"/>
      <c r="O50" s="18"/>
      <c r="P50" s="20">
        <v>17.0</v>
      </c>
      <c r="Q50" s="22">
        <v>46033.430555555555</v>
      </c>
      <c r="R50" s="15" t="s">
        <v>107</v>
      </c>
      <c r="S50" s="15" t="s">
        <v>109</v>
      </c>
      <c r="T50" s="15" t="s">
        <v>160</v>
      </c>
      <c r="U50" s="15" t="s">
        <v>308</v>
      </c>
      <c r="V50" s="15" t="s">
        <v>309</v>
      </c>
      <c r="W50" s="15" t="s">
        <v>310</v>
      </c>
      <c r="X50" s="15" t="s">
        <v>120</v>
      </c>
      <c r="Y50" s="18"/>
      <c r="Z50" s="15" t="s">
        <v>120</v>
      </c>
      <c r="AA50" s="18"/>
      <c r="AB50" s="15" t="s">
        <v>120</v>
      </c>
      <c r="AC50" s="15" t="s">
        <v>120</v>
      </c>
      <c r="AD50" s="18"/>
      <c r="AE50" s="15" t="s">
        <v>120</v>
      </c>
      <c r="AF50" s="18"/>
      <c r="AG50" s="15" t="s">
        <v>120</v>
      </c>
      <c r="AH50" s="18"/>
      <c r="AI50" s="15" t="s">
        <v>117</v>
      </c>
      <c r="AJ50" s="76" t="s">
        <v>178</v>
      </c>
      <c r="AK50" s="18"/>
      <c r="AL50" s="15" t="s">
        <v>138</v>
      </c>
      <c r="AM50" s="15" t="s">
        <v>156</v>
      </c>
      <c r="AN50" s="15" t="s">
        <v>129</v>
      </c>
      <c r="AO50" s="15" t="s">
        <v>242</v>
      </c>
    </row>
    <row r="51" ht="22.5" customHeight="1">
      <c r="A51" s="78" t="s">
        <v>2186</v>
      </c>
      <c r="B51" s="79" t="s">
        <v>2187</v>
      </c>
      <c r="C51" s="79" t="s">
        <v>2189</v>
      </c>
      <c r="D51" s="80">
        <v>41070.0</v>
      </c>
      <c r="E51" s="79" t="s">
        <v>177</v>
      </c>
      <c r="F51" s="81">
        <v>5.635977827E9</v>
      </c>
      <c r="G51" s="79" t="s">
        <v>2192</v>
      </c>
      <c r="H51" s="79" t="s">
        <v>150</v>
      </c>
      <c r="I51" s="90" t="s">
        <v>2196</v>
      </c>
      <c r="J51" s="79" t="s">
        <v>2197</v>
      </c>
      <c r="K51" s="79" t="s">
        <v>2192</v>
      </c>
      <c r="L51" s="81">
        <v>5.635977827E9</v>
      </c>
      <c r="M51" s="86"/>
      <c r="N51" s="86"/>
      <c r="O51" s="86"/>
      <c r="P51" s="81">
        <v>13.0</v>
      </c>
      <c r="Q51" s="83">
        <v>46028.608078703706</v>
      </c>
      <c r="R51" s="79" t="s">
        <v>107</v>
      </c>
      <c r="S51" s="79" t="s">
        <v>109</v>
      </c>
      <c r="T51" s="79" t="s">
        <v>160</v>
      </c>
      <c r="U51" s="79" t="s">
        <v>308</v>
      </c>
      <c r="V51" s="79" t="s">
        <v>309</v>
      </c>
      <c r="W51" s="79" t="s">
        <v>310</v>
      </c>
      <c r="X51" s="79" t="s">
        <v>120</v>
      </c>
      <c r="Y51" s="86"/>
      <c r="Z51" s="79" t="s">
        <v>117</v>
      </c>
      <c r="AA51" s="97" t="s">
        <v>2209</v>
      </c>
      <c r="AB51" s="79" t="s">
        <v>120</v>
      </c>
      <c r="AC51" s="86"/>
      <c r="AD51" s="86"/>
      <c r="AE51" s="79" t="s">
        <v>117</v>
      </c>
      <c r="AF51" s="79" t="s">
        <v>2210</v>
      </c>
      <c r="AG51" s="79" t="s">
        <v>117</v>
      </c>
      <c r="AH51" s="79" t="s">
        <v>2213</v>
      </c>
      <c r="AI51" s="79" t="s">
        <v>117</v>
      </c>
      <c r="AJ51" s="99" t="s">
        <v>2215</v>
      </c>
      <c r="AK51" s="86"/>
      <c r="AL51" s="79" t="s">
        <v>126</v>
      </c>
      <c r="AM51" s="79" t="s">
        <v>156</v>
      </c>
      <c r="AN51" s="79" t="s">
        <v>216</v>
      </c>
      <c r="AO51" s="88" t="s">
        <v>185</v>
      </c>
    </row>
    <row r="52" ht="22.5" customHeight="1">
      <c r="A52" s="78" t="s">
        <v>2219</v>
      </c>
      <c r="B52" s="79" t="s">
        <v>2220</v>
      </c>
      <c r="C52" s="79" t="s">
        <v>2223</v>
      </c>
      <c r="D52" s="80">
        <v>40894.0</v>
      </c>
      <c r="E52" s="79" t="s">
        <v>177</v>
      </c>
      <c r="F52" s="81">
        <f>+56927670769</f>
        <v>56927670769</v>
      </c>
      <c r="G52" s="79" t="s">
        <v>2226</v>
      </c>
      <c r="H52" s="79" t="s">
        <v>101</v>
      </c>
      <c r="I52" s="86"/>
      <c r="J52" s="79" t="s">
        <v>2229</v>
      </c>
      <c r="K52" s="79" t="s">
        <v>2232</v>
      </c>
      <c r="L52" s="81">
        <v>5.534621137E9</v>
      </c>
      <c r="M52" s="86"/>
      <c r="N52" s="86"/>
      <c r="O52" s="86"/>
      <c r="P52" s="81">
        <v>14.0</v>
      </c>
      <c r="Q52" s="83">
        <v>46021.58766203704</v>
      </c>
      <c r="R52" s="79" t="s">
        <v>107</v>
      </c>
      <c r="S52" s="79" t="s">
        <v>109</v>
      </c>
      <c r="T52" s="79" t="s">
        <v>204</v>
      </c>
      <c r="U52" s="79" t="s">
        <v>205</v>
      </c>
      <c r="V52" s="79" t="s">
        <v>206</v>
      </c>
      <c r="W52" s="79" t="s">
        <v>207</v>
      </c>
      <c r="X52" s="79" t="s">
        <v>120</v>
      </c>
      <c r="Y52" s="86"/>
      <c r="Z52" s="79" t="s">
        <v>120</v>
      </c>
      <c r="AA52" s="86"/>
      <c r="AB52" s="79" t="s">
        <v>120</v>
      </c>
      <c r="AC52" s="86"/>
      <c r="AD52" s="86"/>
      <c r="AE52" s="79" t="s">
        <v>120</v>
      </c>
      <c r="AF52" s="86"/>
      <c r="AG52" s="79" t="s">
        <v>120</v>
      </c>
      <c r="AH52" s="86"/>
      <c r="AI52" s="79" t="s">
        <v>117</v>
      </c>
      <c r="AJ52" s="99" t="s">
        <v>2243</v>
      </c>
      <c r="AK52" s="86"/>
      <c r="AL52" s="79" t="s">
        <v>126</v>
      </c>
      <c r="AM52" s="79" t="s">
        <v>138</v>
      </c>
      <c r="AN52" s="79" t="s">
        <v>242</v>
      </c>
      <c r="AO52" s="88" t="s">
        <v>185</v>
      </c>
    </row>
    <row r="53" ht="22.5" customHeight="1">
      <c r="A53" s="78" t="s">
        <v>2245</v>
      </c>
      <c r="B53" s="79" t="s">
        <v>2246</v>
      </c>
      <c r="C53" s="86"/>
      <c r="D53" s="80">
        <v>41171.0</v>
      </c>
      <c r="E53" s="79" t="s">
        <v>98</v>
      </c>
      <c r="F53" s="81">
        <v>5.610050539E9</v>
      </c>
      <c r="G53" s="79" t="s">
        <v>2250</v>
      </c>
      <c r="H53" s="79" t="s">
        <v>140</v>
      </c>
      <c r="I53" s="86"/>
      <c r="J53" s="79" t="s">
        <v>2255</v>
      </c>
      <c r="K53" s="79" t="s">
        <v>2250</v>
      </c>
      <c r="L53" s="81">
        <v>5.610050539E9</v>
      </c>
      <c r="M53" s="86"/>
      <c r="N53" s="86"/>
      <c r="O53" s="86"/>
      <c r="P53" s="81">
        <v>13.0</v>
      </c>
      <c r="Q53" s="83">
        <v>46039.911527777775</v>
      </c>
      <c r="R53" s="79" t="s">
        <v>107</v>
      </c>
      <c r="S53" s="79" t="s">
        <v>109</v>
      </c>
      <c r="T53" s="79" t="s">
        <v>208</v>
      </c>
      <c r="U53" s="79" t="s">
        <v>1599</v>
      </c>
      <c r="V53" s="79" t="s">
        <v>1600</v>
      </c>
      <c r="W53" s="79" t="s">
        <v>1602</v>
      </c>
      <c r="X53" s="79" t="s">
        <v>120</v>
      </c>
      <c r="Y53" s="86"/>
      <c r="Z53" s="79" t="s">
        <v>120</v>
      </c>
      <c r="AA53" s="86"/>
      <c r="AB53" s="79" t="s">
        <v>120</v>
      </c>
      <c r="AC53" s="86"/>
      <c r="AD53" s="86"/>
      <c r="AE53" s="79" t="s">
        <v>120</v>
      </c>
      <c r="AF53" s="86"/>
      <c r="AG53" s="79" t="s">
        <v>120</v>
      </c>
      <c r="AH53" s="86"/>
      <c r="AI53" s="79" t="s">
        <v>117</v>
      </c>
      <c r="AJ53" s="99" t="s">
        <v>2269</v>
      </c>
      <c r="AK53" s="86"/>
      <c r="AL53" s="79" t="s">
        <v>129</v>
      </c>
      <c r="AM53" s="79" t="s">
        <v>126</v>
      </c>
      <c r="AN53" s="79" t="s">
        <v>242</v>
      </c>
      <c r="AO53" s="88" t="s">
        <v>156</v>
      </c>
    </row>
    <row r="54" ht="22.5" customHeight="1">
      <c r="A54" s="78" t="s">
        <v>2274</v>
      </c>
      <c r="B54" s="79" t="s">
        <v>2275</v>
      </c>
      <c r="C54" s="86"/>
      <c r="D54" s="80">
        <v>41188.0</v>
      </c>
      <c r="E54" s="79" t="s">
        <v>98</v>
      </c>
      <c r="F54" s="81">
        <v>5.63375795E9</v>
      </c>
      <c r="G54" s="79" t="s">
        <v>2277</v>
      </c>
      <c r="H54" s="79" t="s">
        <v>140</v>
      </c>
      <c r="I54" s="86"/>
      <c r="J54" s="79" t="s">
        <v>2280</v>
      </c>
      <c r="K54" s="79" t="s">
        <v>2281</v>
      </c>
      <c r="L54" s="81">
        <v>5.535939943E9</v>
      </c>
      <c r="M54" s="86"/>
      <c r="N54" s="86"/>
      <c r="O54" s="86"/>
      <c r="P54" s="81">
        <v>13.0</v>
      </c>
      <c r="Q54" s="83">
        <v>46040.46931712963</v>
      </c>
      <c r="R54" s="79" t="s">
        <v>107</v>
      </c>
      <c r="S54" s="79" t="s">
        <v>109</v>
      </c>
      <c r="T54" s="79" t="s">
        <v>160</v>
      </c>
      <c r="U54" s="79" t="s">
        <v>308</v>
      </c>
      <c r="V54" s="79" t="s">
        <v>309</v>
      </c>
      <c r="W54" s="79" t="s">
        <v>310</v>
      </c>
      <c r="X54" s="79" t="s">
        <v>120</v>
      </c>
      <c r="Y54" s="86"/>
      <c r="Z54" s="79" t="s">
        <v>120</v>
      </c>
      <c r="AA54" s="86"/>
      <c r="AB54" s="79" t="s">
        <v>117</v>
      </c>
      <c r="AC54" s="79" t="s">
        <v>117</v>
      </c>
      <c r="AD54" s="79" t="s">
        <v>2290</v>
      </c>
      <c r="AE54" s="79" t="s">
        <v>120</v>
      </c>
      <c r="AF54" s="86"/>
      <c r="AG54" s="79" t="s">
        <v>120</v>
      </c>
      <c r="AH54" s="86"/>
      <c r="AI54" s="79" t="s">
        <v>117</v>
      </c>
      <c r="AJ54" s="99" t="s">
        <v>2291</v>
      </c>
      <c r="AK54" s="86"/>
      <c r="AL54" s="79" t="s">
        <v>156</v>
      </c>
      <c r="AM54" s="79" t="s">
        <v>240</v>
      </c>
      <c r="AN54" s="79" t="s">
        <v>128</v>
      </c>
      <c r="AO54" s="88" t="s">
        <v>126</v>
      </c>
    </row>
    <row r="55" ht="22.5" customHeight="1">
      <c r="A55" s="89" t="s">
        <v>2295</v>
      </c>
      <c r="B55" s="90" t="s">
        <v>2296</v>
      </c>
      <c r="C55" s="90" t="s">
        <v>2297</v>
      </c>
      <c r="D55" s="91">
        <v>40282.0</v>
      </c>
      <c r="E55" s="90" t="s">
        <v>177</v>
      </c>
      <c r="F55" s="90" t="s">
        <v>2299</v>
      </c>
      <c r="G55" s="90" t="s">
        <v>2302</v>
      </c>
      <c r="H55" s="90" t="s">
        <v>101</v>
      </c>
      <c r="I55" s="90" t="s">
        <v>2306</v>
      </c>
      <c r="J55" s="90" t="s">
        <v>2307</v>
      </c>
      <c r="K55" s="90" t="s">
        <v>2302</v>
      </c>
      <c r="L55" s="90" t="s">
        <v>2299</v>
      </c>
      <c r="M55" s="93"/>
      <c r="N55" s="93"/>
      <c r="O55" s="93"/>
      <c r="P55" s="92">
        <v>15.0</v>
      </c>
      <c r="Q55" s="94">
        <v>46040.94644675926</v>
      </c>
      <c r="R55" s="90" t="s">
        <v>107</v>
      </c>
      <c r="S55" s="90" t="s">
        <v>109</v>
      </c>
      <c r="T55" s="90" t="s">
        <v>127</v>
      </c>
      <c r="U55" s="90" t="s">
        <v>672</v>
      </c>
      <c r="V55" s="90" t="s">
        <v>673</v>
      </c>
      <c r="W55" s="90" t="s">
        <v>674</v>
      </c>
      <c r="X55" s="90" t="s">
        <v>120</v>
      </c>
      <c r="Y55" s="93"/>
      <c r="Z55" s="90" t="s">
        <v>117</v>
      </c>
      <c r="AA55" s="97" t="s">
        <v>2313</v>
      </c>
      <c r="AB55" s="90" t="s">
        <v>120</v>
      </c>
      <c r="AC55" s="90" t="s">
        <v>120</v>
      </c>
      <c r="AD55" s="93"/>
      <c r="AE55" s="90" t="s">
        <v>120</v>
      </c>
      <c r="AF55" s="93"/>
      <c r="AG55" s="90" t="s">
        <v>120</v>
      </c>
      <c r="AH55" s="93"/>
      <c r="AI55" s="90" t="s">
        <v>117</v>
      </c>
      <c r="AJ55" s="95" t="s">
        <v>2317</v>
      </c>
      <c r="AK55" s="93"/>
      <c r="AL55" s="90" t="s">
        <v>185</v>
      </c>
      <c r="AM55" s="90" t="s">
        <v>156</v>
      </c>
      <c r="AN55" s="90" t="s">
        <v>242</v>
      </c>
      <c r="AO55" s="96" t="s">
        <v>128</v>
      </c>
    </row>
    <row r="56" ht="22.5" customHeight="1">
      <c r="A56" s="15" t="s">
        <v>2324</v>
      </c>
      <c r="B56" s="15" t="s">
        <v>2326</v>
      </c>
      <c r="C56" s="15" t="s">
        <v>2327</v>
      </c>
      <c r="D56" s="41">
        <v>39938.0</v>
      </c>
      <c r="E56" s="15" t="s">
        <v>98</v>
      </c>
      <c r="F56" s="15">
        <v>5.527382073E9</v>
      </c>
      <c r="G56" s="15" t="s">
        <v>2328</v>
      </c>
      <c r="H56" s="15" t="s">
        <v>150</v>
      </c>
      <c r="I56" s="18"/>
      <c r="J56" s="15" t="s">
        <v>2329</v>
      </c>
      <c r="K56" s="15" t="s">
        <v>2328</v>
      </c>
      <c r="L56" s="15">
        <v>5.591686167E9</v>
      </c>
      <c r="M56" s="15" t="s">
        <v>2330</v>
      </c>
      <c r="N56" s="15" t="s">
        <v>2331</v>
      </c>
      <c r="O56" s="15">
        <v>5.536672299E9</v>
      </c>
      <c r="P56" s="20">
        <v>16.0</v>
      </c>
      <c r="Q56" s="22">
        <v>46026.00423611111</v>
      </c>
      <c r="R56" s="15" t="s">
        <v>107</v>
      </c>
      <c r="S56" s="15" t="s">
        <v>109</v>
      </c>
      <c r="T56" s="15" t="s">
        <v>208</v>
      </c>
      <c r="U56" s="15" t="s">
        <v>228</v>
      </c>
      <c r="V56" s="15" t="s">
        <v>229</v>
      </c>
      <c r="W56" s="15" t="s">
        <v>230</v>
      </c>
      <c r="X56" s="15" t="s">
        <v>120</v>
      </c>
      <c r="Y56" s="15" t="s">
        <v>2332</v>
      </c>
      <c r="Z56" s="15" t="s">
        <v>120</v>
      </c>
      <c r="AA56" s="15" t="s">
        <v>2332</v>
      </c>
      <c r="AB56" s="15" t="s">
        <v>120</v>
      </c>
      <c r="AC56" s="15" t="s">
        <v>117</v>
      </c>
      <c r="AD56" s="15" t="s">
        <v>2332</v>
      </c>
      <c r="AE56" s="15" t="s">
        <v>120</v>
      </c>
      <c r="AF56" s="15" t="s">
        <v>2332</v>
      </c>
      <c r="AG56" s="15" t="s">
        <v>117</v>
      </c>
      <c r="AH56" s="15" t="s">
        <v>2333</v>
      </c>
      <c r="AI56" s="15" t="s">
        <v>117</v>
      </c>
      <c r="AJ56" s="76" t="s">
        <v>2334</v>
      </c>
      <c r="AK56" s="15" t="s">
        <v>135</v>
      </c>
      <c r="AL56" s="15" t="s">
        <v>126</v>
      </c>
      <c r="AM56" s="15" t="s">
        <v>138</v>
      </c>
      <c r="AN56" s="15" t="s">
        <v>156</v>
      </c>
      <c r="AO56" s="15" t="s">
        <v>216</v>
      </c>
    </row>
    <row r="57" ht="22.5" customHeight="1"/>
    <row r="58" ht="22.5" customHeight="1"/>
    <row r="59" ht="22.5" customHeight="1">
      <c r="A59" s="113" t="s">
        <v>2342</v>
      </c>
      <c r="B59" s="114"/>
      <c r="C59" s="114"/>
      <c r="D59" s="114"/>
      <c r="E59" s="114"/>
      <c r="F59" s="114"/>
      <c r="G59" s="114"/>
      <c r="H59" s="114"/>
      <c r="I59" s="114"/>
      <c r="J59" s="114"/>
      <c r="K59" s="113" t="s">
        <v>2342</v>
      </c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3" t="s">
        <v>2342</v>
      </c>
      <c r="AF59" s="114"/>
      <c r="AG59" s="114"/>
      <c r="AH59" s="114"/>
      <c r="AI59" s="114"/>
      <c r="AJ59" s="114"/>
      <c r="AK59" s="114"/>
      <c r="AL59" s="114"/>
      <c r="AM59" s="114"/>
      <c r="AN59" s="114"/>
      <c r="AO59" s="113" t="s">
        <v>2342</v>
      </c>
    </row>
    <row r="60" ht="22.5" customHeight="1">
      <c r="A60" s="15" t="s">
        <v>146</v>
      </c>
      <c r="B60" s="15" t="s">
        <v>147</v>
      </c>
      <c r="C60" s="15" t="s">
        <v>148</v>
      </c>
      <c r="D60" s="41">
        <v>38905.0</v>
      </c>
      <c r="E60" s="15" t="s">
        <v>98</v>
      </c>
      <c r="F60" s="15">
        <v>5.582923664E9</v>
      </c>
      <c r="G60" s="15" t="s">
        <v>149</v>
      </c>
      <c r="H60" s="15" t="s">
        <v>150</v>
      </c>
      <c r="I60" s="49" t="s">
        <v>152</v>
      </c>
      <c r="J60" s="15" t="s">
        <v>154</v>
      </c>
      <c r="K60" s="15" t="s">
        <v>155</v>
      </c>
      <c r="L60" s="20">
        <v>5.620360635E9</v>
      </c>
      <c r="M60" s="18"/>
      <c r="N60" s="18"/>
      <c r="O60" s="18"/>
      <c r="P60" s="20">
        <v>19.0</v>
      </c>
      <c r="Q60" s="22">
        <v>46033.52416666667</v>
      </c>
      <c r="R60" s="15" t="s">
        <v>107</v>
      </c>
      <c r="S60" s="15" t="s">
        <v>125</v>
      </c>
      <c r="T60" s="15" t="s">
        <v>160</v>
      </c>
      <c r="U60" s="15" t="s">
        <v>161</v>
      </c>
      <c r="V60" s="15" t="s">
        <v>163</v>
      </c>
      <c r="W60" s="15" t="s">
        <v>165</v>
      </c>
      <c r="X60" s="55" t="s">
        <v>117</v>
      </c>
      <c r="Y60" s="49" t="s">
        <v>168</v>
      </c>
      <c r="Z60" s="15" t="s">
        <v>117</v>
      </c>
      <c r="AA60" s="58" t="s">
        <v>169</v>
      </c>
      <c r="AB60" s="15" t="s">
        <v>120</v>
      </c>
      <c r="AC60" s="18"/>
      <c r="AD60" s="18"/>
      <c r="AE60" s="15" t="s">
        <v>120</v>
      </c>
      <c r="AF60" s="18"/>
      <c r="AG60" s="15" t="s">
        <v>120</v>
      </c>
      <c r="AH60" s="18"/>
      <c r="AI60" s="15" t="s">
        <v>117</v>
      </c>
      <c r="AJ60" s="76" t="s">
        <v>178</v>
      </c>
      <c r="AK60" s="18"/>
      <c r="AL60" s="15" t="s">
        <v>141</v>
      </c>
      <c r="AM60" s="15" t="s">
        <v>156</v>
      </c>
      <c r="AN60" s="15" t="s">
        <v>138</v>
      </c>
      <c r="AO60" s="15" t="s">
        <v>129</v>
      </c>
    </row>
    <row r="61" ht="22.5" customHeight="1">
      <c r="A61" s="116" t="s">
        <v>497</v>
      </c>
      <c r="B61" s="90" t="s">
        <v>498</v>
      </c>
      <c r="C61" s="90" t="s">
        <v>499</v>
      </c>
      <c r="D61" s="91">
        <v>38241.0</v>
      </c>
      <c r="E61" s="90" t="s">
        <v>98</v>
      </c>
      <c r="F61" s="92">
        <v>5.549532462E9</v>
      </c>
      <c r="G61" s="90" t="s">
        <v>501</v>
      </c>
      <c r="H61" s="90" t="s">
        <v>101</v>
      </c>
      <c r="I61" s="90" t="s">
        <v>502</v>
      </c>
      <c r="J61" s="90" t="s">
        <v>503</v>
      </c>
      <c r="K61" s="90" t="s">
        <v>504</v>
      </c>
      <c r="L61" s="92">
        <v>5.540767234E9</v>
      </c>
      <c r="M61" s="93"/>
      <c r="N61" s="93"/>
      <c r="O61" s="93"/>
      <c r="P61" s="92">
        <v>21.0</v>
      </c>
      <c r="Q61" s="94">
        <v>46007.91261574074</v>
      </c>
      <c r="R61" s="90" t="s">
        <v>260</v>
      </c>
      <c r="S61" s="90" t="s">
        <v>125</v>
      </c>
      <c r="T61" s="90" t="s">
        <v>192</v>
      </c>
      <c r="U61" s="90" t="s">
        <v>505</v>
      </c>
      <c r="V61" s="90" t="s">
        <v>506</v>
      </c>
      <c r="W61" s="90" t="s">
        <v>507</v>
      </c>
      <c r="X61" s="117" t="s">
        <v>117</v>
      </c>
      <c r="Y61" s="82" t="s">
        <v>458</v>
      </c>
      <c r="Z61" s="90" t="s">
        <v>120</v>
      </c>
      <c r="AA61" s="93"/>
      <c r="AB61" s="90" t="s">
        <v>120</v>
      </c>
      <c r="AC61" s="93"/>
      <c r="AD61" s="93"/>
      <c r="AE61" s="90" t="s">
        <v>120</v>
      </c>
      <c r="AF61" s="93"/>
      <c r="AG61" s="90" t="s">
        <v>120</v>
      </c>
      <c r="AH61" s="93"/>
      <c r="AI61" s="90" t="s">
        <v>117</v>
      </c>
      <c r="AJ61" s="95" t="s">
        <v>178</v>
      </c>
      <c r="AK61" s="90" t="s">
        <v>525</v>
      </c>
      <c r="AL61" s="90" t="s">
        <v>240</v>
      </c>
      <c r="AM61" s="90" t="s">
        <v>138</v>
      </c>
      <c r="AN61" s="90" t="s">
        <v>141</v>
      </c>
      <c r="AO61" s="118" t="s">
        <v>126</v>
      </c>
    </row>
    <row r="62" ht="22.5" customHeight="1">
      <c r="A62" s="116" t="s">
        <v>614</v>
      </c>
      <c r="B62" s="90" t="s">
        <v>615</v>
      </c>
      <c r="C62" s="90" t="s">
        <v>616</v>
      </c>
      <c r="D62" s="91">
        <v>37014.0</v>
      </c>
      <c r="E62" s="90" t="s">
        <v>98</v>
      </c>
      <c r="F62" s="92">
        <v>6.421390494E9</v>
      </c>
      <c r="G62" s="90" t="s">
        <v>617</v>
      </c>
      <c r="H62" s="90" t="s">
        <v>110</v>
      </c>
      <c r="I62" s="82" t="s">
        <v>618</v>
      </c>
      <c r="J62" s="90" t="s">
        <v>619</v>
      </c>
      <c r="K62" s="90" t="s">
        <v>621</v>
      </c>
      <c r="L62" s="92">
        <v>6.421374424E9</v>
      </c>
      <c r="M62" s="90" t="s">
        <v>626</v>
      </c>
      <c r="N62" s="90" t="s">
        <v>628</v>
      </c>
      <c r="O62" s="92">
        <v>6.424287151E9</v>
      </c>
      <c r="P62" s="92">
        <v>24.0</v>
      </c>
      <c r="Q62" s="94">
        <v>45970.57938657407</v>
      </c>
      <c r="R62" s="90" t="s">
        <v>546</v>
      </c>
      <c r="S62" s="90" t="s">
        <v>125</v>
      </c>
      <c r="T62" s="90" t="s">
        <v>634</v>
      </c>
      <c r="U62" s="90" t="s">
        <v>635</v>
      </c>
      <c r="V62" s="90" t="s">
        <v>637</v>
      </c>
      <c r="W62" s="90" t="s">
        <v>640</v>
      </c>
      <c r="X62" s="90" t="s">
        <v>120</v>
      </c>
      <c r="Y62" s="93"/>
      <c r="Z62" s="90" t="s">
        <v>120</v>
      </c>
      <c r="AA62" s="93"/>
      <c r="AB62" s="90" t="s">
        <v>117</v>
      </c>
      <c r="AC62" s="90" t="s">
        <v>117</v>
      </c>
      <c r="AD62" s="90" t="s">
        <v>643</v>
      </c>
      <c r="AE62" s="90" t="s">
        <v>120</v>
      </c>
      <c r="AF62" s="93"/>
      <c r="AG62" s="90" t="s">
        <v>120</v>
      </c>
      <c r="AH62" s="93"/>
      <c r="AI62" s="90" t="s">
        <v>117</v>
      </c>
      <c r="AJ62" s="95" t="s">
        <v>644</v>
      </c>
      <c r="AK62" s="93"/>
      <c r="AL62" s="90" t="s">
        <v>138</v>
      </c>
      <c r="AM62" s="90" t="s">
        <v>242</v>
      </c>
      <c r="AN62" s="90" t="s">
        <v>124</v>
      </c>
      <c r="AO62" s="118" t="s">
        <v>141</v>
      </c>
    </row>
    <row r="63" ht="22.5" customHeight="1">
      <c r="A63" s="119" t="s">
        <v>793</v>
      </c>
      <c r="B63" s="79" t="s">
        <v>794</v>
      </c>
      <c r="C63" s="79" t="s">
        <v>795</v>
      </c>
      <c r="D63" s="80">
        <v>38212.0</v>
      </c>
      <c r="E63" s="79" t="s">
        <v>98</v>
      </c>
      <c r="F63" s="81">
        <v>5.560794305E9</v>
      </c>
      <c r="G63" s="79" t="s">
        <v>797</v>
      </c>
      <c r="H63" s="79" t="s">
        <v>101</v>
      </c>
      <c r="I63" s="82" t="s">
        <v>800</v>
      </c>
      <c r="J63" s="79" t="s">
        <v>801</v>
      </c>
      <c r="K63" s="79" t="s">
        <v>797</v>
      </c>
      <c r="L63" s="81">
        <v>5.574526519E9</v>
      </c>
      <c r="M63" s="86"/>
      <c r="N63" s="86"/>
      <c r="O63" s="86"/>
      <c r="P63" s="81">
        <v>21.0</v>
      </c>
      <c r="Q63" s="83">
        <v>46033.501435185186</v>
      </c>
      <c r="R63" s="79" t="s">
        <v>107</v>
      </c>
      <c r="S63" s="79" t="s">
        <v>125</v>
      </c>
      <c r="T63" s="79" t="s">
        <v>160</v>
      </c>
      <c r="U63" s="79" t="s">
        <v>329</v>
      </c>
      <c r="V63" s="79" t="s">
        <v>331</v>
      </c>
      <c r="W63" s="79" t="s">
        <v>332</v>
      </c>
      <c r="X63" s="79" t="s">
        <v>120</v>
      </c>
      <c r="Y63" s="86"/>
      <c r="Z63" s="79" t="s">
        <v>117</v>
      </c>
      <c r="AA63" s="82" t="s">
        <v>805</v>
      </c>
      <c r="AB63" s="79" t="s">
        <v>117</v>
      </c>
      <c r="AC63" s="79" t="s">
        <v>117</v>
      </c>
      <c r="AD63" s="79" t="s">
        <v>806</v>
      </c>
      <c r="AE63" s="79" t="s">
        <v>120</v>
      </c>
      <c r="AF63" s="86"/>
      <c r="AG63" s="79" t="s">
        <v>120</v>
      </c>
      <c r="AH63" s="86"/>
      <c r="AI63" s="79" t="s">
        <v>117</v>
      </c>
      <c r="AJ63" s="99" t="s">
        <v>807</v>
      </c>
      <c r="AK63" s="86"/>
      <c r="AL63" s="79" t="s">
        <v>138</v>
      </c>
      <c r="AM63" s="79" t="s">
        <v>216</v>
      </c>
      <c r="AN63" s="79" t="s">
        <v>126</v>
      </c>
      <c r="AO63" s="120" t="s">
        <v>141</v>
      </c>
    </row>
    <row r="64" ht="22.5" customHeight="1">
      <c r="A64" s="116" t="s">
        <v>710</v>
      </c>
      <c r="B64" s="90" t="s">
        <v>809</v>
      </c>
      <c r="C64" s="90" t="s">
        <v>810</v>
      </c>
      <c r="D64" s="91">
        <v>39161.0</v>
      </c>
      <c r="E64" s="90" t="s">
        <v>98</v>
      </c>
      <c r="F64" s="92">
        <v>7.206758138E9</v>
      </c>
      <c r="G64" s="90" t="s">
        <v>811</v>
      </c>
      <c r="H64" s="90" t="s">
        <v>140</v>
      </c>
      <c r="I64" s="82" t="s">
        <v>812</v>
      </c>
      <c r="J64" s="90" t="s">
        <v>813</v>
      </c>
      <c r="K64" s="90" t="s">
        <v>814</v>
      </c>
      <c r="L64" s="92">
        <v>7.293082828E9</v>
      </c>
      <c r="M64" s="93"/>
      <c r="N64" s="93"/>
      <c r="O64" s="93"/>
      <c r="P64" s="92">
        <v>18.0</v>
      </c>
      <c r="Q64" s="94">
        <v>46033.95962962963</v>
      </c>
      <c r="R64" s="90" t="s">
        <v>546</v>
      </c>
      <c r="S64" s="90" t="s">
        <v>125</v>
      </c>
      <c r="T64" s="90" t="s">
        <v>819</v>
      </c>
      <c r="U64" s="90" t="s">
        <v>821</v>
      </c>
      <c r="V64" s="90" t="s">
        <v>823</v>
      </c>
      <c r="W64" s="90" t="s">
        <v>825</v>
      </c>
      <c r="X64" s="90" t="s">
        <v>120</v>
      </c>
      <c r="Y64" s="93"/>
      <c r="Z64" s="90" t="s">
        <v>117</v>
      </c>
      <c r="AA64" s="82" t="s">
        <v>826</v>
      </c>
      <c r="AB64" s="90" t="s">
        <v>117</v>
      </c>
      <c r="AC64" s="90" t="s">
        <v>117</v>
      </c>
      <c r="AD64" s="90" t="s">
        <v>827</v>
      </c>
      <c r="AE64" s="90" t="s">
        <v>120</v>
      </c>
      <c r="AF64" s="93"/>
      <c r="AG64" s="90" t="s">
        <v>120</v>
      </c>
      <c r="AH64" s="93"/>
      <c r="AI64" s="90" t="s">
        <v>117</v>
      </c>
      <c r="AJ64" s="95" t="s">
        <v>178</v>
      </c>
      <c r="AK64" s="93"/>
      <c r="AL64" s="90" t="s">
        <v>216</v>
      </c>
      <c r="AM64" s="90" t="s">
        <v>242</v>
      </c>
      <c r="AN64" s="90" t="s">
        <v>240</v>
      </c>
      <c r="AO64" s="118" t="s">
        <v>185</v>
      </c>
    </row>
    <row r="65" ht="22.5" customHeight="1">
      <c r="A65" s="15" t="s">
        <v>1354</v>
      </c>
      <c r="B65" s="15" t="s">
        <v>1355</v>
      </c>
      <c r="C65" s="15" t="s">
        <v>1356</v>
      </c>
      <c r="D65" s="41">
        <v>35850.0</v>
      </c>
      <c r="E65" s="15" t="s">
        <v>98</v>
      </c>
      <c r="F65" s="15">
        <v>5.521021259E9</v>
      </c>
      <c r="G65" s="15" t="s">
        <v>1358</v>
      </c>
      <c r="H65" s="15" t="s">
        <v>150</v>
      </c>
      <c r="I65" s="15" t="s">
        <v>1325</v>
      </c>
      <c r="J65" s="15" t="s">
        <v>1359</v>
      </c>
      <c r="K65" s="15" t="s">
        <v>1361</v>
      </c>
      <c r="L65" s="20">
        <v>5.517054631E9</v>
      </c>
      <c r="M65" s="18"/>
      <c r="N65" s="18"/>
      <c r="O65" s="18"/>
      <c r="P65" s="20">
        <v>28.0</v>
      </c>
      <c r="Q65" s="22">
        <v>45989.69033564815</v>
      </c>
      <c r="R65" s="15" t="s">
        <v>107</v>
      </c>
      <c r="S65" s="15" t="s">
        <v>125</v>
      </c>
      <c r="T65" s="15" t="s">
        <v>548</v>
      </c>
      <c r="U65" s="15" t="s">
        <v>1370</v>
      </c>
      <c r="V65" s="15" t="s">
        <v>1372</v>
      </c>
      <c r="W65" s="15" t="s">
        <v>1374</v>
      </c>
      <c r="X65" s="15" t="s">
        <v>120</v>
      </c>
      <c r="Y65" s="18"/>
      <c r="Z65" s="15" t="s">
        <v>120</v>
      </c>
      <c r="AA65" s="18"/>
      <c r="AB65" s="15" t="s">
        <v>117</v>
      </c>
      <c r="AC65" s="15" t="s">
        <v>117</v>
      </c>
      <c r="AD65" s="15" t="s">
        <v>1384</v>
      </c>
      <c r="AE65" s="15" t="s">
        <v>117</v>
      </c>
      <c r="AF65" s="15" t="s">
        <v>1388</v>
      </c>
      <c r="AG65" s="15" t="s">
        <v>120</v>
      </c>
      <c r="AH65" s="18"/>
      <c r="AI65" s="15" t="s">
        <v>117</v>
      </c>
      <c r="AJ65" s="15" t="s">
        <v>1392</v>
      </c>
      <c r="AK65" s="15" t="s">
        <v>1325</v>
      </c>
      <c r="AL65" s="15" t="s">
        <v>138</v>
      </c>
      <c r="AM65" s="15" t="s">
        <v>242</v>
      </c>
      <c r="AN65" s="15" t="s">
        <v>141</v>
      </c>
      <c r="AO65" s="15" t="s">
        <v>124</v>
      </c>
    </row>
    <row r="66" ht="22.5" customHeight="1">
      <c r="A66" s="119" t="s">
        <v>2154</v>
      </c>
      <c r="B66" s="79" t="s">
        <v>2155</v>
      </c>
      <c r="C66" s="79" t="s">
        <v>2156</v>
      </c>
      <c r="D66" s="80">
        <v>37886.0</v>
      </c>
      <c r="E66" s="79" t="s">
        <v>98</v>
      </c>
      <c r="F66" s="81">
        <v>9.935612182E9</v>
      </c>
      <c r="G66" s="79" t="s">
        <v>2157</v>
      </c>
      <c r="H66" s="79" t="s">
        <v>140</v>
      </c>
      <c r="I66" s="86"/>
      <c r="J66" s="79" t="s">
        <v>2158</v>
      </c>
      <c r="K66" s="79" t="s">
        <v>2159</v>
      </c>
      <c r="L66" s="81">
        <v>9.931779898E9</v>
      </c>
      <c r="M66" s="79" t="s">
        <v>2160</v>
      </c>
      <c r="N66" s="79" t="s">
        <v>2161</v>
      </c>
      <c r="O66" s="81">
        <v>9.933112769E9</v>
      </c>
      <c r="P66" s="81">
        <v>22.0</v>
      </c>
      <c r="Q66" s="83">
        <v>45970.05950231481</v>
      </c>
      <c r="R66" s="79" t="s">
        <v>546</v>
      </c>
      <c r="S66" s="79" t="s">
        <v>125</v>
      </c>
      <c r="T66" s="79" t="s">
        <v>1953</v>
      </c>
      <c r="U66" s="79" t="s">
        <v>2166</v>
      </c>
      <c r="V66" s="79" t="s">
        <v>2161</v>
      </c>
      <c r="W66" s="79" t="s">
        <v>2170</v>
      </c>
      <c r="X66" s="79" t="s">
        <v>120</v>
      </c>
      <c r="Y66" s="86"/>
      <c r="Z66" s="79" t="s">
        <v>120</v>
      </c>
      <c r="AA66" s="86"/>
      <c r="AB66" s="79" t="s">
        <v>120</v>
      </c>
      <c r="AC66" s="79" t="s">
        <v>120</v>
      </c>
      <c r="AD66" s="86"/>
      <c r="AE66" s="79" t="s">
        <v>120</v>
      </c>
      <c r="AF66" s="86"/>
      <c r="AG66" s="79" t="s">
        <v>120</v>
      </c>
      <c r="AH66" s="86"/>
      <c r="AI66" s="79" t="s">
        <v>117</v>
      </c>
      <c r="AJ66" s="99" t="s">
        <v>2181</v>
      </c>
      <c r="AK66" s="86"/>
      <c r="AL66" s="79" t="s">
        <v>129</v>
      </c>
      <c r="AM66" s="79" t="s">
        <v>138</v>
      </c>
      <c r="AN66" s="79" t="s">
        <v>128</v>
      </c>
      <c r="AO66" s="120" t="s">
        <v>240</v>
      </c>
    </row>
    <row r="67" ht="22.5" customHeight="1">
      <c r="A67" s="119" t="s">
        <v>2236</v>
      </c>
      <c r="B67" s="79" t="s">
        <v>2237</v>
      </c>
      <c r="C67" s="79" t="s">
        <v>2238</v>
      </c>
      <c r="D67" s="80">
        <v>37826.0</v>
      </c>
      <c r="E67" s="79" t="s">
        <v>177</v>
      </c>
      <c r="F67" s="81">
        <v>2.882191693E9</v>
      </c>
      <c r="G67" s="79" t="s">
        <v>2239</v>
      </c>
      <c r="H67" s="79" t="s">
        <v>150</v>
      </c>
      <c r="I67" s="86"/>
      <c r="J67" s="79" t="s">
        <v>2240</v>
      </c>
      <c r="K67" s="79" t="s">
        <v>2242</v>
      </c>
      <c r="L67" s="81">
        <v>2.881068656E9</v>
      </c>
      <c r="M67" s="86"/>
      <c r="N67" s="86"/>
      <c r="O67" s="86"/>
      <c r="P67" s="81">
        <v>22.0</v>
      </c>
      <c r="Q67" s="83">
        <v>45975.76122685185</v>
      </c>
      <c r="R67" s="79" t="s">
        <v>546</v>
      </c>
      <c r="S67" s="79" t="s">
        <v>125</v>
      </c>
      <c r="T67" s="79" t="s">
        <v>2247</v>
      </c>
      <c r="U67" s="79" t="s">
        <v>2248</v>
      </c>
      <c r="V67" s="79" t="s">
        <v>2249</v>
      </c>
      <c r="W67" s="79" t="s">
        <v>2251</v>
      </c>
      <c r="X67" s="79" t="s">
        <v>120</v>
      </c>
      <c r="Y67" s="86"/>
      <c r="Z67" s="79" t="s">
        <v>120</v>
      </c>
      <c r="AA67" s="86"/>
      <c r="AB67" s="79" t="s">
        <v>120</v>
      </c>
      <c r="AC67" s="79" t="s">
        <v>120</v>
      </c>
      <c r="AD67" s="86"/>
      <c r="AE67" s="79" t="s">
        <v>117</v>
      </c>
      <c r="AF67" s="79" t="s">
        <v>2257</v>
      </c>
      <c r="AG67" s="79" t="s">
        <v>120</v>
      </c>
      <c r="AH67" s="86"/>
      <c r="AI67" s="79" t="s">
        <v>117</v>
      </c>
      <c r="AJ67" s="99" t="s">
        <v>2260</v>
      </c>
      <c r="AK67" s="86"/>
      <c r="AL67" s="79" t="s">
        <v>124</v>
      </c>
      <c r="AM67" s="79" t="s">
        <v>242</v>
      </c>
      <c r="AN67" s="79" t="s">
        <v>156</v>
      </c>
      <c r="AO67" s="120" t="s">
        <v>185</v>
      </c>
    </row>
    <row r="68" ht="22.5" customHeight="1">
      <c r="A68" s="116" t="s">
        <v>2413</v>
      </c>
      <c r="B68" s="90" t="s">
        <v>2414</v>
      </c>
      <c r="C68" s="90" t="s">
        <v>2415</v>
      </c>
      <c r="D68" s="91">
        <v>35914.0</v>
      </c>
      <c r="E68" s="90" t="s">
        <v>98</v>
      </c>
      <c r="F68" s="92">
        <v>5.549139182E9</v>
      </c>
      <c r="G68" s="90" t="s">
        <v>2416</v>
      </c>
      <c r="H68" s="90" t="s">
        <v>140</v>
      </c>
      <c r="I68" s="90" t="s">
        <v>135</v>
      </c>
      <c r="J68" s="90" t="s">
        <v>2417</v>
      </c>
      <c r="K68" s="90" t="s">
        <v>2418</v>
      </c>
      <c r="L68" s="92">
        <v>5.535002853E9</v>
      </c>
      <c r="M68" s="93"/>
      <c r="N68" s="93"/>
      <c r="O68" s="93"/>
      <c r="P68" s="92">
        <v>27.0</v>
      </c>
      <c r="Q68" s="94">
        <v>46040.41475694445</v>
      </c>
      <c r="R68" s="90" t="s">
        <v>231</v>
      </c>
      <c r="S68" s="90" t="s">
        <v>125</v>
      </c>
      <c r="T68" s="90" t="s">
        <v>192</v>
      </c>
      <c r="U68" s="90" t="s">
        <v>505</v>
      </c>
      <c r="V68" s="90" t="s">
        <v>506</v>
      </c>
      <c r="W68" s="90" t="s">
        <v>507</v>
      </c>
      <c r="X68" s="90" t="s">
        <v>120</v>
      </c>
      <c r="Y68" s="93"/>
      <c r="Z68" s="90" t="s">
        <v>120</v>
      </c>
      <c r="AA68" s="93"/>
      <c r="AB68" s="90" t="s">
        <v>117</v>
      </c>
      <c r="AC68" s="90" t="s">
        <v>117</v>
      </c>
      <c r="AD68" s="90" t="s">
        <v>2423</v>
      </c>
      <c r="AE68" s="90" t="s">
        <v>120</v>
      </c>
      <c r="AF68" s="93"/>
      <c r="AG68" s="90" t="s">
        <v>120</v>
      </c>
      <c r="AH68" s="93"/>
      <c r="AI68" s="90" t="s">
        <v>117</v>
      </c>
      <c r="AJ68" s="95" t="s">
        <v>2427</v>
      </c>
      <c r="AK68" s="93"/>
      <c r="AL68" s="90" t="s">
        <v>138</v>
      </c>
      <c r="AM68" s="90" t="s">
        <v>124</v>
      </c>
      <c r="AN68" s="90" t="s">
        <v>129</v>
      </c>
      <c r="AO68" s="118" t="s">
        <v>242</v>
      </c>
    </row>
    <row r="69" ht="22.5" customHeight="1">
      <c r="A69" s="116" t="s">
        <v>2517</v>
      </c>
      <c r="B69" s="90" t="s">
        <v>2518</v>
      </c>
      <c r="C69" s="90" t="s">
        <v>2519</v>
      </c>
      <c r="D69" s="91">
        <v>37686.0</v>
      </c>
      <c r="E69" s="90" t="s">
        <v>98</v>
      </c>
      <c r="F69" s="92">
        <v>5.550670823E9</v>
      </c>
      <c r="G69" s="90" t="s">
        <v>2522</v>
      </c>
      <c r="H69" s="90" t="s">
        <v>101</v>
      </c>
      <c r="I69" s="90" t="s">
        <v>135</v>
      </c>
      <c r="J69" s="90" t="s">
        <v>2524</v>
      </c>
      <c r="K69" s="90" t="s">
        <v>2522</v>
      </c>
      <c r="L69" s="92">
        <v>5.554240848E9</v>
      </c>
      <c r="M69" s="93"/>
      <c r="N69" s="93"/>
      <c r="O69" s="93"/>
      <c r="P69" s="92">
        <v>22.0</v>
      </c>
      <c r="Q69" s="94">
        <v>46033.51980324074</v>
      </c>
      <c r="R69" s="90" t="s">
        <v>107</v>
      </c>
      <c r="S69" s="90" t="s">
        <v>125</v>
      </c>
      <c r="T69" s="90" t="s">
        <v>171</v>
      </c>
      <c r="U69" s="90" t="s">
        <v>1474</v>
      </c>
      <c r="V69" s="90" t="s">
        <v>1475</v>
      </c>
      <c r="W69" s="90" t="s">
        <v>1476</v>
      </c>
      <c r="X69" s="90" t="s">
        <v>120</v>
      </c>
      <c r="Y69" s="93"/>
      <c r="Z69" s="90" t="s">
        <v>120</v>
      </c>
      <c r="AA69" s="93"/>
      <c r="AB69" s="90" t="s">
        <v>120</v>
      </c>
      <c r="AC69" s="93"/>
      <c r="AD69" s="93"/>
      <c r="AE69" s="90" t="s">
        <v>117</v>
      </c>
      <c r="AF69" s="90" t="s">
        <v>2529</v>
      </c>
      <c r="AG69" s="90" t="s">
        <v>120</v>
      </c>
      <c r="AH69" s="93"/>
      <c r="AI69" s="90" t="s">
        <v>117</v>
      </c>
      <c r="AJ69" s="95" t="s">
        <v>2530</v>
      </c>
      <c r="AK69" s="90" t="s">
        <v>2531</v>
      </c>
      <c r="AL69" s="90" t="s">
        <v>126</v>
      </c>
      <c r="AM69" s="90" t="s">
        <v>216</v>
      </c>
      <c r="AN69" s="90" t="s">
        <v>240</v>
      </c>
      <c r="AO69" s="118" t="s">
        <v>141</v>
      </c>
    </row>
    <row r="70" ht="22.5" customHeight="1">
      <c r="A70" s="15" t="s">
        <v>2532</v>
      </c>
      <c r="B70" s="15" t="s">
        <v>2533</v>
      </c>
      <c r="C70" s="15" t="s">
        <v>2535</v>
      </c>
      <c r="D70" s="41">
        <v>37728.0</v>
      </c>
      <c r="E70" s="15" t="s">
        <v>98</v>
      </c>
      <c r="F70" s="15">
        <v>2.321175658E9</v>
      </c>
      <c r="G70" s="15" t="s">
        <v>2538</v>
      </c>
      <c r="H70" s="15" t="s">
        <v>150</v>
      </c>
      <c r="I70" s="18"/>
      <c r="J70" s="15" t="s">
        <v>2540</v>
      </c>
      <c r="K70" s="15" t="s">
        <v>2541</v>
      </c>
      <c r="L70" s="20">
        <v>2.212231159E9</v>
      </c>
      <c r="M70" s="18"/>
      <c r="N70" s="18"/>
      <c r="O70" s="18"/>
      <c r="P70" s="20">
        <v>22.0</v>
      </c>
      <c r="Q70" s="22">
        <v>45979.6325462963</v>
      </c>
      <c r="R70" s="15" t="s">
        <v>107</v>
      </c>
      <c r="S70" s="15" t="s">
        <v>125</v>
      </c>
      <c r="T70" s="15" t="s">
        <v>2547</v>
      </c>
      <c r="U70" s="15" t="s">
        <v>2548</v>
      </c>
      <c r="V70" s="15" t="s">
        <v>2550</v>
      </c>
      <c r="W70" s="15" t="s">
        <v>2552</v>
      </c>
      <c r="X70" s="15" t="s">
        <v>120</v>
      </c>
      <c r="Y70" s="18"/>
      <c r="Z70" s="15" t="s">
        <v>120</v>
      </c>
      <c r="AA70" s="18"/>
      <c r="AB70" s="15" t="s">
        <v>117</v>
      </c>
      <c r="AC70" s="15" t="s">
        <v>120</v>
      </c>
      <c r="AD70" s="15" t="s">
        <v>2555</v>
      </c>
      <c r="AE70" s="15" t="s">
        <v>120</v>
      </c>
      <c r="AF70" s="18"/>
      <c r="AG70" s="15" t="s">
        <v>120</v>
      </c>
      <c r="AH70" s="18"/>
      <c r="AI70" s="15" t="s">
        <v>117</v>
      </c>
      <c r="AJ70" s="76" t="s">
        <v>2557</v>
      </c>
      <c r="AK70" s="18"/>
      <c r="AL70" s="15" t="s">
        <v>141</v>
      </c>
      <c r="AM70" s="15" t="s">
        <v>138</v>
      </c>
      <c r="AN70" s="15" t="s">
        <v>156</v>
      </c>
      <c r="AO70" s="15" t="s">
        <v>124</v>
      </c>
    </row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2</v>
      </c>
      <c r="B1" s="124" t="s">
        <v>5</v>
      </c>
      <c r="C1" s="124" t="s">
        <v>6</v>
      </c>
      <c r="D1" s="124" t="s">
        <v>1</v>
      </c>
      <c r="E1" s="124" t="s">
        <v>7</v>
      </c>
      <c r="F1" s="124" t="s">
        <v>9</v>
      </c>
      <c r="G1" s="124" t="s">
        <v>10</v>
      </c>
      <c r="H1" s="124" t="s">
        <v>11</v>
      </c>
      <c r="I1" s="125" t="s">
        <v>12</v>
      </c>
      <c r="J1" s="124" t="s">
        <v>14</v>
      </c>
      <c r="K1" s="124" t="s">
        <v>16</v>
      </c>
      <c r="L1" s="124" t="s">
        <v>17</v>
      </c>
      <c r="M1" s="124" t="s">
        <v>18</v>
      </c>
      <c r="N1" s="124" t="s">
        <v>19</v>
      </c>
      <c r="O1" s="124" t="s">
        <v>20</v>
      </c>
      <c r="P1" s="124" t="s">
        <v>21</v>
      </c>
      <c r="Q1" s="124" t="s">
        <v>22</v>
      </c>
      <c r="R1" s="124" t="s">
        <v>23</v>
      </c>
      <c r="S1" s="124" t="s">
        <v>25</v>
      </c>
      <c r="T1" s="124" t="s">
        <v>26</v>
      </c>
      <c r="U1" s="124" t="s">
        <v>27</v>
      </c>
      <c r="V1" s="124" t="s">
        <v>29</v>
      </c>
      <c r="W1" s="124" t="s">
        <v>30</v>
      </c>
      <c r="X1" s="124" t="s">
        <v>32</v>
      </c>
      <c r="Y1" s="124" t="s">
        <v>33</v>
      </c>
      <c r="Z1" s="124" t="s">
        <v>34</v>
      </c>
      <c r="AA1" s="124" t="s">
        <v>35</v>
      </c>
      <c r="AB1" s="124" t="s">
        <v>36</v>
      </c>
      <c r="AC1" s="124" t="s">
        <v>38</v>
      </c>
      <c r="AD1" s="124" t="s">
        <v>40</v>
      </c>
      <c r="AE1" s="124" t="s">
        <v>42</v>
      </c>
      <c r="AF1" s="124" t="s">
        <v>43</v>
      </c>
      <c r="AG1" s="124" t="s">
        <v>44</v>
      </c>
      <c r="AH1" s="124" t="s">
        <v>45</v>
      </c>
      <c r="AI1" s="124" t="s">
        <v>47</v>
      </c>
      <c r="AJ1" s="124" t="s">
        <v>48</v>
      </c>
      <c r="AK1" s="124" t="s">
        <v>50</v>
      </c>
      <c r="AL1" s="124" t="s">
        <v>51</v>
      </c>
      <c r="AM1" s="124" t="s">
        <v>52</v>
      </c>
      <c r="AN1" s="124" t="s">
        <v>53</v>
      </c>
      <c r="AO1" s="124" t="s">
        <v>58</v>
      </c>
      <c r="AP1" s="124"/>
    </row>
    <row r="2">
      <c r="A2" s="124" t="s">
        <v>1272</v>
      </c>
      <c r="B2" s="124" t="s">
        <v>1273</v>
      </c>
      <c r="C2" s="124" t="s">
        <v>1274</v>
      </c>
      <c r="D2" s="127">
        <v>39661.0</v>
      </c>
      <c r="E2" s="124" t="s">
        <v>98</v>
      </c>
      <c r="F2" s="124">
        <v>5.574094787E9</v>
      </c>
      <c r="G2" s="124" t="s">
        <v>1276</v>
      </c>
      <c r="H2" s="124" t="s">
        <v>140</v>
      </c>
      <c r="I2" s="124" t="s">
        <v>1279</v>
      </c>
      <c r="J2" s="124" t="s">
        <v>1281</v>
      </c>
      <c r="K2" s="124" t="s">
        <v>1283</v>
      </c>
      <c r="L2" s="124">
        <v>5.610396535E9</v>
      </c>
      <c r="M2" s="128"/>
      <c r="N2" s="128"/>
      <c r="O2" s="128"/>
      <c r="P2" s="129">
        <v>17.0</v>
      </c>
      <c r="Q2" s="130">
        <v>46037.795219907406</v>
      </c>
      <c r="R2" s="124" t="s">
        <v>107</v>
      </c>
      <c r="S2" s="124" t="s">
        <v>109</v>
      </c>
      <c r="T2" s="124" t="s">
        <v>111</v>
      </c>
      <c r="U2" s="124" t="s">
        <v>657</v>
      </c>
      <c r="V2" s="124" t="s">
        <v>659</v>
      </c>
      <c r="W2" s="124" t="s">
        <v>662</v>
      </c>
      <c r="X2" s="124" t="s">
        <v>120</v>
      </c>
      <c r="Y2" s="124" t="s">
        <v>697</v>
      </c>
      <c r="Z2" s="124" t="s">
        <v>120</v>
      </c>
      <c r="AA2" s="124" t="s">
        <v>698</v>
      </c>
      <c r="AB2" s="124" t="s">
        <v>117</v>
      </c>
      <c r="AC2" s="124" t="s">
        <v>117</v>
      </c>
      <c r="AD2" s="124" t="s">
        <v>1165</v>
      </c>
      <c r="AE2" s="124" t="s">
        <v>120</v>
      </c>
      <c r="AF2" s="124" t="s">
        <v>667</v>
      </c>
      <c r="AG2" s="124" t="s">
        <v>120</v>
      </c>
      <c r="AH2" s="124" t="s">
        <v>667</v>
      </c>
      <c r="AI2" s="124" t="s">
        <v>120</v>
      </c>
      <c r="AJ2" s="124" t="s">
        <v>667</v>
      </c>
      <c r="AK2" s="124" t="s">
        <v>667</v>
      </c>
      <c r="AL2" s="124" t="s">
        <v>141</v>
      </c>
      <c r="AM2" s="124" t="s">
        <v>156</v>
      </c>
      <c r="AN2" s="124" t="s">
        <v>185</v>
      </c>
      <c r="AO2" s="124" t="s">
        <v>138</v>
      </c>
      <c r="AP2" s="124"/>
    </row>
    <row r="3">
      <c r="A3" s="124" t="s">
        <v>2775</v>
      </c>
      <c r="B3" s="124" t="s">
        <v>2776</v>
      </c>
      <c r="C3" s="124" t="s">
        <v>2778</v>
      </c>
      <c r="D3" s="127">
        <v>40810.0</v>
      </c>
      <c r="E3" s="124" t="s">
        <v>98</v>
      </c>
      <c r="F3" s="124">
        <v>5.647828766E9</v>
      </c>
      <c r="G3" s="124" t="s">
        <v>2779</v>
      </c>
      <c r="H3" s="124" t="s">
        <v>140</v>
      </c>
      <c r="I3" s="128"/>
      <c r="J3" s="124" t="s">
        <v>2780</v>
      </c>
      <c r="K3" s="124" t="s">
        <v>2781</v>
      </c>
      <c r="L3" s="124">
        <v>5.567356696E9</v>
      </c>
      <c r="M3" s="128"/>
      <c r="N3" s="128"/>
      <c r="O3" s="128"/>
      <c r="P3" s="129">
        <v>14.0</v>
      </c>
      <c r="Q3" s="130">
        <v>46033.48365740741</v>
      </c>
      <c r="R3" s="124" t="s">
        <v>107</v>
      </c>
      <c r="S3" s="124" t="s">
        <v>109</v>
      </c>
      <c r="T3" s="124" t="s">
        <v>160</v>
      </c>
      <c r="U3" s="124" t="s">
        <v>329</v>
      </c>
      <c r="V3" s="124" t="s">
        <v>331</v>
      </c>
      <c r="W3" s="124" t="s">
        <v>332</v>
      </c>
      <c r="X3" s="124" t="s">
        <v>120</v>
      </c>
      <c r="Y3" s="128"/>
      <c r="Z3" s="124" t="s">
        <v>120</v>
      </c>
      <c r="AA3" s="128"/>
      <c r="AB3" s="124" t="s">
        <v>120</v>
      </c>
      <c r="AC3" s="128"/>
      <c r="AD3" s="128"/>
      <c r="AE3" s="124" t="s">
        <v>120</v>
      </c>
      <c r="AF3" s="128"/>
      <c r="AG3" s="124" t="s">
        <v>120</v>
      </c>
      <c r="AH3" s="128"/>
      <c r="AI3" s="124" t="s">
        <v>120</v>
      </c>
      <c r="AJ3" s="128"/>
      <c r="AK3" s="128"/>
      <c r="AL3" s="124" t="s">
        <v>138</v>
      </c>
      <c r="AM3" s="124" t="s">
        <v>126</v>
      </c>
      <c r="AN3" s="124" t="s">
        <v>124</v>
      </c>
      <c r="AO3" s="124" t="s">
        <v>242</v>
      </c>
      <c r="AP3" s="124"/>
    </row>
    <row r="4">
      <c r="A4" s="124" t="s">
        <v>286</v>
      </c>
      <c r="B4" s="124" t="s">
        <v>288</v>
      </c>
      <c r="C4" s="124" t="s">
        <v>290</v>
      </c>
      <c r="D4" s="127">
        <v>38891.0</v>
      </c>
      <c r="E4" s="124" t="s">
        <v>98</v>
      </c>
      <c r="F4" s="124">
        <v>5.564428956E9</v>
      </c>
      <c r="G4" s="124" t="s">
        <v>291</v>
      </c>
      <c r="H4" s="124" t="s">
        <v>101</v>
      </c>
      <c r="I4" s="128"/>
      <c r="J4" s="124" t="s">
        <v>292</v>
      </c>
      <c r="K4" s="124" t="s">
        <v>293</v>
      </c>
      <c r="L4" s="124">
        <v>5.534142354E9</v>
      </c>
      <c r="M4" s="128"/>
      <c r="N4" s="128"/>
      <c r="O4" s="128"/>
      <c r="P4" s="129">
        <v>19.0</v>
      </c>
      <c r="Q4" s="130">
        <v>46039.68982638889</v>
      </c>
      <c r="R4" s="124" t="s">
        <v>107</v>
      </c>
      <c r="S4" s="124" t="s">
        <v>125</v>
      </c>
      <c r="T4" s="124" t="s">
        <v>160</v>
      </c>
      <c r="U4" s="124" t="s">
        <v>308</v>
      </c>
      <c r="V4" s="124" t="s">
        <v>309</v>
      </c>
      <c r="W4" s="124" t="s">
        <v>310</v>
      </c>
      <c r="X4" s="124" t="s">
        <v>117</v>
      </c>
      <c r="Y4" s="124" t="s">
        <v>314</v>
      </c>
      <c r="Z4" s="124" t="s">
        <v>120</v>
      </c>
      <c r="AA4" s="128"/>
      <c r="AB4" s="124" t="s">
        <v>120</v>
      </c>
      <c r="AC4" s="124" t="s">
        <v>120</v>
      </c>
      <c r="AD4" s="128"/>
      <c r="AE4" s="124" t="s">
        <v>120</v>
      </c>
      <c r="AF4" s="128"/>
      <c r="AG4" s="124" t="s">
        <v>120</v>
      </c>
      <c r="AH4" s="128"/>
      <c r="AI4" s="124" t="s">
        <v>120</v>
      </c>
      <c r="AJ4" s="128"/>
      <c r="AK4" s="128"/>
      <c r="AL4" s="124" t="s">
        <v>185</v>
      </c>
      <c r="AM4" s="124" t="s">
        <v>126</v>
      </c>
      <c r="AN4" s="124" t="s">
        <v>138</v>
      </c>
      <c r="AO4" s="124" t="s">
        <v>129</v>
      </c>
      <c r="AP4" s="124"/>
    </row>
    <row r="5">
      <c r="A5" s="124" t="s">
        <v>1416</v>
      </c>
      <c r="B5" s="124" t="s">
        <v>1418</v>
      </c>
      <c r="C5" s="124" t="s">
        <v>1419</v>
      </c>
      <c r="D5" s="127">
        <v>41132.0</v>
      </c>
      <c r="E5" s="124" t="s">
        <v>177</v>
      </c>
      <c r="F5" s="124">
        <v>5.585806377E9</v>
      </c>
      <c r="G5" s="124" t="s">
        <v>1420</v>
      </c>
      <c r="H5" s="124" t="s">
        <v>101</v>
      </c>
      <c r="I5" s="124" t="s">
        <v>1421</v>
      </c>
      <c r="J5" s="124" t="s">
        <v>1422</v>
      </c>
      <c r="K5" s="124" t="s">
        <v>1424</v>
      </c>
      <c r="L5" s="124">
        <v>5.585809983E9</v>
      </c>
      <c r="M5" s="124" t="s">
        <v>1426</v>
      </c>
      <c r="N5" s="124" t="s">
        <v>1420</v>
      </c>
      <c r="O5" s="124">
        <v>5.585806377E9</v>
      </c>
      <c r="P5" s="129">
        <v>13.0</v>
      </c>
      <c r="Q5" s="130">
        <v>46029.832094907404</v>
      </c>
      <c r="R5" s="124" t="s">
        <v>107</v>
      </c>
      <c r="S5" s="124" t="s">
        <v>109</v>
      </c>
      <c r="T5" s="124" t="s">
        <v>204</v>
      </c>
      <c r="U5" s="124" t="s">
        <v>311</v>
      </c>
      <c r="V5" s="124" t="s">
        <v>312</v>
      </c>
      <c r="W5" s="124" t="s">
        <v>313</v>
      </c>
      <c r="X5" s="124" t="s">
        <v>120</v>
      </c>
      <c r="Y5" s="128"/>
      <c r="Z5" s="124" t="s">
        <v>117</v>
      </c>
      <c r="AA5" s="124" t="s">
        <v>1433</v>
      </c>
      <c r="AB5" s="124" t="s">
        <v>120</v>
      </c>
      <c r="AC5" s="128"/>
      <c r="AD5" s="124" t="s">
        <v>1053</v>
      </c>
      <c r="AE5" s="124" t="s">
        <v>120</v>
      </c>
      <c r="AF5" s="128"/>
      <c r="AG5" s="124" t="s">
        <v>120</v>
      </c>
      <c r="AH5" s="128"/>
      <c r="AI5" s="124" t="s">
        <v>120</v>
      </c>
      <c r="AJ5" s="128"/>
      <c r="AK5" s="128"/>
      <c r="AL5" s="124" t="s">
        <v>156</v>
      </c>
      <c r="AM5" s="124" t="s">
        <v>138</v>
      </c>
      <c r="AN5" s="124" t="s">
        <v>129</v>
      </c>
      <c r="AO5" s="124" t="s">
        <v>185</v>
      </c>
      <c r="AP5" s="124"/>
    </row>
    <row r="6">
      <c r="A6" s="124" t="s">
        <v>2763</v>
      </c>
      <c r="B6" s="124" t="s">
        <v>2764</v>
      </c>
      <c r="C6" s="124" t="s">
        <v>2766</v>
      </c>
      <c r="D6" s="127">
        <v>40642.0</v>
      </c>
      <c r="E6" s="124" t="s">
        <v>98</v>
      </c>
      <c r="F6" s="124">
        <v>5.56494955E9</v>
      </c>
      <c r="G6" s="124" t="s">
        <v>2768</v>
      </c>
      <c r="H6" s="124" t="s">
        <v>140</v>
      </c>
      <c r="I6" s="128"/>
      <c r="J6" s="124" t="s">
        <v>2769</v>
      </c>
      <c r="K6" s="124" t="s">
        <v>2770</v>
      </c>
      <c r="L6" s="124">
        <v>5.56494955E9</v>
      </c>
      <c r="M6" s="128"/>
      <c r="N6" s="128"/>
      <c r="O6" s="128"/>
      <c r="P6" s="129">
        <v>14.0</v>
      </c>
      <c r="Q6" s="130">
        <v>46033.53197916667</v>
      </c>
      <c r="R6" s="124" t="s">
        <v>107</v>
      </c>
      <c r="S6" s="124" t="s">
        <v>109</v>
      </c>
      <c r="T6" s="124" t="s">
        <v>171</v>
      </c>
      <c r="U6" s="124" t="s">
        <v>173</v>
      </c>
      <c r="V6" s="124" t="s">
        <v>167</v>
      </c>
      <c r="W6" s="124" t="s">
        <v>175</v>
      </c>
      <c r="X6" s="124" t="s">
        <v>120</v>
      </c>
      <c r="Y6" s="128"/>
      <c r="Z6" s="124" t="s">
        <v>120</v>
      </c>
      <c r="AA6" s="128"/>
      <c r="AB6" s="124" t="s">
        <v>120</v>
      </c>
      <c r="AC6" s="128"/>
      <c r="AD6" s="128"/>
      <c r="AE6" s="124" t="s">
        <v>120</v>
      </c>
      <c r="AF6" s="128"/>
      <c r="AG6" s="124" t="s">
        <v>120</v>
      </c>
      <c r="AH6" s="128"/>
      <c r="AI6" s="124" t="s">
        <v>120</v>
      </c>
      <c r="AJ6" s="128"/>
      <c r="AK6" s="128"/>
      <c r="AL6" s="124" t="s">
        <v>156</v>
      </c>
      <c r="AM6" s="124" t="s">
        <v>185</v>
      </c>
      <c r="AN6" s="124" t="s">
        <v>242</v>
      </c>
      <c r="AO6" s="124" t="s">
        <v>240</v>
      </c>
      <c r="AP6" s="124"/>
    </row>
    <row r="7">
      <c r="A7" s="124" t="s">
        <v>1126</v>
      </c>
      <c r="B7" s="124" t="s">
        <v>1264</v>
      </c>
      <c r="C7" s="124" t="s">
        <v>1266</v>
      </c>
      <c r="D7" s="127">
        <v>38812.0</v>
      </c>
      <c r="E7" s="124" t="s">
        <v>98</v>
      </c>
      <c r="F7" s="124">
        <v>5.541378658E9</v>
      </c>
      <c r="G7" s="124" t="s">
        <v>1269</v>
      </c>
      <c r="H7" s="124" t="s">
        <v>140</v>
      </c>
      <c r="I7" s="124" t="s">
        <v>135</v>
      </c>
      <c r="J7" s="124" t="s">
        <v>1270</v>
      </c>
      <c r="K7" s="124" t="s">
        <v>1271</v>
      </c>
      <c r="L7" s="124">
        <v>5.520697563E9</v>
      </c>
      <c r="M7" s="128"/>
      <c r="N7" s="128"/>
      <c r="O7" s="128"/>
      <c r="P7" s="129">
        <v>19.0</v>
      </c>
      <c r="Q7" s="130">
        <v>45976.79461805556</v>
      </c>
      <c r="R7" s="124" t="s">
        <v>107</v>
      </c>
      <c r="S7" s="124" t="s">
        <v>125</v>
      </c>
      <c r="T7" s="124" t="s">
        <v>1275</v>
      </c>
      <c r="U7" s="124" t="s">
        <v>1277</v>
      </c>
      <c r="V7" s="124" t="s">
        <v>1278</v>
      </c>
      <c r="W7" s="124" t="s">
        <v>1280</v>
      </c>
      <c r="X7" s="124" t="s">
        <v>120</v>
      </c>
      <c r="Y7" s="124" t="s">
        <v>1284</v>
      </c>
      <c r="Z7" s="124" t="s">
        <v>117</v>
      </c>
      <c r="AA7" s="124" t="s">
        <v>120</v>
      </c>
      <c r="AB7" s="124" t="s">
        <v>117</v>
      </c>
      <c r="AC7" s="124" t="s">
        <v>117</v>
      </c>
      <c r="AD7" s="124" t="s">
        <v>120</v>
      </c>
      <c r="AE7" s="124" t="s">
        <v>117</v>
      </c>
      <c r="AF7" s="124" t="s">
        <v>120</v>
      </c>
      <c r="AG7" s="124" t="s">
        <v>117</v>
      </c>
      <c r="AH7" s="124" t="s">
        <v>120</v>
      </c>
      <c r="AI7" s="124" t="s">
        <v>117</v>
      </c>
      <c r="AJ7" s="124" t="s">
        <v>120</v>
      </c>
      <c r="AK7" s="124" t="s">
        <v>120</v>
      </c>
      <c r="AL7" s="124" t="s">
        <v>141</v>
      </c>
      <c r="AM7" s="124" t="s">
        <v>242</v>
      </c>
      <c r="AN7" s="124" t="s">
        <v>156</v>
      </c>
      <c r="AO7" s="124" t="s">
        <v>216</v>
      </c>
      <c r="AP7" s="124"/>
    </row>
    <row r="8">
      <c r="A8" s="124" t="s">
        <v>1288</v>
      </c>
      <c r="B8" s="124" t="s">
        <v>1289</v>
      </c>
      <c r="C8" s="124" t="s">
        <v>1291</v>
      </c>
      <c r="D8" s="127">
        <v>33865.0</v>
      </c>
      <c r="E8" s="124" t="s">
        <v>98</v>
      </c>
      <c r="F8" s="124">
        <v>5.64338495E9</v>
      </c>
      <c r="G8" s="124" t="s">
        <v>1293</v>
      </c>
      <c r="H8" s="124" t="s">
        <v>101</v>
      </c>
      <c r="I8" s="124" t="s">
        <v>1295</v>
      </c>
      <c r="J8" s="124" t="s">
        <v>1296</v>
      </c>
      <c r="K8" s="124" t="s">
        <v>1293</v>
      </c>
      <c r="L8" s="124">
        <v>5.56428089E9</v>
      </c>
      <c r="M8" s="128"/>
      <c r="N8" s="128"/>
      <c r="O8" s="128"/>
      <c r="P8" s="129">
        <v>33.0</v>
      </c>
      <c r="Q8" s="130">
        <v>46039.57518518518</v>
      </c>
      <c r="R8" s="124" t="s">
        <v>107</v>
      </c>
      <c r="S8" s="124" t="s">
        <v>125</v>
      </c>
      <c r="T8" s="124" t="s">
        <v>204</v>
      </c>
      <c r="U8" s="124" t="s">
        <v>205</v>
      </c>
      <c r="V8" s="124" t="s">
        <v>206</v>
      </c>
      <c r="W8" s="124" t="s">
        <v>207</v>
      </c>
      <c r="X8" s="124" t="s">
        <v>120</v>
      </c>
      <c r="Y8" s="128"/>
      <c r="Z8" s="124" t="s">
        <v>120</v>
      </c>
      <c r="AA8" s="128"/>
      <c r="AB8" s="124" t="s">
        <v>120</v>
      </c>
      <c r="AC8" s="128"/>
      <c r="AD8" s="128"/>
      <c r="AE8" s="124" t="s">
        <v>120</v>
      </c>
      <c r="AF8" s="128"/>
      <c r="AG8" s="124" t="s">
        <v>120</v>
      </c>
      <c r="AH8" s="128"/>
      <c r="AI8" s="124" t="s">
        <v>120</v>
      </c>
      <c r="AJ8" s="128"/>
      <c r="AK8" s="128"/>
      <c r="AL8" s="124" t="s">
        <v>138</v>
      </c>
      <c r="AM8" s="124" t="s">
        <v>126</v>
      </c>
      <c r="AN8" s="124" t="s">
        <v>242</v>
      </c>
      <c r="AO8" s="124" t="s">
        <v>156</v>
      </c>
      <c r="AP8" s="124"/>
    </row>
    <row r="9">
      <c r="A9" s="124" t="s">
        <v>2162</v>
      </c>
      <c r="B9" s="124" t="s">
        <v>2163</v>
      </c>
      <c r="C9" s="124" t="s">
        <v>2164</v>
      </c>
      <c r="D9" s="127">
        <v>40135.0</v>
      </c>
      <c r="E9" s="124" t="s">
        <v>98</v>
      </c>
      <c r="F9" s="124">
        <v>5.540504695E9</v>
      </c>
      <c r="G9" s="124" t="s">
        <v>2167</v>
      </c>
      <c r="H9" s="124" t="s">
        <v>101</v>
      </c>
      <c r="I9" s="128"/>
      <c r="J9" s="124" t="s">
        <v>2171</v>
      </c>
      <c r="K9" s="124" t="s">
        <v>2172</v>
      </c>
      <c r="L9" s="124">
        <v>5.57130206E9</v>
      </c>
      <c r="M9" s="124" t="s">
        <v>2173</v>
      </c>
      <c r="N9" s="124" t="s">
        <v>2175</v>
      </c>
      <c r="O9" s="124">
        <v>5.630420087E9</v>
      </c>
      <c r="P9" s="129">
        <v>16.0</v>
      </c>
      <c r="Q9" s="130">
        <v>46040.70046296297</v>
      </c>
      <c r="R9" s="124" t="s">
        <v>107</v>
      </c>
      <c r="S9" s="124" t="s">
        <v>109</v>
      </c>
      <c r="T9" s="124" t="s">
        <v>127</v>
      </c>
      <c r="U9" s="124" t="s">
        <v>766</v>
      </c>
      <c r="V9" s="124" t="s">
        <v>767</v>
      </c>
      <c r="W9" s="124" t="s">
        <v>768</v>
      </c>
      <c r="X9" s="124" t="s">
        <v>120</v>
      </c>
      <c r="Y9" s="128"/>
      <c r="Z9" s="124" t="s">
        <v>120</v>
      </c>
      <c r="AA9" s="128"/>
      <c r="AB9" s="124" t="s">
        <v>120</v>
      </c>
      <c r="AC9" s="124" t="s">
        <v>120</v>
      </c>
      <c r="AD9" s="128"/>
      <c r="AE9" s="124" t="s">
        <v>120</v>
      </c>
      <c r="AF9" s="128"/>
      <c r="AG9" s="124" t="s">
        <v>120</v>
      </c>
      <c r="AH9" s="128"/>
      <c r="AI9" s="124" t="s">
        <v>120</v>
      </c>
      <c r="AJ9" s="128"/>
      <c r="AK9" s="128"/>
      <c r="AL9" s="124" t="s">
        <v>141</v>
      </c>
      <c r="AM9" s="124" t="s">
        <v>138</v>
      </c>
      <c r="AN9" s="124" t="s">
        <v>129</v>
      </c>
      <c r="AO9" s="124" t="s">
        <v>242</v>
      </c>
      <c r="AP9" s="124"/>
    </row>
    <row r="10">
      <c r="A10" s="124" t="s">
        <v>2789</v>
      </c>
      <c r="B10" s="124" t="s">
        <v>2790</v>
      </c>
      <c r="C10" s="124" t="s">
        <v>2791</v>
      </c>
      <c r="D10" s="127">
        <v>40816.0</v>
      </c>
      <c r="E10" s="124" t="s">
        <v>177</v>
      </c>
      <c r="F10" s="124">
        <v>5.62202466E9</v>
      </c>
      <c r="G10" s="124" t="s">
        <v>2792</v>
      </c>
      <c r="H10" s="124" t="s">
        <v>101</v>
      </c>
      <c r="I10" s="128"/>
      <c r="J10" s="124" t="s">
        <v>2793</v>
      </c>
      <c r="K10" s="124" t="s">
        <v>2794</v>
      </c>
      <c r="L10" s="124">
        <v>5.566114768E9</v>
      </c>
      <c r="M10" s="124" t="s">
        <v>2795</v>
      </c>
      <c r="N10" s="124" t="s">
        <v>2797</v>
      </c>
      <c r="O10" s="124">
        <v>5.585486764E9</v>
      </c>
      <c r="P10" s="129">
        <v>14.0</v>
      </c>
      <c r="Q10" s="130">
        <v>46040.48505787037</v>
      </c>
      <c r="R10" s="124" t="s">
        <v>107</v>
      </c>
      <c r="S10" s="124" t="s">
        <v>109</v>
      </c>
      <c r="T10" s="124" t="s">
        <v>192</v>
      </c>
      <c r="U10" s="124" t="s">
        <v>195</v>
      </c>
      <c r="V10" s="124" t="s">
        <v>198</v>
      </c>
      <c r="W10" s="124" t="s">
        <v>200</v>
      </c>
      <c r="X10" s="124" t="s">
        <v>120</v>
      </c>
      <c r="Y10" s="128"/>
      <c r="Z10" s="124" t="s">
        <v>120</v>
      </c>
      <c r="AA10" s="128"/>
      <c r="AB10" s="124" t="s">
        <v>120</v>
      </c>
      <c r="AC10" s="128"/>
      <c r="AD10" s="128"/>
      <c r="AE10" s="124" t="s">
        <v>120</v>
      </c>
      <c r="AF10" s="128"/>
      <c r="AG10" s="124" t="s">
        <v>120</v>
      </c>
      <c r="AH10" s="128"/>
      <c r="AI10" s="124" t="s">
        <v>120</v>
      </c>
      <c r="AJ10" s="128"/>
      <c r="AK10" s="128"/>
      <c r="AL10" s="124" t="s">
        <v>126</v>
      </c>
      <c r="AM10" s="124" t="s">
        <v>128</v>
      </c>
      <c r="AN10" s="124" t="s">
        <v>185</v>
      </c>
      <c r="AO10" s="124" t="s">
        <v>138</v>
      </c>
      <c r="AP10" s="124"/>
    </row>
    <row r="11">
      <c r="A11" s="124" t="s">
        <v>2803</v>
      </c>
      <c r="B11" s="124" t="s">
        <v>2804</v>
      </c>
      <c r="C11" s="124" t="s">
        <v>2805</v>
      </c>
      <c r="D11" s="127">
        <v>41264.0</v>
      </c>
      <c r="E11" s="124" t="s">
        <v>177</v>
      </c>
      <c r="F11" s="124">
        <v>5.574535977E9</v>
      </c>
      <c r="G11" s="124" t="s">
        <v>2580</v>
      </c>
      <c r="H11" s="124" t="s">
        <v>150</v>
      </c>
      <c r="I11" s="128"/>
      <c r="J11" s="124" t="s">
        <v>2578</v>
      </c>
      <c r="K11" s="124" t="s">
        <v>2580</v>
      </c>
      <c r="L11" s="124">
        <v>5.540421512E9</v>
      </c>
      <c r="M11" s="124" t="s">
        <v>2585</v>
      </c>
      <c r="N11" s="124" t="s">
        <v>2586</v>
      </c>
      <c r="O11" s="124">
        <v>5.51263198E9</v>
      </c>
      <c r="P11" s="129">
        <v>13.0</v>
      </c>
      <c r="Q11" s="130">
        <v>46031.537407407406</v>
      </c>
      <c r="R11" s="124" t="s">
        <v>107</v>
      </c>
      <c r="S11" s="124" t="s">
        <v>109</v>
      </c>
      <c r="T11" s="124" t="s">
        <v>127</v>
      </c>
      <c r="U11" s="124" t="s">
        <v>234</v>
      </c>
      <c r="V11" s="124" t="s">
        <v>227</v>
      </c>
      <c r="W11" s="124" t="s">
        <v>236</v>
      </c>
      <c r="X11" s="124" t="s">
        <v>120</v>
      </c>
      <c r="Y11" s="128"/>
      <c r="Z11" s="124" t="s">
        <v>120</v>
      </c>
      <c r="AA11" s="128"/>
      <c r="AB11" s="124" t="s">
        <v>120</v>
      </c>
      <c r="AC11" s="124" t="s">
        <v>120</v>
      </c>
      <c r="AD11" s="128"/>
      <c r="AE11" s="124" t="s">
        <v>120</v>
      </c>
      <c r="AF11" s="128"/>
      <c r="AG11" s="124" t="s">
        <v>120</v>
      </c>
      <c r="AH11" s="128"/>
      <c r="AI11" s="124" t="s">
        <v>120</v>
      </c>
      <c r="AJ11" s="128"/>
      <c r="AK11" s="128"/>
      <c r="AL11" s="124" t="s">
        <v>242</v>
      </c>
      <c r="AM11" s="124" t="s">
        <v>138</v>
      </c>
      <c r="AN11" s="124" t="s">
        <v>124</v>
      </c>
      <c r="AO11" s="124" t="s">
        <v>185</v>
      </c>
      <c r="AP11" s="124"/>
    </row>
    <row r="12">
      <c r="A12" s="124" t="s">
        <v>1865</v>
      </c>
      <c r="B12" s="124" t="s">
        <v>1867</v>
      </c>
      <c r="C12" s="124" t="s">
        <v>1870</v>
      </c>
      <c r="D12" s="127">
        <v>40975.0</v>
      </c>
      <c r="E12" s="124" t="s">
        <v>98</v>
      </c>
      <c r="F12" s="124">
        <v>5.625870511E9</v>
      </c>
      <c r="G12" s="124" t="s">
        <v>1871</v>
      </c>
      <c r="H12" s="124" t="s">
        <v>140</v>
      </c>
      <c r="I12" s="124" t="s">
        <v>1872</v>
      </c>
      <c r="J12" s="124" t="s">
        <v>507</v>
      </c>
      <c r="K12" s="124" t="s">
        <v>506</v>
      </c>
      <c r="L12" s="124">
        <v>5.534457737E9</v>
      </c>
      <c r="M12" s="124" t="s">
        <v>1873</v>
      </c>
      <c r="N12" s="124" t="s">
        <v>1874</v>
      </c>
      <c r="O12" s="124">
        <v>5.517036129E9</v>
      </c>
      <c r="P12" s="129">
        <v>13.0</v>
      </c>
      <c r="Q12" s="130">
        <v>46028.98552083333</v>
      </c>
      <c r="R12" s="124" t="s">
        <v>107</v>
      </c>
      <c r="S12" s="124" t="s">
        <v>109</v>
      </c>
      <c r="T12" s="124" t="s">
        <v>192</v>
      </c>
      <c r="U12" s="124" t="s">
        <v>505</v>
      </c>
      <c r="V12" s="124" t="s">
        <v>506</v>
      </c>
      <c r="W12" s="124" t="s">
        <v>507</v>
      </c>
      <c r="X12" s="124" t="s">
        <v>120</v>
      </c>
      <c r="Y12" s="128"/>
      <c r="Z12" s="124" t="s">
        <v>120</v>
      </c>
      <c r="AA12" s="128"/>
      <c r="AB12" s="124" t="s">
        <v>120</v>
      </c>
      <c r="AC12" s="128"/>
      <c r="AD12" s="128"/>
      <c r="AE12" s="124" t="s">
        <v>120</v>
      </c>
      <c r="AF12" s="128"/>
      <c r="AG12" s="124" t="s">
        <v>120</v>
      </c>
      <c r="AH12" s="128"/>
      <c r="AI12" s="124" t="s">
        <v>120</v>
      </c>
      <c r="AJ12" s="128"/>
      <c r="AK12" s="128"/>
      <c r="AL12" s="124" t="s">
        <v>242</v>
      </c>
      <c r="AM12" s="124" t="s">
        <v>138</v>
      </c>
      <c r="AN12" s="124" t="s">
        <v>156</v>
      </c>
      <c r="AO12" s="124" t="s">
        <v>185</v>
      </c>
      <c r="AP12" s="124"/>
    </row>
    <row r="13">
      <c r="A13" s="124" t="s">
        <v>1545</v>
      </c>
      <c r="B13" s="124" t="s">
        <v>1546</v>
      </c>
      <c r="C13" s="128"/>
      <c r="D13" s="127">
        <v>41241.0</v>
      </c>
      <c r="E13" s="124" t="s">
        <v>98</v>
      </c>
      <c r="F13" s="124">
        <v>7.295119155E9</v>
      </c>
      <c r="G13" s="124" t="s">
        <v>1553</v>
      </c>
      <c r="H13" s="124" t="s">
        <v>140</v>
      </c>
      <c r="I13" s="128"/>
      <c r="J13" s="124" t="s">
        <v>1558</v>
      </c>
      <c r="K13" s="124" t="s">
        <v>1553</v>
      </c>
      <c r="L13" s="124">
        <v>7.295119155E9</v>
      </c>
      <c r="M13" s="128"/>
      <c r="N13" s="128"/>
      <c r="O13" s="128"/>
      <c r="P13" s="129">
        <v>13.0</v>
      </c>
      <c r="Q13" s="130">
        <v>46029.49931712963</v>
      </c>
      <c r="R13" s="124" t="s">
        <v>107</v>
      </c>
      <c r="S13" s="124" t="s">
        <v>109</v>
      </c>
      <c r="T13" s="124" t="s">
        <v>204</v>
      </c>
      <c r="U13" s="124" t="s">
        <v>205</v>
      </c>
      <c r="V13" s="124" t="s">
        <v>206</v>
      </c>
      <c r="W13" s="124" t="s">
        <v>207</v>
      </c>
      <c r="X13" s="124" t="s">
        <v>120</v>
      </c>
      <c r="Y13" s="128"/>
      <c r="Z13" s="124" t="s">
        <v>117</v>
      </c>
      <c r="AA13" s="124" t="s">
        <v>1565</v>
      </c>
      <c r="AB13" s="124" t="s">
        <v>117</v>
      </c>
      <c r="AC13" s="124" t="s">
        <v>117</v>
      </c>
      <c r="AD13" s="124" t="s">
        <v>886</v>
      </c>
      <c r="AE13" s="124" t="s">
        <v>120</v>
      </c>
      <c r="AF13" s="128"/>
      <c r="AG13" s="124" t="s">
        <v>120</v>
      </c>
      <c r="AH13" s="128"/>
      <c r="AI13" s="124" t="s">
        <v>120</v>
      </c>
      <c r="AJ13" s="128"/>
      <c r="AK13" s="128"/>
      <c r="AL13" s="124" t="s">
        <v>216</v>
      </c>
      <c r="AM13" s="124" t="s">
        <v>138</v>
      </c>
      <c r="AN13" s="124" t="s">
        <v>156</v>
      </c>
      <c r="AO13" s="124" t="s">
        <v>126</v>
      </c>
      <c r="AP13" s="124"/>
    </row>
    <row r="14">
      <c r="A14" s="124" t="s">
        <v>2816</v>
      </c>
      <c r="B14" s="124" t="s">
        <v>2817</v>
      </c>
      <c r="C14" s="124" t="s">
        <v>2819</v>
      </c>
      <c r="D14" s="127">
        <v>39861.0</v>
      </c>
      <c r="E14" s="124" t="s">
        <v>98</v>
      </c>
      <c r="F14" s="124" t="s">
        <v>2820</v>
      </c>
      <c r="G14" s="124" t="s">
        <v>2821</v>
      </c>
      <c r="H14" s="124" t="s">
        <v>140</v>
      </c>
      <c r="I14" s="124" t="s">
        <v>135</v>
      </c>
      <c r="J14" s="124" t="s">
        <v>2822</v>
      </c>
      <c r="K14" s="124" t="s">
        <v>2823</v>
      </c>
      <c r="L14" s="124">
        <v>5.534354016E9</v>
      </c>
      <c r="M14" s="128"/>
      <c r="N14" s="128"/>
      <c r="O14" s="128"/>
      <c r="P14" s="129">
        <v>17.0</v>
      </c>
      <c r="Q14" s="130">
        <v>46039.51677083333</v>
      </c>
      <c r="R14" s="124" t="s">
        <v>107</v>
      </c>
      <c r="S14" s="124" t="s">
        <v>109</v>
      </c>
      <c r="T14" s="124" t="s">
        <v>204</v>
      </c>
      <c r="U14" s="124" t="s">
        <v>699</v>
      </c>
      <c r="V14" s="124" t="s">
        <v>700</v>
      </c>
      <c r="W14" s="124" t="s">
        <v>702</v>
      </c>
      <c r="X14" s="124" t="s">
        <v>120</v>
      </c>
      <c r="Y14" s="128"/>
      <c r="Z14" s="124" t="s">
        <v>120</v>
      </c>
      <c r="AA14" s="128"/>
      <c r="AB14" s="124" t="s">
        <v>120</v>
      </c>
      <c r="AC14" s="124" t="s">
        <v>120</v>
      </c>
      <c r="AD14" s="128"/>
      <c r="AE14" s="124" t="s">
        <v>120</v>
      </c>
      <c r="AF14" s="128"/>
      <c r="AG14" s="124" t="s">
        <v>120</v>
      </c>
      <c r="AH14" s="128"/>
      <c r="AI14" s="124" t="s">
        <v>120</v>
      </c>
      <c r="AJ14" s="128"/>
      <c r="AK14" s="128"/>
      <c r="AL14" s="124" t="s">
        <v>138</v>
      </c>
      <c r="AM14" s="124" t="s">
        <v>242</v>
      </c>
      <c r="AN14" s="124" t="s">
        <v>156</v>
      </c>
      <c r="AO14" s="124" t="s">
        <v>216</v>
      </c>
      <c r="AP14" s="124"/>
    </row>
    <row r="15">
      <c r="A15" s="124" t="s">
        <v>170</v>
      </c>
      <c r="B15" s="124" t="s">
        <v>172</v>
      </c>
      <c r="C15" s="124" t="s">
        <v>174</v>
      </c>
      <c r="D15" s="127">
        <v>40448.0</v>
      </c>
      <c r="E15" s="124" t="s">
        <v>177</v>
      </c>
      <c r="F15" s="124">
        <v>5.614233278E9</v>
      </c>
      <c r="G15" s="124" t="s">
        <v>179</v>
      </c>
      <c r="H15" s="124" t="s">
        <v>101</v>
      </c>
      <c r="I15" s="124" t="s">
        <v>180</v>
      </c>
      <c r="J15" s="124" t="s">
        <v>181</v>
      </c>
      <c r="K15" s="124" t="s">
        <v>183</v>
      </c>
      <c r="L15" s="124">
        <v>3.41104297E9</v>
      </c>
      <c r="M15" s="124" t="s">
        <v>184</v>
      </c>
      <c r="N15" s="124" t="s">
        <v>186</v>
      </c>
      <c r="O15" s="124">
        <v>5.562186745E9</v>
      </c>
      <c r="P15" s="129">
        <v>15.0</v>
      </c>
      <c r="Q15" s="130">
        <v>46034.53828703704</v>
      </c>
      <c r="R15" s="124" t="s">
        <v>107</v>
      </c>
      <c r="S15" s="124" t="s">
        <v>109</v>
      </c>
      <c r="T15" s="124" t="s">
        <v>192</v>
      </c>
      <c r="U15" s="124" t="s">
        <v>195</v>
      </c>
      <c r="V15" s="124" t="s">
        <v>198</v>
      </c>
      <c r="W15" s="124" t="s">
        <v>200</v>
      </c>
      <c r="X15" s="124" t="s">
        <v>117</v>
      </c>
      <c r="Y15" s="128"/>
      <c r="Z15" s="124" t="s">
        <v>117</v>
      </c>
      <c r="AA15" s="128"/>
      <c r="AB15" s="124" t="s">
        <v>117</v>
      </c>
      <c r="AC15" s="124" t="s">
        <v>117</v>
      </c>
      <c r="AD15" s="128"/>
      <c r="AE15" s="124" t="s">
        <v>117</v>
      </c>
      <c r="AF15" s="128"/>
      <c r="AG15" s="124" t="s">
        <v>117</v>
      </c>
      <c r="AH15" s="128"/>
      <c r="AI15" s="124" t="s">
        <v>117</v>
      </c>
      <c r="AJ15" s="128"/>
      <c r="AK15" s="128"/>
      <c r="AL15" s="124" t="s">
        <v>138</v>
      </c>
      <c r="AM15" s="124" t="s">
        <v>126</v>
      </c>
      <c r="AN15" s="124" t="s">
        <v>156</v>
      </c>
      <c r="AO15" s="124" t="s">
        <v>185</v>
      </c>
      <c r="AP15" s="124"/>
    </row>
    <row r="16">
      <c r="A16" s="124" t="s">
        <v>2826</v>
      </c>
      <c r="B16" s="124" t="s">
        <v>2827</v>
      </c>
      <c r="C16" s="124" t="s">
        <v>2829</v>
      </c>
      <c r="D16" s="127">
        <v>40988.0</v>
      </c>
      <c r="E16" s="124" t="s">
        <v>98</v>
      </c>
      <c r="F16" s="124">
        <v>5.53486464E9</v>
      </c>
      <c r="G16" s="124" t="s">
        <v>2830</v>
      </c>
      <c r="H16" s="124" t="s">
        <v>140</v>
      </c>
      <c r="I16" s="124" t="s">
        <v>2831</v>
      </c>
      <c r="J16" s="124" t="s">
        <v>2833</v>
      </c>
      <c r="K16" s="124" t="s">
        <v>2830</v>
      </c>
      <c r="L16" s="124">
        <v>5.53486464E9</v>
      </c>
      <c r="M16" s="128"/>
      <c r="N16" s="128"/>
      <c r="O16" s="128"/>
      <c r="P16" s="129">
        <v>13.0</v>
      </c>
      <c r="Q16" s="130">
        <v>46033.468506944446</v>
      </c>
      <c r="R16" s="124" t="s">
        <v>107</v>
      </c>
      <c r="S16" s="124" t="s">
        <v>109</v>
      </c>
      <c r="T16" s="124" t="s">
        <v>111</v>
      </c>
      <c r="U16" s="124" t="s">
        <v>1979</v>
      </c>
      <c r="V16" s="124" t="s">
        <v>1980</v>
      </c>
      <c r="W16" s="124" t="s">
        <v>1981</v>
      </c>
      <c r="X16" s="124" t="s">
        <v>120</v>
      </c>
      <c r="Y16" s="128"/>
      <c r="Z16" s="124" t="s">
        <v>120</v>
      </c>
      <c r="AA16" s="128"/>
      <c r="AB16" s="124" t="s">
        <v>120</v>
      </c>
      <c r="AC16" s="128"/>
      <c r="AD16" s="128"/>
      <c r="AE16" s="124" t="s">
        <v>120</v>
      </c>
      <c r="AF16" s="128"/>
      <c r="AG16" s="124" t="s">
        <v>120</v>
      </c>
      <c r="AH16" s="128"/>
      <c r="AI16" s="124" t="s">
        <v>120</v>
      </c>
      <c r="AJ16" s="128"/>
      <c r="AK16" s="128"/>
      <c r="AL16" s="124" t="s">
        <v>242</v>
      </c>
      <c r="AM16" s="124" t="s">
        <v>156</v>
      </c>
      <c r="AN16" s="124" t="s">
        <v>126</v>
      </c>
      <c r="AO16" s="124" t="s">
        <v>124</v>
      </c>
      <c r="AP16" s="124"/>
    </row>
    <row r="17">
      <c r="A17" s="124" t="s">
        <v>2835</v>
      </c>
      <c r="B17" s="124" t="s">
        <v>2836</v>
      </c>
      <c r="C17" s="124" t="s">
        <v>2837</v>
      </c>
      <c r="D17" s="127">
        <v>38779.0</v>
      </c>
      <c r="E17" s="124" t="s">
        <v>98</v>
      </c>
      <c r="F17" s="124">
        <v>5.532024952E9</v>
      </c>
      <c r="G17" s="124" t="s">
        <v>2838</v>
      </c>
      <c r="H17" s="124" t="s">
        <v>382</v>
      </c>
      <c r="I17" s="128"/>
      <c r="J17" s="124" t="s">
        <v>2839</v>
      </c>
      <c r="K17" s="124" t="s">
        <v>2840</v>
      </c>
      <c r="L17" s="124">
        <v>5.574196247E9</v>
      </c>
      <c r="M17" s="128"/>
      <c r="N17" s="128"/>
      <c r="O17" s="128"/>
      <c r="P17" s="129">
        <v>19.0</v>
      </c>
      <c r="Q17" s="130">
        <v>46038.074791666666</v>
      </c>
      <c r="R17" s="124" t="s">
        <v>107</v>
      </c>
      <c r="S17" s="124" t="s">
        <v>125</v>
      </c>
      <c r="T17" s="124" t="s">
        <v>160</v>
      </c>
      <c r="U17" s="124" t="s">
        <v>329</v>
      </c>
      <c r="V17" s="124" t="s">
        <v>331</v>
      </c>
      <c r="W17" s="124" t="s">
        <v>332</v>
      </c>
      <c r="X17" s="124" t="s">
        <v>120</v>
      </c>
      <c r="Y17" s="128"/>
      <c r="Z17" s="124" t="s">
        <v>120</v>
      </c>
      <c r="AA17" s="128"/>
      <c r="AB17" s="124" t="s">
        <v>120</v>
      </c>
      <c r="AC17" s="128"/>
      <c r="AD17" s="128"/>
      <c r="AE17" s="124" t="s">
        <v>120</v>
      </c>
      <c r="AF17" s="128"/>
      <c r="AG17" s="124" t="s">
        <v>120</v>
      </c>
      <c r="AH17" s="128"/>
      <c r="AI17" s="124" t="s">
        <v>120</v>
      </c>
      <c r="AJ17" s="128"/>
      <c r="AK17" s="128"/>
      <c r="AL17" s="124" t="s">
        <v>185</v>
      </c>
      <c r="AM17" s="124" t="s">
        <v>124</v>
      </c>
      <c r="AN17" s="124" t="s">
        <v>138</v>
      </c>
      <c r="AO17" s="124" t="s">
        <v>128</v>
      </c>
      <c r="AP17" s="124"/>
    </row>
    <row r="18">
      <c r="A18" s="124" t="s">
        <v>2843</v>
      </c>
      <c r="B18" s="124" t="s">
        <v>2844</v>
      </c>
      <c r="C18" s="124" t="s">
        <v>2845</v>
      </c>
      <c r="D18" s="127">
        <v>40316.0</v>
      </c>
      <c r="E18" s="124" t="s">
        <v>98</v>
      </c>
      <c r="F18" s="124">
        <v>5.542634262E9</v>
      </c>
      <c r="G18" s="124" t="s">
        <v>2846</v>
      </c>
      <c r="H18" s="124" t="s">
        <v>140</v>
      </c>
      <c r="I18" s="128"/>
      <c r="J18" s="124" t="s">
        <v>2847</v>
      </c>
      <c r="K18" s="124" t="s">
        <v>167</v>
      </c>
      <c r="L18" s="124">
        <v>5.516251047E9</v>
      </c>
      <c r="M18" s="128"/>
      <c r="N18" s="128"/>
      <c r="O18" s="128"/>
      <c r="P18" s="129">
        <v>15.0</v>
      </c>
      <c r="Q18" s="130">
        <v>46033.56857638889</v>
      </c>
      <c r="R18" s="124" t="s">
        <v>107</v>
      </c>
      <c r="S18" s="124" t="s">
        <v>109</v>
      </c>
      <c r="T18" s="124" t="s">
        <v>171</v>
      </c>
      <c r="U18" s="124" t="s">
        <v>173</v>
      </c>
      <c r="V18" s="124" t="s">
        <v>167</v>
      </c>
      <c r="W18" s="124" t="s">
        <v>175</v>
      </c>
      <c r="X18" s="124" t="s">
        <v>120</v>
      </c>
      <c r="Y18" s="128"/>
      <c r="Z18" s="124" t="s">
        <v>120</v>
      </c>
      <c r="AA18" s="128"/>
      <c r="AB18" s="124" t="s">
        <v>120</v>
      </c>
      <c r="AC18" s="124" t="s">
        <v>120</v>
      </c>
      <c r="AD18" s="128"/>
      <c r="AE18" s="124" t="s">
        <v>120</v>
      </c>
      <c r="AF18" s="128"/>
      <c r="AG18" s="124" t="s">
        <v>120</v>
      </c>
      <c r="AH18" s="128"/>
      <c r="AI18" s="124" t="s">
        <v>120</v>
      </c>
      <c r="AJ18" s="128"/>
      <c r="AK18" s="128"/>
      <c r="AL18" s="124" t="s">
        <v>185</v>
      </c>
      <c r="AM18" s="124" t="s">
        <v>156</v>
      </c>
      <c r="AN18" s="124" t="s">
        <v>156</v>
      </c>
      <c r="AO18" s="124" t="s">
        <v>156</v>
      </c>
      <c r="AP18" s="124"/>
    </row>
    <row r="19">
      <c r="A19" s="124" t="s">
        <v>881</v>
      </c>
      <c r="B19" s="124" t="s">
        <v>883</v>
      </c>
      <c r="C19" s="124" t="s">
        <v>884</v>
      </c>
      <c r="D19" s="127">
        <v>40330.0</v>
      </c>
      <c r="E19" s="124" t="s">
        <v>177</v>
      </c>
      <c r="F19" s="124">
        <v>5.511398234E9</v>
      </c>
      <c r="G19" s="124" t="s">
        <v>885</v>
      </c>
      <c r="H19" s="124" t="s">
        <v>140</v>
      </c>
      <c r="I19" s="124" t="s">
        <v>887</v>
      </c>
      <c r="J19" s="124" t="s">
        <v>888</v>
      </c>
      <c r="K19" s="124" t="s">
        <v>889</v>
      </c>
      <c r="L19" s="124">
        <v>5.535144096E9</v>
      </c>
      <c r="M19" s="128"/>
      <c r="N19" s="128"/>
      <c r="O19" s="128"/>
      <c r="P19" s="129">
        <v>15.0</v>
      </c>
      <c r="Q19" s="130">
        <v>46019.84142361111</v>
      </c>
      <c r="R19" s="124" t="s">
        <v>107</v>
      </c>
      <c r="S19" s="124" t="s">
        <v>109</v>
      </c>
      <c r="T19" s="124" t="s">
        <v>208</v>
      </c>
      <c r="U19" s="124" t="s">
        <v>228</v>
      </c>
      <c r="V19" s="124" t="s">
        <v>229</v>
      </c>
      <c r="W19" s="124" t="s">
        <v>230</v>
      </c>
      <c r="X19" s="124" t="s">
        <v>117</v>
      </c>
      <c r="Y19" s="124">
        <v>6.0</v>
      </c>
      <c r="Z19" s="124" t="s">
        <v>120</v>
      </c>
      <c r="AA19" s="128"/>
      <c r="AB19" s="124" t="s">
        <v>120</v>
      </c>
      <c r="AC19" s="124" t="s">
        <v>117</v>
      </c>
      <c r="AD19" s="128"/>
      <c r="AE19" s="124" t="s">
        <v>120</v>
      </c>
      <c r="AF19" s="128"/>
      <c r="AG19" s="124" t="s">
        <v>120</v>
      </c>
      <c r="AH19" s="128"/>
      <c r="AI19" s="124" t="s">
        <v>120</v>
      </c>
      <c r="AJ19" s="128"/>
      <c r="AK19" s="128"/>
      <c r="AL19" s="124" t="s">
        <v>126</v>
      </c>
      <c r="AM19" s="124" t="s">
        <v>124</v>
      </c>
      <c r="AN19" s="124" t="s">
        <v>128</v>
      </c>
      <c r="AO19" s="124" t="s">
        <v>138</v>
      </c>
      <c r="AP19" s="124"/>
    </row>
    <row r="20">
      <c r="A20" s="124" t="s">
        <v>2006</v>
      </c>
      <c r="B20" s="124" t="s">
        <v>2008</v>
      </c>
      <c r="C20" s="124" t="s">
        <v>2009</v>
      </c>
      <c r="D20" s="127">
        <v>40669.0</v>
      </c>
      <c r="E20" s="124" t="s">
        <v>177</v>
      </c>
      <c r="F20" s="124">
        <v>5.539723354E9</v>
      </c>
      <c r="G20" s="124" t="s">
        <v>2013</v>
      </c>
      <c r="H20" s="124" t="s">
        <v>150</v>
      </c>
      <c r="I20" s="124" t="s">
        <v>2015</v>
      </c>
      <c r="J20" s="124" t="s">
        <v>2016</v>
      </c>
      <c r="K20" s="124" t="s">
        <v>2017</v>
      </c>
      <c r="L20" s="124">
        <v>5.53241414E9</v>
      </c>
      <c r="M20" s="128"/>
      <c r="N20" s="128"/>
      <c r="O20" s="128"/>
      <c r="P20" s="129">
        <v>14.0</v>
      </c>
      <c r="Q20" s="130">
        <v>46039.51914351852</v>
      </c>
      <c r="R20" s="124" t="s">
        <v>107</v>
      </c>
      <c r="S20" s="124" t="s">
        <v>109</v>
      </c>
      <c r="T20" s="124" t="s">
        <v>204</v>
      </c>
      <c r="U20" s="124" t="s">
        <v>295</v>
      </c>
      <c r="V20" s="124" t="s">
        <v>298</v>
      </c>
      <c r="W20" s="124" t="s">
        <v>299</v>
      </c>
      <c r="X20" s="124" t="s">
        <v>120</v>
      </c>
      <c r="Y20" s="128"/>
      <c r="Z20" s="124" t="s">
        <v>120</v>
      </c>
      <c r="AA20" s="128"/>
      <c r="AB20" s="124" t="s">
        <v>120</v>
      </c>
      <c r="AC20" s="128"/>
      <c r="AD20" s="128"/>
      <c r="AE20" s="124" t="s">
        <v>120</v>
      </c>
      <c r="AF20" s="128"/>
      <c r="AG20" s="124" t="s">
        <v>120</v>
      </c>
      <c r="AH20" s="128"/>
      <c r="AI20" s="124" t="s">
        <v>120</v>
      </c>
      <c r="AJ20" s="128"/>
      <c r="AK20" s="128"/>
      <c r="AL20" s="124" t="s">
        <v>240</v>
      </c>
      <c r="AM20" s="124" t="s">
        <v>156</v>
      </c>
      <c r="AN20" s="124" t="s">
        <v>128</v>
      </c>
      <c r="AO20" s="124" t="s">
        <v>216</v>
      </c>
      <c r="AP20" s="124"/>
    </row>
    <row r="21">
      <c r="A21" s="124" t="s">
        <v>2032</v>
      </c>
      <c r="B21" s="124" t="s">
        <v>2034</v>
      </c>
      <c r="C21" s="124" t="s">
        <v>2036</v>
      </c>
      <c r="D21" s="127">
        <v>41124.0</v>
      </c>
      <c r="E21" s="124" t="s">
        <v>98</v>
      </c>
      <c r="F21" s="124">
        <v>5.513219154E9</v>
      </c>
      <c r="G21" s="124" t="s">
        <v>2042</v>
      </c>
      <c r="H21" s="124" t="s">
        <v>101</v>
      </c>
      <c r="I21" s="128"/>
      <c r="J21" s="124" t="s">
        <v>2046</v>
      </c>
      <c r="K21" s="124" t="s">
        <v>2048</v>
      </c>
      <c r="L21" s="124">
        <v>5.53119793E9</v>
      </c>
      <c r="M21" s="128"/>
      <c r="N21" s="128"/>
      <c r="O21" s="128"/>
      <c r="P21" s="129">
        <v>13.0</v>
      </c>
      <c r="Q21" s="130">
        <v>46034.53103009259</v>
      </c>
      <c r="R21" s="124" t="s">
        <v>107</v>
      </c>
      <c r="S21" s="124" t="s">
        <v>109</v>
      </c>
      <c r="T21" s="124" t="s">
        <v>171</v>
      </c>
      <c r="U21" s="124" t="s">
        <v>638</v>
      </c>
      <c r="V21" s="124" t="s">
        <v>639</v>
      </c>
      <c r="W21" s="124" t="s">
        <v>641</v>
      </c>
      <c r="X21" s="124" t="s">
        <v>120</v>
      </c>
      <c r="Y21" s="128"/>
      <c r="Z21" s="124" t="s">
        <v>120</v>
      </c>
      <c r="AA21" s="128"/>
      <c r="AB21" s="124" t="s">
        <v>120</v>
      </c>
      <c r="AC21" s="124" t="s">
        <v>120</v>
      </c>
      <c r="AD21" s="128"/>
      <c r="AE21" s="124" t="s">
        <v>120</v>
      </c>
      <c r="AF21" s="128"/>
      <c r="AG21" s="124" t="s">
        <v>120</v>
      </c>
      <c r="AH21" s="128"/>
      <c r="AI21" s="124" t="s">
        <v>120</v>
      </c>
      <c r="AJ21" s="128"/>
      <c r="AK21" s="128"/>
      <c r="AL21" s="124" t="s">
        <v>141</v>
      </c>
      <c r="AM21" s="124" t="s">
        <v>242</v>
      </c>
      <c r="AN21" s="124" t="s">
        <v>124</v>
      </c>
      <c r="AO21" s="124" t="s">
        <v>128</v>
      </c>
      <c r="AP21" s="124"/>
    </row>
    <row r="22">
      <c r="A22" s="124" t="s">
        <v>2057</v>
      </c>
      <c r="B22" s="124" t="s">
        <v>2058</v>
      </c>
      <c r="C22" s="124" t="s">
        <v>2059</v>
      </c>
      <c r="D22" s="127">
        <v>41270.0</v>
      </c>
      <c r="E22" s="124" t="s">
        <v>98</v>
      </c>
      <c r="F22" s="124">
        <v>5.57286959E9</v>
      </c>
      <c r="G22" s="124" t="s">
        <v>2065</v>
      </c>
      <c r="H22" s="124" t="s">
        <v>140</v>
      </c>
      <c r="I22" s="128"/>
      <c r="J22" s="124" t="s">
        <v>2066</v>
      </c>
      <c r="K22" s="124" t="s">
        <v>2067</v>
      </c>
      <c r="L22" s="124">
        <v>5.561477191E9</v>
      </c>
      <c r="M22" s="128"/>
      <c r="N22" s="128"/>
      <c r="O22" s="128"/>
      <c r="P22" s="129">
        <v>13.0</v>
      </c>
      <c r="Q22" s="130">
        <v>46034.777546296296</v>
      </c>
      <c r="R22" s="124" t="s">
        <v>107</v>
      </c>
      <c r="S22" s="124" t="s">
        <v>109</v>
      </c>
      <c r="T22" s="124" t="s">
        <v>171</v>
      </c>
      <c r="U22" s="124" t="s">
        <v>1048</v>
      </c>
      <c r="V22" s="124" t="s">
        <v>1050</v>
      </c>
      <c r="W22" s="124" t="s">
        <v>1051</v>
      </c>
      <c r="X22" s="124" t="s">
        <v>120</v>
      </c>
      <c r="Y22" s="128"/>
      <c r="Z22" s="124" t="s">
        <v>117</v>
      </c>
      <c r="AA22" s="124" t="s">
        <v>1665</v>
      </c>
      <c r="AB22" s="124" t="s">
        <v>120</v>
      </c>
      <c r="AC22" s="124" t="s">
        <v>120</v>
      </c>
      <c r="AD22" s="128"/>
      <c r="AE22" s="124" t="s">
        <v>120</v>
      </c>
      <c r="AF22" s="128"/>
      <c r="AG22" s="124" t="s">
        <v>120</v>
      </c>
      <c r="AH22" s="128"/>
      <c r="AI22" s="124" t="s">
        <v>120</v>
      </c>
      <c r="AJ22" s="128"/>
      <c r="AK22" s="128"/>
      <c r="AL22" s="124" t="s">
        <v>141</v>
      </c>
      <c r="AM22" s="124" t="s">
        <v>156</v>
      </c>
      <c r="AN22" s="124" t="s">
        <v>240</v>
      </c>
      <c r="AO22" s="124" t="s">
        <v>129</v>
      </c>
      <c r="AP22" s="124"/>
    </row>
    <row r="23">
      <c r="A23" s="124" t="s">
        <v>1403</v>
      </c>
      <c r="B23" s="124" t="s">
        <v>1404</v>
      </c>
      <c r="C23" s="124" t="s">
        <v>1405</v>
      </c>
      <c r="D23" s="127">
        <v>40259.0</v>
      </c>
      <c r="E23" s="124" t="s">
        <v>98</v>
      </c>
      <c r="F23" s="124">
        <v>5.566667606E9</v>
      </c>
      <c r="G23" s="124" t="s">
        <v>1410</v>
      </c>
      <c r="H23" s="124" t="s">
        <v>101</v>
      </c>
      <c r="I23" s="128"/>
      <c r="J23" s="124" t="s">
        <v>1413</v>
      </c>
      <c r="K23" s="124" t="s">
        <v>1414</v>
      </c>
      <c r="L23" s="124">
        <v>5.626001027E9</v>
      </c>
      <c r="M23" s="124" t="s">
        <v>1415</v>
      </c>
      <c r="N23" s="124" t="s">
        <v>1417</v>
      </c>
      <c r="O23" s="124">
        <v>5.518227581E9</v>
      </c>
      <c r="P23" s="129">
        <v>15.0</v>
      </c>
      <c r="Q23" s="130">
        <v>46020.69278935185</v>
      </c>
      <c r="R23" s="124" t="s">
        <v>107</v>
      </c>
      <c r="S23" s="124" t="s">
        <v>109</v>
      </c>
      <c r="T23" s="124" t="s">
        <v>208</v>
      </c>
      <c r="U23" s="124" t="s">
        <v>788</v>
      </c>
      <c r="V23" s="124" t="s">
        <v>789</v>
      </c>
      <c r="W23" s="124" t="s">
        <v>790</v>
      </c>
      <c r="X23" s="124" t="s">
        <v>120</v>
      </c>
      <c r="Y23" s="128"/>
      <c r="Z23" s="124" t="s">
        <v>120</v>
      </c>
      <c r="AA23" s="128"/>
      <c r="AB23" s="124" t="s">
        <v>117</v>
      </c>
      <c r="AC23" s="124" t="s">
        <v>117</v>
      </c>
      <c r="AD23" s="124" t="s">
        <v>1429</v>
      </c>
      <c r="AE23" s="124" t="s">
        <v>120</v>
      </c>
      <c r="AF23" s="128"/>
      <c r="AG23" s="124" t="s">
        <v>120</v>
      </c>
      <c r="AH23" s="128"/>
      <c r="AI23" s="124" t="s">
        <v>120</v>
      </c>
      <c r="AJ23" s="128"/>
      <c r="AK23" s="128"/>
      <c r="AL23" s="124" t="s">
        <v>138</v>
      </c>
      <c r="AM23" s="124" t="s">
        <v>185</v>
      </c>
      <c r="AN23" s="124" t="s">
        <v>156</v>
      </c>
      <c r="AO23" s="124" t="s">
        <v>128</v>
      </c>
      <c r="AP23" s="124"/>
    </row>
    <row r="24">
      <c r="A24" s="124" t="s">
        <v>2103</v>
      </c>
      <c r="B24" s="124" t="s">
        <v>2104</v>
      </c>
      <c r="C24" s="124" t="s">
        <v>2105</v>
      </c>
      <c r="D24" s="127">
        <v>39760.0</v>
      </c>
      <c r="E24" s="124" t="s">
        <v>98</v>
      </c>
      <c r="F24" s="124">
        <v>5.540329002E9</v>
      </c>
      <c r="G24" s="124" t="s">
        <v>2106</v>
      </c>
      <c r="H24" s="124" t="s">
        <v>140</v>
      </c>
      <c r="I24" s="128"/>
      <c r="J24" s="124" t="s">
        <v>2108</v>
      </c>
      <c r="K24" s="124" t="s">
        <v>2106</v>
      </c>
      <c r="L24" s="124">
        <v>5.540329002E9</v>
      </c>
      <c r="M24" s="128"/>
      <c r="N24" s="128"/>
      <c r="O24" s="128"/>
      <c r="P24" s="129">
        <v>17.0</v>
      </c>
      <c r="Q24" s="130">
        <v>46030.86413194444</v>
      </c>
      <c r="R24" s="124" t="s">
        <v>107</v>
      </c>
      <c r="S24" s="124" t="s">
        <v>109</v>
      </c>
      <c r="T24" s="124" t="s">
        <v>208</v>
      </c>
      <c r="U24" s="124" t="s">
        <v>478</v>
      </c>
      <c r="V24" s="124" t="s">
        <v>480</v>
      </c>
      <c r="W24" s="124" t="s">
        <v>481</v>
      </c>
      <c r="X24" s="124" t="s">
        <v>120</v>
      </c>
      <c r="Y24" s="128"/>
      <c r="Z24" s="124" t="s">
        <v>120</v>
      </c>
      <c r="AA24" s="128"/>
      <c r="AB24" s="124" t="s">
        <v>120</v>
      </c>
      <c r="AC24" s="128"/>
      <c r="AD24" s="128"/>
      <c r="AE24" s="124" t="s">
        <v>120</v>
      </c>
      <c r="AF24" s="128"/>
      <c r="AG24" s="124" t="s">
        <v>117</v>
      </c>
      <c r="AH24" s="124" t="s">
        <v>2120</v>
      </c>
      <c r="AI24" s="124" t="s">
        <v>120</v>
      </c>
      <c r="AJ24" s="128"/>
      <c r="AK24" s="128"/>
      <c r="AL24" s="124" t="s">
        <v>126</v>
      </c>
      <c r="AM24" s="124" t="s">
        <v>185</v>
      </c>
      <c r="AN24" s="124" t="s">
        <v>129</v>
      </c>
      <c r="AO24" s="124" t="s">
        <v>141</v>
      </c>
      <c r="AP24" s="124"/>
    </row>
    <row r="25">
      <c r="A25" s="124" t="s">
        <v>1312</v>
      </c>
      <c r="B25" s="124" t="s">
        <v>1313</v>
      </c>
      <c r="C25" s="124" t="s">
        <v>1314</v>
      </c>
      <c r="D25" s="127">
        <v>38267.0</v>
      </c>
      <c r="E25" s="124" t="s">
        <v>98</v>
      </c>
      <c r="F25" s="124">
        <v>9.621162944E9</v>
      </c>
      <c r="G25" s="124" t="s">
        <v>1322</v>
      </c>
      <c r="H25" s="124" t="s">
        <v>101</v>
      </c>
      <c r="I25" s="124" t="s">
        <v>1325</v>
      </c>
      <c r="J25" s="124" t="s">
        <v>1326</v>
      </c>
      <c r="K25" s="124" t="s">
        <v>1327</v>
      </c>
      <c r="L25" s="124" t="s">
        <v>1329</v>
      </c>
      <c r="M25" s="128"/>
      <c r="N25" s="128"/>
      <c r="O25" s="128"/>
      <c r="P25" s="129">
        <v>21.0</v>
      </c>
      <c r="Q25" s="130">
        <v>46028.59715277778</v>
      </c>
      <c r="R25" s="124" t="s">
        <v>107</v>
      </c>
      <c r="S25" s="124" t="s">
        <v>125</v>
      </c>
      <c r="T25" s="124" t="s">
        <v>204</v>
      </c>
      <c r="U25" s="124" t="s">
        <v>367</v>
      </c>
      <c r="V25" s="124" t="s">
        <v>368</v>
      </c>
      <c r="W25" s="124" t="s">
        <v>369</v>
      </c>
      <c r="X25" s="124" t="s">
        <v>120</v>
      </c>
      <c r="Y25" s="128"/>
      <c r="Z25" s="124" t="s">
        <v>117</v>
      </c>
      <c r="AA25" s="124" t="s">
        <v>1340</v>
      </c>
      <c r="AB25" s="124" t="s">
        <v>120</v>
      </c>
      <c r="AC25" s="128"/>
      <c r="AD25" s="128"/>
      <c r="AE25" s="124" t="s">
        <v>120</v>
      </c>
      <c r="AF25" s="128"/>
      <c r="AG25" s="124" t="s">
        <v>120</v>
      </c>
      <c r="AH25" s="128"/>
      <c r="AI25" s="124" t="s">
        <v>120</v>
      </c>
      <c r="AJ25" s="128"/>
      <c r="AK25" s="128"/>
      <c r="AL25" s="124" t="s">
        <v>242</v>
      </c>
      <c r="AM25" s="124" t="s">
        <v>124</v>
      </c>
      <c r="AN25" s="124" t="s">
        <v>138</v>
      </c>
      <c r="AO25" s="124" t="s">
        <v>129</v>
      </c>
      <c r="AP25" s="124"/>
    </row>
    <row r="26">
      <c r="A26" s="124" t="s">
        <v>1354</v>
      </c>
      <c r="B26" s="124" t="s">
        <v>1355</v>
      </c>
      <c r="C26" s="124" t="s">
        <v>1356</v>
      </c>
      <c r="D26" s="127">
        <v>35850.0</v>
      </c>
      <c r="E26" s="124" t="s">
        <v>98</v>
      </c>
      <c r="F26" s="124">
        <v>5.521021259E9</v>
      </c>
      <c r="G26" s="124" t="s">
        <v>1358</v>
      </c>
      <c r="H26" s="124" t="s">
        <v>150</v>
      </c>
      <c r="I26" s="124" t="s">
        <v>1325</v>
      </c>
      <c r="J26" s="124" t="s">
        <v>1359</v>
      </c>
      <c r="K26" s="124" t="s">
        <v>1361</v>
      </c>
      <c r="L26" s="124">
        <v>5.517054631E9</v>
      </c>
      <c r="M26" s="128"/>
      <c r="N26" s="128"/>
      <c r="O26" s="128"/>
      <c r="P26" s="129">
        <v>28.0</v>
      </c>
      <c r="Q26" s="130">
        <v>45989.69033564815</v>
      </c>
      <c r="R26" s="124" t="s">
        <v>107</v>
      </c>
      <c r="S26" s="124" t="s">
        <v>125</v>
      </c>
      <c r="T26" s="124" t="s">
        <v>548</v>
      </c>
      <c r="U26" s="124" t="s">
        <v>1370</v>
      </c>
      <c r="V26" s="124" t="s">
        <v>1372</v>
      </c>
      <c r="W26" s="124" t="s">
        <v>1374</v>
      </c>
      <c r="X26" s="124" t="s">
        <v>120</v>
      </c>
      <c r="Y26" s="128"/>
      <c r="Z26" s="124" t="s">
        <v>120</v>
      </c>
      <c r="AA26" s="128"/>
      <c r="AB26" s="124" t="s">
        <v>117</v>
      </c>
      <c r="AC26" s="124" t="s">
        <v>117</v>
      </c>
      <c r="AD26" s="124" t="s">
        <v>1384</v>
      </c>
      <c r="AE26" s="124" t="s">
        <v>117</v>
      </c>
      <c r="AF26" s="124" t="s">
        <v>1388</v>
      </c>
      <c r="AG26" s="124" t="s">
        <v>120</v>
      </c>
      <c r="AH26" s="128"/>
      <c r="AI26" s="124" t="s">
        <v>117</v>
      </c>
      <c r="AJ26" s="124" t="s">
        <v>1392</v>
      </c>
      <c r="AK26" s="124" t="s">
        <v>1325</v>
      </c>
      <c r="AL26" s="124" t="s">
        <v>138</v>
      </c>
      <c r="AM26" s="124" t="s">
        <v>242</v>
      </c>
      <c r="AN26" s="124" t="s">
        <v>141</v>
      </c>
      <c r="AO26" s="124" t="s">
        <v>124</v>
      </c>
      <c r="AP26" s="124"/>
    </row>
    <row r="27">
      <c r="A27" s="124" t="s">
        <v>2123</v>
      </c>
      <c r="B27" s="124" t="s">
        <v>2124</v>
      </c>
      <c r="C27" s="124" t="s">
        <v>2125</v>
      </c>
      <c r="D27" s="127">
        <v>40399.0</v>
      </c>
      <c r="E27" s="124" t="s">
        <v>177</v>
      </c>
      <c r="F27" s="124">
        <v>5.549526985E9</v>
      </c>
      <c r="G27" s="124" t="s">
        <v>2127</v>
      </c>
      <c r="H27" s="124" t="s">
        <v>101</v>
      </c>
      <c r="I27" s="128"/>
      <c r="J27" s="124" t="s">
        <v>2128</v>
      </c>
      <c r="K27" s="124" t="s">
        <v>2129</v>
      </c>
      <c r="L27" s="124">
        <v>5.520727404E9</v>
      </c>
      <c r="M27" s="128"/>
      <c r="N27" s="128"/>
      <c r="O27" s="128"/>
      <c r="P27" s="129">
        <v>15.0</v>
      </c>
      <c r="Q27" s="130">
        <v>46026.55787037037</v>
      </c>
      <c r="R27" s="124" t="s">
        <v>107</v>
      </c>
      <c r="S27" s="124" t="s">
        <v>109</v>
      </c>
      <c r="T27" s="124" t="s">
        <v>192</v>
      </c>
      <c r="U27" s="124" t="s">
        <v>749</v>
      </c>
      <c r="V27" s="124" t="s">
        <v>750</v>
      </c>
      <c r="W27" s="124" t="s">
        <v>751</v>
      </c>
      <c r="X27" s="124" t="s">
        <v>120</v>
      </c>
      <c r="Y27" s="128"/>
      <c r="Z27" s="124" t="s">
        <v>117</v>
      </c>
      <c r="AA27" s="124" t="s">
        <v>2136</v>
      </c>
      <c r="AB27" s="124" t="s">
        <v>120</v>
      </c>
      <c r="AC27" s="124" t="s">
        <v>120</v>
      </c>
      <c r="AD27" s="128"/>
      <c r="AE27" s="124" t="s">
        <v>120</v>
      </c>
      <c r="AF27" s="128"/>
      <c r="AG27" s="124" t="s">
        <v>120</v>
      </c>
      <c r="AH27" s="128"/>
      <c r="AI27" s="124" t="s">
        <v>120</v>
      </c>
      <c r="AJ27" s="128"/>
      <c r="AK27" s="128"/>
      <c r="AL27" s="124" t="s">
        <v>141</v>
      </c>
      <c r="AM27" s="124" t="s">
        <v>141</v>
      </c>
      <c r="AN27" s="124" t="s">
        <v>141</v>
      </c>
      <c r="AO27" s="124" t="s">
        <v>141</v>
      </c>
      <c r="AP27" s="124"/>
    </row>
    <row r="28">
      <c r="A28" s="124" t="s">
        <v>1169</v>
      </c>
      <c r="B28" s="124" t="s">
        <v>1171</v>
      </c>
      <c r="C28" s="124" t="s">
        <v>1173</v>
      </c>
      <c r="D28" s="127">
        <v>41260.0</v>
      </c>
      <c r="E28" s="124" t="s">
        <v>98</v>
      </c>
      <c r="F28" s="124">
        <v>5.614743694E9</v>
      </c>
      <c r="G28" s="124" t="s">
        <v>1178</v>
      </c>
      <c r="H28" s="124" t="s">
        <v>140</v>
      </c>
      <c r="I28" s="128"/>
      <c r="J28" s="124" t="s">
        <v>1181</v>
      </c>
      <c r="K28" s="124" t="s">
        <v>1184</v>
      </c>
      <c r="L28" s="124">
        <v>5.529999001E9</v>
      </c>
      <c r="M28" s="128"/>
      <c r="N28" s="128"/>
      <c r="O28" s="128"/>
      <c r="P28" s="129">
        <v>13.0</v>
      </c>
      <c r="Q28" s="130">
        <v>46040.8999537037</v>
      </c>
      <c r="R28" s="124" t="s">
        <v>107</v>
      </c>
      <c r="S28" s="124" t="s">
        <v>109</v>
      </c>
      <c r="T28" s="124" t="s">
        <v>192</v>
      </c>
      <c r="U28" s="124" t="s">
        <v>485</v>
      </c>
      <c r="V28" s="124" t="s">
        <v>486</v>
      </c>
      <c r="W28" s="124" t="s">
        <v>487</v>
      </c>
      <c r="X28" s="124" t="s">
        <v>120</v>
      </c>
      <c r="Y28" s="128"/>
      <c r="Z28" s="124" t="s">
        <v>120</v>
      </c>
      <c r="AA28" s="128"/>
      <c r="AB28" s="124" t="s">
        <v>117</v>
      </c>
      <c r="AC28" s="124" t="s">
        <v>117</v>
      </c>
      <c r="AD28" s="124" t="s">
        <v>1202</v>
      </c>
      <c r="AE28" s="124" t="s">
        <v>117</v>
      </c>
      <c r="AF28" s="124" t="s">
        <v>1205</v>
      </c>
      <c r="AG28" s="124" t="s">
        <v>120</v>
      </c>
      <c r="AH28" s="128"/>
      <c r="AI28" s="124" t="s">
        <v>117</v>
      </c>
      <c r="AJ28" s="124" t="s">
        <v>1207</v>
      </c>
      <c r="AK28" s="128"/>
      <c r="AL28" s="124" t="s">
        <v>240</v>
      </c>
      <c r="AM28" s="124" t="s">
        <v>126</v>
      </c>
      <c r="AN28" s="124" t="s">
        <v>242</v>
      </c>
      <c r="AO28" s="124" t="s">
        <v>156</v>
      </c>
      <c r="AP28" s="124"/>
    </row>
    <row r="29">
      <c r="A29" s="124" t="s">
        <v>2193</v>
      </c>
      <c r="B29" s="124" t="s">
        <v>2194</v>
      </c>
      <c r="C29" s="124" t="s">
        <v>2195</v>
      </c>
      <c r="D29" s="127">
        <v>40621.0</v>
      </c>
      <c r="E29" s="124" t="s">
        <v>98</v>
      </c>
      <c r="F29" s="124">
        <v>5.511311959E9</v>
      </c>
      <c r="G29" s="124" t="s">
        <v>2198</v>
      </c>
      <c r="H29" s="124" t="s">
        <v>101</v>
      </c>
      <c r="I29" s="128"/>
      <c r="J29" s="124" t="s">
        <v>2199</v>
      </c>
      <c r="K29" s="124" t="s">
        <v>2201</v>
      </c>
      <c r="L29" s="124">
        <v>5.519128552E9</v>
      </c>
      <c r="M29" s="128"/>
      <c r="N29" s="128"/>
      <c r="O29" s="128"/>
      <c r="P29" s="129">
        <v>14.0</v>
      </c>
      <c r="Q29" s="130">
        <v>46039.53313657407</v>
      </c>
      <c r="R29" s="124" t="s">
        <v>107</v>
      </c>
      <c r="S29" s="124" t="s">
        <v>109</v>
      </c>
      <c r="T29" s="124" t="s">
        <v>204</v>
      </c>
      <c r="U29" s="124" t="s">
        <v>295</v>
      </c>
      <c r="V29" s="124" t="s">
        <v>298</v>
      </c>
      <c r="W29" s="124" t="s">
        <v>299</v>
      </c>
      <c r="X29" s="124" t="s">
        <v>120</v>
      </c>
      <c r="Y29" s="128"/>
      <c r="Z29" s="124" t="s">
        <v>117</v>
      </c>
      <c r="AA29" s="124" t="s">
        <v>1525</v>
      </c>
      <c r="AB29" s="124" t="s">
        <v>120</v>
      </c>
      <c r="AC29" s="128"/>
      <c r="AD29" s="128"/>
      <c r="AE29" s="124" t="s">
        <v>120</v>
      </c>
      <c r="AF29" s="128"/>
      <c r="AG29" s="124" t="s">
        <v>120</v>
      </c>
      <c r="AH29" s="128"/>
      <c r="AI29" s="124" t="s">
        <v>120</v>
      </c>
      <c r="AJ29" s="128"/>
      <c r="AK29" s="128"/>
      <c r="AL29" s="124" t="s">
        <v>141</v>
      </c>
      <c r="AM29" s="124" t="s">
        <v>185</v>
      </c>
      <c r="AN29" s="124" t="s">
        <v>124</v>
      </c>
      <c r="AO29" s="124" t="s">
        <v>138</v>
      </c>
      <c r="AP29" s="124"/>
    </row>
    <row r="30">
      <c r="A30" s="124" t="s">
        <v>2221</v>
      </c>
      <c r="B30" s="124" t="s">
        <v>244</v>
      </c>
      <c r="C30" s="124" t="s">
        <v>2224</v>
      </c>
      <c r="D30" s="127">
        <v>40140.0</v>
      </c>
      <c r="E30" s="124" t="s">
        <v>177</v>
      </c>
      <c r="F30" s="124">
        <v>5.554659155E9</v>
      </c>
      <c r="G30" s="124" t="s">
        <v>2225</v>
      </c>
      <c r="H30" s="124" t="s">
        <v>101</v>
      </c>
      <c r="I30" s="128"/>
      <c r="J30" s="124" t="s">
        <v>251</v>
      </c>
      <c r="K30" s="124" t="s">
        <v>252</v>
      </c>
      <c r="L30" s="124">
        <v>5.511201062E9</v>
      </c>
      <c r="M30" s="124" t="s">
        <v>253</v>
      </c>
      <c r="N30" s="124" t="s">
        <v>254</v>
      </c>
      <c r="O30" s="124" t="s">
        <v>2231</v>
      </c>
      <c r="P30" s="129">
        <v>16.0</v>
      </c>
      <c r="Q30" s="130">
        <v>46020.7412962963</v>
      </c>
      <c r="R30" s="124" t="s">
        <v>107</v>
      </c>
      <c r="S30" s="124" t="s">
        <v>109</v>
      </c>
      <c r="T30" s="124" t="s">
        <v>208</v>
      </c>
      <c r="U30" s="124" t="s">
        <v>209</v>
      </c>
      <c r="V30" s="124" t="s">
        <v>210</v>
      </c>
      <c r="W30" s="124" t="s">
        <v>211</v>
      </c>
      <c r="X30" s="124" t="s">
        <v>120</v>
      </c>
      <c r="Y30" s="128"/>
      <c r="Z30" s="124" t="s">
        <v>120</v>
      </c>
      <c r="AA30" s="128"/>
      <c r="AB30" s="124" t="s">
        <v>120</v>
      </c>
      <c r="AC30" s="124" t="s">
        <v>120</v>
      </c>
      <c r="AD30" s="128"/>
      <c r="AE30" s="124" t="s">
        <v>120</v>
      </c>
      <c r="AF30" s="128"/>
      <c r="AG30" s="124" t="s">
        <v>120</v>
      </c>
      <c r="AH30" s="128"/>
      <c r="AI30" s="124" t="s">
        <v>120</v>
      </c>
      <c r="AJ30" s="128"/>
      <c r="AK30" s="128"/>
      <c r="AL30" s="124" t="s">
        <v>242</v>
      </c>
      <c r="AM30" s="124" t="s">
        <v>126</v>
      </c>
      <c r="AN30" s="124" t="s">
        <v>216</v>
      </c>
      <c r="AO30" s="124" t="s">
        <v>185</v>
      </c>
      <c r="AP30" s="124"/>
    </row>
    <row r="31">
      <c r="A31" s="124" t="s">
        <v>1435</v>
      </c>
      <c r="B31" s="124" t="s">
        <v>1438</v>
      </c>
      <c r="C31" s="124" t="s">
        <v>1440</v>
      </c>
      <c r="D31" s="127">
        <v>40093.0</v>
      </c>
      <c r="E31" s="124" t="s">
        <v>177</v>
      </c>
      <c r="F31" s="124">
        <v>5.627963261E9</v>
      </c>
      <c r="G31" s="124" t="s">
        <v>1445</v>
      </c>
      <c r="H31" s="124" t="s">
        <v>110</v>
      </c>
      <c r="I31" s="124" t="s">
        <v>135</v>
      </c>
      <c r="J31" s="124" t="s">
        <v>1448</v>
      </c>
      <c r="K31" s="124" t="s">
        <v>1450</v>
      </c>
      <c r="L31" s="124">
        <v>5.546531305E9</v>
      </c>
      <c r="M31" s="124" t="s">
        <v>1451</v>
      </c>
      <c r="N31" s="124" t="s">
        <v>1452</v>
      </c>
      <c r="O31" s="124">
        <v>5.546531305E9</v>
      </c>
      <c r="P31" s="129">
        <v>16.0</v>
      </c>
      <c r="Q31" s="130">
        <v>46018.44907407407</v>
      </c>
      <c r="R31" s="124" t="s">
        <v>107</v>
      </c>
      <c r="S31" s="124" t="s">
        <v>109</v>
      </c>
      <c r="T31" s="124" t="s">
        <v>204</v>
      </c>
      <c r="U31" s="124" t="s">
        <v>357</v>
      </c>
      <c r="V31" s="124" t="s">
        <v>359</v>
      </c>
      <c r="W31" s="124" t="s">
        <v>362</v>
      </c>
      <c r="X31" s="124" t="s">
        <v>120</v>
      </c>
      <c r="Y31" s="128"/>
      <c r="Z31" s="124" t="s">
        <v>120</v>
      </c>
      <c r="AA31" s="128"/>
      <c r="AB31" s="124" t="s">
        <v>117</v>
      </c>
      <c r="AC31" s="124" t="s">
        <v>117</v>
      </c>
      <c r="AD31" s="124" t="s">
        <v>1464</v>
      </c>
      <c r="AE31" s="124" t="s">
        <v>120</v>
      </c>
      <c r="AF31" s="128"/>
      <c r="AG31" s="124" t="s">
        <v>120</v>
      </c>
      <c r="AH31" s="128"/>
      <c r="AI31" s="124" t="s">
        <v>120</v>
      </c>
      <c r="AJ31" s="128"/>
      <c r="AK31" s="128"/>
      <c r="AL31" s="124" t="s">
        <v>156</v>
      </c>
      <c r="AM31" s="124" t="s">
        <v>129</v>
      </c>
      <c r="AN31" s="124" t="s">
        <v>124</v>
      </c>
      <c r="AO31" s="124" t="s">
        <v>185</v>
      </c>
      <c r="AP31" s="124"/>
    </row>
    <row r="32">
      <c r="A32" s="124" t="s">
        <v>851</v>
      </c>
      <c r="B32" s="124" t="s">
        <v>852</v>
      </c>
      <c r="C32" s="124" t="s">
        <v>853</v>
      </c>
      <c r="D32" s="127">
        <v>40776.0</v>
      </c>
      <c r="E32" s="124" t="s">
        <v>98</v>
      </c>
      <c r="F32" s="124" t="s">
        <v>854</v>
      </c>
      <c r="G32" s="124" t="s">
        <v>855</v>
      </c>
      <c r="H32" s="124" t="s">
        <v>101</v>
      </c>
      <c r="I32" s="124" t="s">
        <v>2874</v>
      </c>
      <c r="J32" s="124" t="s">
        <v>857</v>
      </c>
      <c r="K32" s="124" t="s">
        <v>858</v>
      </c>
      <c r="L32" s="124">
        <v>5.514041685E9</v>
      </c>
      <c r="M32" s="124" t="s">
        <v>859</v>
      </c>
      <c r="N32" s="124" t="s">
        <v>860</v>
      </c>
      <c r="O32" s="124">
        <v>5.564816934E9</v>
      </c>
      <c r="P32" s="129">
        <v>14.0</v>
      </c>
      <c r="Q32" s="130">
        <v>46032.94395833334</v>
      </c>
      <c r="R32" s="124" t="s">
        <v>107</v>
      </c>
      <c r="S32" s="124" t="s">
        <v>109</v>
      </c>
      <c r="T32" s="124" t="s">
        <v>127</v>
      </c>
      <c r="U32" s="124" t="s">
        <v>234</v>
      </c>
      <c r="V32" s="124" t="s">
        <v>227</v>
      </c>
      <c r="W32" s="124" t="s">
        <v>236</v>
      </c>
      <c r="X32" s="124" t="s">
        <v>117</v>
      </c>
      <c r="Y32" s="128"/>
      <c r="Z32" s="124" t="s">
        <v>117</v>
      </c>
      <c r="AA32" s="128"/>
      <c r="AB32" s="124" t="s">
        <v>117</v>
      </c>
      <c r="AC32" s="124" t="s">
        <v>117</v>
      </c>
      <c r="AD32" s="128"/>
      <c r="AE32" s="124" t="s">
        <v>117</v>
      </c>
      <c r="AF32" s="128"/>
      <c r="AG32" s="124" t="s">
        <v>117</v>
      </c>
      <c r="AH32" s="128"/>
      <c r="AI32" s="124" t="s">
        <v>117</v>
      </c>
      <c r="AJ32" s="128"/>
      <c r="AK32" s="128"/>
      <c r="AL32" s="124" t="s">
        <v>141</v>
      </c>
      <c r="AM32" s="124" t="s">
        <v>138</v>
      </c>
      <c r="AN32" s="124" t="s">
        <v>128</v>
      </c>
      <c r="AO32" s="124" t="s">
        <v>242</v>
      </c>
      <c r="AP32" s="124"/>
    </row>
    <row r="33">
      <c r="A33" s="124" t="s">
        <v>2875</v>
      </c>
      <c r="B33" s="124" t="s">
        <v>2876</v>
      </c>
      <c r="C33" s="124" t="s">
        <v>2877</v>
      </c>
      <c r="D33" s="127">
        <v>39025.0</v>
      </c>
      <c r="E33" s="124" t="s">
        <v>177</v>
      </c>
      <c r="F33" s="124">
        <v>5.610217311E9</v>
      </c>
      <c r="G33" s="124" t="s">
        <v>312</v>
      </c>
      <c r="H33" s="124" t="s">
        <v>150</v>
      </c>
      <c r="I33" s="124" t="s">
        <v>2878</v>
      </c>
      <c r="J33" s="124" t="s">
        <v>2879</v>
      </c>
      <c r="K33" s="124" t="s">
        <v>312</v>
      </c>
      <c r="L33" s="124">
        <v>5.534650588E9</v>
      </c>
      <c r="M33" s="128"/>
      <c r="N33" s="128"/>
      <c r="O33" s="128"/>
      <c r="P33" s="129">
        <v>19.0</v>
      </c>
      <c r="Q33" s="130">
        <v>46039.6980787037</v>
      </c>
      <c r="R33" s="124" t="s">
        <v>107</v>
      </c>
      <c r="S33" s="124" t="s">
        <v>125</v>
      </c>
      <c r="T33" s="124" t="s">
        <v>204</v>
      </c>
      <c r="U33" s="124" t="s">
        <v>311</v>
      </c>
      <c r="V33" s="124" t="s">
        <v>312</v>
      </c>
      <c r="W33" s="124" t="s">
        <v>313</v>
      </c>
      <c r="X33" s="124" t="s">
        <v>120</v>
      </c>
      <c r="Y33" s="128"/>
      <c r="Z33" s="124" t="s">
        <v>120</v>
      </c>
      <c r="AA33" s="128"/>
      <c r="AB33" s="124" t="s">
        <v>120</v>
      </c>
      <c r="AC33" s="128"/>
      <c r="AD33" s="128"/>
      <c r="AE33" s="124" t="s">
        <v>120</v>
      </c>
      <c r="AF33" s="128"/>
      <c r="AG33" s="124" t="s">
        <v>120</v>
      </c>
      <c r="AH33" s="128"/>
      <c r="AI33" s="124" t="s">
        <v>120</v>
      </c>
      <c r="AJ33" s="128"/>
      <c r="AK33" s="128"/>
      <c r="AL33" s="124" t="s">
        <v>141</v>
      </c>
      <c r="AM33" s="124" t="s">
        <v>129</v>
      </c>
      <c r="AN33" s="124" t="s">
        <v>138</v>
      </c>
      <c r="AO33" s="124" t="s">
        <v>126</v>
      </c>
      <c r="AP33" s="124"/>
    </row>
    <row r="34">
      <c r="A34" s="124" t="s">
        <v>2271</v>
      </c>
      <c r="B34" s="124" t="s">
        <v>2272</v>
      </c>
      <c r="C34" s="128"/>
      <c r="D34" s="127">
        <v>39929.0</v>
      </c>
      <c r="E34" s="124" t="s">
        <v>177</v>
      </c>
      <c r="F34" s="124">
        <v>5.637828814E9</v>
      </c>
      <c r="G34" s="124" t="s">
        <v>2276</v>
      </c>
      <c r="H34" s="124" t="s">
        <v>101</v>
      </c>
      <c r="I34" s="128"/>
      <c r="J34" s="124" t="s">
        <v>2278</v>
      </c>
      <c r="K34" s="124" t="s">
        <v>2279</v>
      </c>
      <c r="L34" s="124">
        <v>5.539891835E9</v>
      </c>
      <c r="M34" s="128"/>
      <c r="N34" s="128"/>
      <c r="O34" s="128"/>
      <c r="P34" s="129">
        <v>16.0</v>
      </c>
      <c r="Q34" s="130">
        <v>46041.35648148148</v>
      </c>
      <c r="R34" s="124" t="s">
        <v>107</v>
      </c>
      <c r="S34" s="124" t="s">
        <v>109</v>
      </c>
      <c r="T34" s="124" t="s">
        <v>111</v>
      </c>
      <c r="U34" s="124" t="s">
        <v>2283</v>
      </c>
      <c r="V34" s="124" t="s">
        <v>2285</v>
      </c>
      <c r="W34" s="124" t="s">
        <v>2286</v>
      </c>
      <c r="X34" s="124" t="s">
        <v>120</v>
      </c>
      <c r="Y34" s="128"/>
      <c r="Z34" s="124" t="s">
        <v>117</v>
      </c>
      <c r="AA34" s="124" t="s">
        <v>2289</v>
      </c>
      <c r="AB34" s="124" t="s">
        <v>120</v>
      </c>
      <c r="AC34" s="128"/>
      <c r="AD34" s="128"/>
      <c r="AE34" s="124" t="s">
        <v>120</v>
      </c>
      <c r="AF34" s="128"/>
      <c r="AG34" s="124" t="s">
        <v>120</v>
      </c>
      <c r="AH34" s="128"/>
      <c r="AI34" s="124" t="s">
        <v>120</v>
      </c>
      <c r="AJ34" s="128"/>
      <c r="AK34" s="128"/>
      <c r="AL34" s="124" t="s">
        <v>124</v>
      </c>
      <c r="AM34" s="124" t="s">
        <v>242</v>
      </c>
      <c r="AN34" s="124" t="s">
        <v>216</v>
      </c>
      <c r="AO34" s="124" t="s">
        <v>242</v>
      </c>
      <c r="AP34" s="124"/>
    </row>
    <row r="35">
      <c r="A35" s="124" t="s">
        <v>1393</v>
      </c>
      <c r="B35" s="124" t="s">
        <v>1394</v>
      </c>
      <c r="C35" s="124" t="s">
        <v>1395</v>
      </c>
      <c r="D35" s="127">
        <v>38238.0</v>
      </c>
      <c r="E35" s="124" t="s">
        <v>98</v>
      </c>
      <c r="F35" s="124">
        <v>5.65915819E9</v>
      </c>
      <c r="G35" s="124" t="s">
        <v>1397</v>
      </c>
      <c r="H35" s="124" t="s">
        <v>140</v>
      </c>
      <c r="I35" s="124" t="s">
        <v>1325</v>
      </c>
      <c r="J35" s="124" t="s">
        <v>1400</v>
      </c>
      <c r="K35" s="124" t="s">
        <v>1401</v>
      </c>
      <c r="L35" s="124">
        <v>5.584107482E9</v>
      </c>
      <c r="M35" s="128"/>
      <c r="N35" s="128"/>
      <c r="O35" s="128"/>
      <c r="P35" s="129">
        <v>21.0</v>
      </c>
      <c r="Q35" s="130">
        <v>46040.602488425924</v>
      </c>
      <c r="R35" s="124" t="s">
        <v>231</v>
      </c>
      <c r="S35" s="124" t="s">
        <v>125</v>
      </c>
      <c r="T35" s="124" t="s">
        <v>192</v>
      </c>
      <c r="U35" s="124" t="s">
        <v>485</v>
      </c>
      <c r="V35" s="124" t="s">
        <v>486</v>
      </c>
      <c r="W35" s="124" t="s">
        <v>487</v>
      </c>
      <c r="X35" s="124" t="s">
        <v>120</v>
      </c>
      <c r="Y35" s="128"/>
      <c r="Z35" s="124" t="s">
        <v>117</v>
      </c>
      <c r="AA35" s="124" t="s">
        <v>1406</v>
      </c>
      <c r="AB35" s="124" t="s">
        <v>117</v>
      </c>
      <c r="AC35" s="124" t="s">
        <v>117</v>
      </c>
      <c r="AD35" s="124" t="s">
        <v>1409</v>
      </c>
      <c r="AE35" s="124" t="s">
        <v>117</v>
      </c>
      <c r="AF35" s="124" t="s">
        <v>1412</v>
      </c>
      <c r="AG35" s="124" t="s">
        <v>120</v>
      </c>
      <c r="AH35" s="128"/>
      <c r="AI35" s="124" t="s">
        <v>120</v>
      </c>
      <c r="AJ35" s="128"/>
      <c r="AK35" s="128"/>
      <c r="AL35" s="124" t="s">
        <v>128</v>
      </c>
      <c r="AM35" s="124" t="s">
        <v>216</v>
      </c>
      <c r="AN35" s="124" t="s">
        <v>156</v>
      </c>
      <c r="AO35" s="124" t="s">
        <v>138</v>
      </c>
      <c r="AP35" s="124"/>
    </row>
    <row r="36">
      <c r="A36" s="124" t="s">
        <v>2292</v>
      </c>
      <c r="B36" s="124" t="s">
        <v>2293</v>
      </c>
      <c r="C36" s="124" t="s">
        <v>2294</v>
      </c>
      <c r="D36" s="127">
        <v>40663.0</v>
      </c>
      <c r="E36" s="124" t="s">
        <v>177</v>
      </c>
      <c r="F36" s="124">
        <v>5.549111967E9</v>
      </c>
      <c r="G36" s="124" t="s">
        <v>2298</v>
      </c>
      <c r="H36" s="124" t="s">
        <v>101</v>
      </c>
      <c r="I36" s="124" t="s">
        <v>135</v>
      </c>
      <c r="J36" s="124" t="s">
        <v>2300</v>
      </c>
      <c r="K36" s="124" t="s">
        <v>2303</v>
      </c>
      <c r="L36" s="124">
        <v>5.618931998E9</v>
      </c>
      <c r="M36" s="128"/>
      <c r="N36" s="128"/>
      <c r="O36" s="128"/>
      <c r="P36" s="129">
        <v>14.0</v>
      </c>
      <c r="Q36" s="130">
        <v>46033.83787037037</v>
      </c>
      <c r="R36" s="124" t="s">
        <v>107</v>
      </c>
      <c r="S36" s="124" t="s">
        <v>109</v>
      </c>
      <c r="T36" s="124" t="s">
        <v>160</v>
      </c>
      <c r="U36" s="124" t="s">
        <v>279</v>
      </c>
      <c r="V36" s="124" t="s">
        <v>280</v>
      </c>
      <c r="W36" s="124" t="s">
        <v>282</v>
      </c>
      <c r="X36" s="124" t="s">
        <v>120</v>
      </c>
      <c r="Y36" s="128"/>
      <c r="Z36" s="124" t="s">
        <v>120</v>
      </c>
      <c r="AA36" s="128"/>
      <c r="AB36" s="124" t="s">
        <v>120</v>
      </c>
      <c r="AC36" s="128"/>
      <c r="AD36" s="128"/>
      <c r="AE36" s="124" t="s">
        <v>120</v>
      </c>
      <c r="AF36" s="128"/>
      <c r="AG36" s="124" t="s">
        <v>120</v>
      </c>
      <c r="AH36" s="128"/>
      <c r="AI36" s="124" t="s">
        <v>120</v>
      </c>
      <c r="AJ36" s="128"/>
      <c r="AK36" s="128"/>
      <c r="AL36" s="124" t="s">
        <v>126</v>
      </c>
      <c r="AM36" s="124" t="s">
        <v>156</v>
      </c>
      <c r="AN36" s="124" t="s">
        <v>138</v>
      </c>
      <c r="AO36" s="124" t="s">
        <v>185</v>
      </c>
      <c r="AP36" s="124"/>
    </row>
    <row r="37">
      <c r="A37" s="124" t="s">
        <v>1033</v>
      </c>
      <c r="B37" s="124" t="s">
        <v>1035</v>
      </c>
      <c r="C37" s="124" t="s">
        <v>1037</v>
      </c>
      <c r="D37" s="127">
        <v>38137.0</v>
      </c>
      <c r="E37" s="124" t="s">
        <v>98</v>
      </c>
      <c r="F37" s="124">
        <v>5.611954501E9</v>
      </c>
      <c r="G37" s="124" t="s">
        <v>1038</v>
      </c>
      <c r="H37" s="124" t="s">
        <v>150</v>
      </c>
      <c r="I37" s="128"/>
      <c r="J37" s="124" t="s">
        <v>1042</v>
      </c>
      <c r="K37" s="124" t="s">
        <v>1043</v>
      </c>
      <c r="L37" s="124">
        <v>5.586874914E9</v>
      </c>
      <c r="M37" s="128"/>
      <c r="N37" s="128"/>
      <c r="O37" s="128"/>
      <c r="P37" s="129">
        <v>21.0</v>
      </c>
      <c r="Q37" s="130">
        <v>46039.970185185186</v>
      </c>
      <c r="R37" s="124" t="s">
        <v>231</v>
      </c>
      <c r="S37" s="124" t="s">
        <v>125</v>
      </c>
      <c r="T37" s="124" t="s">
        <v>160</v>
      </c>
      <c r="U37" s="124" t="s">
        <v>161</v>
      </c>
      <c r="V37" s="124" t="s">
        <v>163</v>
      </c>
      <c r="W37" s="124" t="s">
        <v>165</v>
      </c>
      <c r="X37" s="124" t="s">
        <v>120</v>
      </c>
      <c r="Y37" s="128"/>
      <c r="Z37" s="124" t="s">
        <v>117</v>
      </c>
      <c r="AA37" s="124" t="s">
        <v>1052</v>
      </c>
      <c r="AB37" s="124" t="s">
        <v>120</v>
      </c>
      <c r="AC37" s="124" t="s">
        <v>120</v>
      </c>
      <c r="AD37" s="128"/>
      <c r="AE37" s="124" t="s">
        <v>120</v>
      </c>
      <c r="AF37" s="128"/>
      <c r="AG37" s="124" t="s">
        <v>117</v>
      </c>
      <c r="AH37" s="124" t="s">
        <v>1054</v>
      </c>
      <c r="AI37" s="124" t="s">
        <v>120</v>
      </c>
      <c r="AJ37" s="128"/>
      <c r="AK37" s="128"/>
      <c r="AL37" s="124" t="s">
        <v>141</v>
      </c>
      <c r="AM37" s="124" t="s">
        <v>242</v>
      </c>
      <c r="AN37" s="124" t="s">
        <v>128</v>
      </c>
      <c r="AO37" s="124" t="s">
        <v>156</v>
      </c>
      <c r="AP37" s="124"/>
    </row>
    <row r="38">
      <c r="A38" s="124" t="s">
        <v>2314</v>
      </c>
      <c r="B38" s="124" t="s">
        <v>2315</v>
      </c>
      <c r="C38" s="128"/>
      <c r="D38" s="127">
        <v>41051.0</v>
      </c>
      <c r="E38" s="124" t="s">
        <v>177</v>
      </c>
      <c r="F38" s="124">
        <v>5.532443126E9</v>
      </c>
      <c r="G38" s="124" t="s">
        <v>2316</v>
      </c>
      <c r="H38" s="124" t="s">
        <v>101</v>
      </c>
      <c r="I38" s="128"/>
      <c r="J38" s="124" t="s">
        <v>2318</v>
      </c>
      <c r="K38" s="124" t="s">
        <v>2316</v>
      </c>
      <c r="L38" s="124">
        <v>5.532443126E9</v>
      </c>
      <c r="M38" s="124" t="s">
        <v>2320</v>
      </c>
      <c r="N38" s="124" t="s">
        <v>2322</v>
      </c>
      <c r="O38" s="124">
        <v>5.534000142E9</v>
      </c>
      <c r="P38" s="129">
        <v>13.0</v>
      </c>
      <c r="Q38" s="130">
        <v>46040.938622685186</v>
      </c>
      <c r="R38" s="124" t="s">
        <v>107</v>
      </c>
      <c r="S38" s="124" t="s">
        <v>109</v>
      </c>
      <c r="T38" s="124" t="s">
        <v>192</v>
      </c>
      <c r="U38" s="124" t="s">
        <v>749</v>
      </c>
      <c r="V38" s="124" t="s">
        <v>750</v>
      </c>
      <c r="W38" s="124" t="s">
        <v>751</v>
      </c>
      <c r="X38" s="124" t="s">
        <v>120</v>
      </c>
      <c r="Y38" s="128"/>
      <c r="Z38" s="124" t="s">
        <v>120</v>
      </c>
      <c r="AA38" s="128"/>
      <c r="AB38" s="124" t="s">
        <v>120</v>
      </c>
      <c r="AC38" s="124" t="s">
        <v>120</v>
      </c>
      <c r="AD38" s="128"/>
      <c r="AE38" s="124" t="s">
        <v>120</v>
      </c>
      <c r="AF38" s="128"/>
      <c r="AG38" s="124" t="s">
        <v>120</v>
      </c>
      <c r="AH38" s="128"/>
      <c r="AI38" s="124" t="s">
        <v>120</v>
      </c>
      <c r="AJ38" s="128"/>
      <c r="AK38" s="128"/>
      <c r="AL38" s="124" t="s">
        <v>141</v>
      </c>
      <c r="AM38" s="124" t="s">
        <v>185</v>
      </c>
      <c r="AN38" s="124" t="s">
        <v>124</v>
      </c>
      <c r="AO38" s="124" t="s">
        <v>242</v>
      </c>
      <c r="AP38" s="124"/>
    </row>
    <row r="39">
      <c r="A39" s="124" t="s">
        <v>1209</v>
      </c>
      <c r="B39" s="124" t="s">
        <v>1211</v>
      </c>
      <c r="C39" s="124" t="s">
        <v>1212</v>
      </c>
      <c r="D39" s="127">
        <v>40831.0</v>
      </c>
      <c r="E39" s="124" t="s">
        <v>98</v>
      </c>
      <c r="F39" s="124">
        <v>5.615170579E9</v>
      </c>
      <c r="G39" s="124" t="s">
        <v>1216</v>
      </c>
      <c r="H39" s="124" t="s">
        <v>150</v>
      </c>
      <c r="I39" s="128"/>
      <c r="J39" s="124" t="s">
        <v>1221</v>
      </c>
      <c r="K39" s="124" t="s">
        <v>1224</v>
      </c>
      <c r="L39" s="124">
        <v>5.575058233E9</v>
      </c>
      <c r="M39" s="124" t="s">
        <v>1225</v>
      </c>
      <c r="N39" s="124" t="s">
        <v>1227</v>
      </c>
      <c r="O39" s="124">
        <v>5.526102342E9</v>
      </c>
      <c r="P39" s="129">
        <v>14.0</v>
      </c>
      <c r="Q39" s="130">
        <v>46033.4809375</v>
      </c>
      <c r="R39" s="124" t="s">
        <v>107</v>
      </c>
      <c r="S39" s="124" t="s">
        <v>109</v>
      </c>
      <c r="T39" s="124" t="s">
        <v>160</v>
      </c>
      <c r="U39" s="124" t="s">
        <v>329</v>
      </c>
      <c r="V39" s="124" t="s">
        <v>331</v>
      </c>
      <c r="W39" s="124" t="s">
        <v>332</v>
      </c>
      <c r="X39" s="124" t="s">
        <v>120</v>
      </c>
      <c r="Y39" s="128"/>
      <c r="Z39" s="124" t="s">
        <v>120</v>
      </c>
      <c r="AA39" s="128"/>
      <c r="AB39" s="124" t="s">
        <v>120</v>
      </c>
      <c r="AC39" s="128"/>
      <c r="AD39" s="128"/>
      <c r="AE39" s="124" t="s">
        <v>117</v>
      </c>
      <c r="AF39" s="124" t="s">
        <v>807</v>
      </c>
      <c r="AG39" s="124" t="s">
        <v>120</v>
      </c>
      <c r="AH39" s="128"/>
      <c r="AI39" s="124" t="s">
        <v>117</v>
      </c>
      <c r="AJ39" s="124" t="s">
        <v>1243</v>
      </c>
      <c r="AK39" s="128"/>
      <c r="AL39" s="124" t="s">
        <v>216</v>
      </c>
      <c r="AM39" s="124" t="s">
        <v>141</v>
      </c>
      <c r="AN39" s="124" t="s">
        <v>126</v>
      </c>
      <c r="AO39" s="124" t="s">
        <v>242</v>
      </c>
      <c r="AP39" s="124"/>
    </row>
    <row r="40">
      <c r="A40" s="124" t="s">
        <v>2344</v>
      </c>
      <c r="B40" s="124" t="s">
        <v>2345</v>
      </c>
      <c r="C40" s="124" t="s">
        <v>2346</v>
      </c>
      <c r="D40" s="127">
        <v>39859.0</v>
      </c>
      <c r="E40" s="124" t="s">
        <v>177</v>
      </c>
      <c r="F40" s="124">
        <v>5.522529017E9</v>
      </c>
      <c r="G40" s="124" t="s">
        <v>2347</v>
      </c>
      <c r="H40" s="124" t="s">
        <v>150</v>
      </c>
      <c r="I40" s="128"/>
      <c r="J40" s="124" t="s">
        <v>2348</v>
      </c>
      <c r="K40" s="124" t="s">
        <v>2350</v>
      </c>
      <c r="L40" s="124">
        <v>5.544160497E9</v>
      </c>
      <c r="M40" s="128"/>
      <c r="N40" s="128"/>
      <c r="O40" s="128"/>
      <c r="P40" s="129">
        <v>17.0</v>
      </c>
      <c r="Q40" s="130">
        <v>46039.749189814815</v>
      </c>
      <c r="R40" s="124" t="s">
        <v>107</v>
      </c>
      <c r="S40" s="124" t="s">
        <v>109</v>
      </c>
      <c r="T40" s="124" t="s">
        <v>160</v>
      </c>
      <c r="U40" s="124" t="s">
        <v>308</v>
      </c>
      <c r="V40" s="124" t="s">
        <v>309</v>
      </c>
      <c r="W40" s="124" t="s">
        <v>310</v>
      </c>
      <c r="X40" s="124" t="s">
        <v>120</v>
      </c>
      <c r="Y40" s="128"/>
      <c r="Z40" s="124" t="s">
        <v>120</v>
      </c>
      <c r="AA40" s="128"/>
      <c r="AB40" s="124" t="s">
        <v>120</v>
      </c>
      <c r="AC40" s="124" t="s">
        <v>120</v>
      </c>
      <c r="AD40" s="128"/>
      <c r="AE40" s="124" t="s">
        <v>120</v>
      </c>
      <c r="AF40" s="128"/>
      <c r="AG40" s="124" t="s">
        <v>120</v>
      </c>
      <c r="AH40" s="128"/>
      <c r="AI40" s="124" t="s">
        <v>120</v>
      </c>
      <c r="AJ40" s="128"/>
      <c r="AK40" s="128"/>
      <c r="AL40" s="124" t="s">
        <v>185</v>
      </c>
      <c r="AM40" s="124" t="s">
        <v>129</v>
      </c>
      <c r="AN40" s="124" t="s">
        <v>126</v>
      </c>
      <c r="AO40" s="124" t="s">
        <v>156</v>
      </c>
      <c r="AP40" s="124"/>
    </row>
    <row r="41">
      <c r="A41" s="124" t="s">
        <v>2358</v>
      </c>
      <c r="B41" s="124" t="s">
        <v>2359</v>
      </c>
      <c r="C41" s="124" t="s">
        <v>2361</v>
      </c>
      <c r="D41" s="127">
        <v>40351.0</v>
      </c>
      <c r="E41" s="124" t="s">
        <v>177</v>
      </c>
      <c r="F41" s="124">
        <v>5.583606582E9</v>
      </c>
      <c r="G41" s="124" t="s">
        <v>2363</v>
      </c>
      <c r="H41" s="124" t="s">
        <v>382</v>
      </c>
      <c r="I41" s="124" t="s">
        <v>2365</v>
      </c>
      <c r="J41" s="124" t="s">
        <v>2366</v>
      </c>
      <c r="K41" s="124" t="s">
        <v>2363</v>
      </c>
      <c r="L41" s="124">
        <v>5.632918693E9</v>
      </c>
      <c r="M41" s="128"/>
      <c r="N41" s="128"/>
      <c r="O41" s="128"/>
      <c r="P41" s="129">
        <v>15.0</v>
      </c>
      <c r="Q41" s="130">
        <v>46039.014027777775</v>
      </c>
      <c r="R41" s="124" t="s">
        <v>107</v>
      </c>
      <c r="S41" s="124" t="s">
        <v>109</v>
      </c>
      <c r="T41" s="124" t="s">
        <v>111</v>
      </c>
      <c r="U41" s="124" t="s">
        <v>657</v>
      </c>
      <c r="V41" s="124" t="s">
        <v>659</v>
      </c>
      <c r="W41" s="124" t="s">
        <v>662</v>
      </c>
      <c r="X41" s="124" t="s">
        <v>120</v>
      </c>
      <c r="Y41" s="128"/>
      <c r="Z41" s="124" t="s">
        <v>120</v>
      </c>
      <c r="AA41" s="128"/>
      <c r="AB41" s="124" t="s">
        <v>120</v>
      </c>
      <c r="AC41" s="128"/>
      <c r="AD41" s="128"/>
      <c r="AE41" s="124" t="s">
        <v>120</v>
      </c>
      <c r="AF41" s="128"/>
      <c r="AG41" s="124" t="s">
        <v>120</v>
      </c>
      <c r="AH41" s="128"/>
      <c r="AI41" s="124" t="s">
        <v>120</v>
      </c>
      <c r="AJ41" s="128"/>
      <c r="AK41" s="128"/>
      <c r="AL41" s="124" t="s">
        <v>185</v>
      </c>
      <c r="AM41" s="124" t="s">
        <v>141</v>
      </c>
      <c r="AN41" s="124" t="s">
        <v>240</v>
      </c>
      <c r="AO41" s="124" t="s">
        <v>124</v>
      </c>
      <c r="AP41" s="124"/>
    </row>
    <row r="42">
      <c r="A42" s="124" t="s">
        <v>1251</v>
      </c>
      <c r="B42" s="124" t="s">
        <v>1252</v>
      </c>
      <c r="C42" s="124" t="s">
        <v>1253</v>
      </c>
      <c r="D42" s="127">
        <v>40448.0</v>
      </c>
      <c r="E42" s="124" t="s">
        <v>98</v>
      </c>
      <c r="F42" s="124" t="s">
        <v>1257</v>
      </c>
      <c r="G42" s="124" t="s">
        <v>1258</v>
      </c>
      <c r="H42" s="124" t="s">
        <v>101</v>
      </c>
      <c r="I42" s="128"/>
      <c r="J42" s="124" t="s">
        <v>1260</v>
      </c>
      <c r="K42" s="124" t="s">
        <v>1261</v>
      </c>
      <c r="L42" s="124">
        <v>5.614707074E9</v>
      </c>
      <c r="M42" s="124" t="s">
        <v>1262</v>
      </c>
      <c r="N42" s="124" t="s">
        <v>1263</v>
      </c>
      <c r="O42" s="124">
        <v>5.617662662E9</v>
      </c>
      <c r="P42" s="129">
        <v>15.0</v>
      </c>
      <c r="Q42" s="130">
        <v>46026.5165162037</v>
      </c>
      <c r="R42" s="124" t="s">
        <v>107</v>
      </c>
      <c r="S42" s="124" t="s">
        <v>109</v>
      </c>
      <c r="T42" s="124" t="s">
        <v>160</v>
      </c>
      <c r="U42" s="124" t="s">
        <v>1265</v>
      </c>
      <c r="V42" s="124" t="s">
        <v>1267</v>
      </c>
      <c r="W42" s="124" t="s">
        <v>1268</v>
      </c>
      <c r="X42" s="124" t="s">
        <v>120</v>
      </c>
      <c r="Y42" s="128"/>
      <c r="Z42" s="124" t="s">
        <v>120</v>
      </c>
      <c r="AA42" s="128"/>
      <c r="AB42" s="124" t="s">
        <v>120</v>
      </c>
      <c r="AC42" s="128"/>
      <c r="AD42" s="128"/>
      <c r="AE42" s="124" t="s">
        <v>120</v>
      </c>
      <c r="AF42" s="128"/>
      <c r="AG42" s="124" t="s">
        <v>120</v>
      </c>
      <c r="AH42" s="128"/>
      <c r="AI42" s="124" t="s">
        <v>117</v>
      </c>
      <c r="AJ42" s="124" t="s">
        <v>1282</v>
      </c>
      <c r="AK42" s="128"/>
      <c r="AL42" s="124" t="s">
        <v>138</v>
      </c>
      <c r="AM42" s="124" t="s">
        <v>185</v>
      </c>
      <c r="AN42" s="124" t="s">
        <v>156</v>
      </c>
      <c r="AO42" s="124" t="s">
        <v>242</v>
      </c>
      <c r="AP42" s="124"/>
    </row>
    <row r="43">
      <c r="A43" s="124" t="s">
        <v>1423</v>
      </c>
      <c r="B43" s="124" t="s">
        <v>1425</v>
      </c>
      <c r="C43" s="124" t="s">
        <v>1427</v>
      </c>
      <c r="D43" s="127">
        <v>37152.0</v>
      </c>
      <c r="E43" s="124" t="s">
        <v>177</v>
      </c>
      <c r="F43" s="124">
        <v>5.528120714E9</v>
      </c>
      <c r="G43" s="124" t="s">
        <v>1428</v>
      </c>
      <c r="H43" s="124" t="s">
        <v>150</v>
      </c>
      <c r="I43" s="128"/>
      <c r="J43" s="124" t="s">
        <v>1430</v>
      </c>
      <c r="K43" s="124" t="s">
        <v>1431</v>
      </c>
      <c r="L43" s="124" t="s">
        <v>1432</v>
      </c>
      <c r="M43" s="128"/>
      <c r="N43" s="128"/>
      <c r="O43" s="128"/>
      <c r="P43" s="129">
        <v>24.0</v>
      </c>
      <c r="Q43" s="130">
        <v>46036.60369212963</v>
      </c>
      <c r="R43" s="124" t="s">
        <v>107</v>
      </c>
      <c r="S43" s="124" t="s">
        <v>125</v>
      </c>
      <c r="T43" s="124" t="s">
        <v>204</v>
      </c>
      <c r="U43" s="124" t="s">
        <v>311</v>
      </c>
      <c r="V43" s="124" t="s">
        <v>312</v>
      </c>
      <c r="W43" s="124" t="s">
        <v>313</v>
      </c>
      <c r="X43" s="124" t="s">
        <v>120</v>
      </c>
      <c r="Y43" s="128"/>
      <c r="Z43" s="124" t="s">
        <v>120</v>
      </c>
      <c r="AA43" s="128"/>
      <c r="AB43" s="124" t="s">
        <v>120</v>
      </c>
      <c r="AC43" s="128"/>
      <c r="AD43" s="128"/>
      <c r="AE43" s="124" t="s">
        <v>120</v>
      </c>
      <c r="AF43" s="128"/>
      <c r="AG43" s="124" t="s">
        <v>120</v>
      </c>
      <c r="AH43" s="128"/>
      <c r="AI43" s="124" t="s">
        <v>120</v>
      </c>
      <c r="AJ43" s="128"/>
      <c r="AK43" s="124" t="s">
        <v>1449</v>
      </c>
      <c r="AL43" s="124" t="s">
        <v>128</v>
      </c>
      <c r="AM43" s="124" t="s">
        <v>242</v>
      </c>
      <c r="AN43" s="124" t="s">
        <v>156</v>
      </c>
      <c r="AO43" s="124" t="s">
        <v>216</v>
      </c>
      <c r="AP43" s="124"/>
    </row>
    <row r="44">
      <c r="A44" s="124" t="s">
        <v>590</v>
      </c>
      <c r="B44" s="124" t="s">
        <v>591</v>
      </c>
      <c r="C44" s="124" t="s">
        <v>592</v>
      </c>
      <c r="D44" s="127">
        <v>38506.0</v>
      </c>
      <c r="E44" s="124" t="s">
        <v>98</v>
      </c>
      <c r="F44" s="124">
        <v>5.591010435E9</v>
      </c>
      <c r="G44" s="124" t="s">
        <v>599</v>
      </c>
      <c r="H44" s="124" t="s">
        <v>150</v>
      </c>
      <c r="I44" s="124" t="s">
        <v>600</v>
      </c>
      <c r="J44" s="124" t="s">
        <v>592</v>
      </c>
      <c r="K44" s="124" t="s">
        <v>599</v>
      </c>
      <c r="L44" s="124">
        <v>5.591010435E9</v>
      </c>
      <c r="M44" s="128"/>
      <c r="N44" s="128"/>
      <c r="O44" s="128"/>
      <c r="P44" s="129">
        <v>20.0</v>
      </c>
      <c r="Q44" s="130">
        <v>46026.035092592596</v>
      </c>
      <c r="R44" s="124" t="s">
        <v>107</v>
      </c>
      <c r="S44" s="124" t="s">
        <v>125</v>
      </c>
      <c r="T44" s="124" t="s">
        <v>192</v>
      </c>
      <c r="U44" s="124" t="s">
        <v>609</v>
      </c>
      <c r="V44" s="124" t="s">
        <v>611</v>
      </c>
      <c r="W44" s="124" t="s">
        <v>612</v>
      </c>
      <c r="X44" s="124" t="s">
        <v>120</v>
      </c>
      <c r="Y44" s="128"/>
      <c r="Z44" s="124" t="s">
        <v>120</v>
      </c>
      <c r="AA44" s="128"/>
      <c r="AB44" s="124" t="s">
        <v>120</v>
      </c>
      <c r="AC44" s="124" t="s">
        <v>117</v>
      </c>
      <c r="AD44" s="128"/>
      <c r="AE44" s="124" t="s">
        <v>120</v>
      </c>
      <c r="AF44" s="128"/>
      <c r="AG44" s="124" t="s">
        <v>120</v>
      </c>
      <c r="AH44" s="128"/>
      <c r="AI44" s="124" t="s">
        <v>120</v>
      </c>
      <c r="AJ44" s="128"/>
      <c r="AK44" s="124" t="s">
        <v>135</v>
      </c>
      <c r="AL44" s="124" t="s">
        <v>240</v>
      </c>
      <c r="AM44" s="124" t="s">
        <v>126</v>
      </c>
      <c r="AN44" s="124" t="s">
        <v>138</v>
      </c>
      <c r="AO44" s="124" t="s">
        <v>185</v>
      </c>
      <c r="AP44" s="124"/>
    </row>
    <row r="45">
      <c r="A45" s="124" t="s">
        <v>2383</v>
      </c>
      <c r="B45" s="124" t="s">
        <v>2384</v>
      </c>
      <c r="C45" s="124" t="s">
        <v>68</v>
      </c>
      <c r="D45" s="127">
        <v>40010.0</v>
      </c>
      <c r="E45" s="124" t="s">
        <v>98</v>
      </c>
      <c r="F45" s="124">
        <v>5.554763021E9</v>
      </c>
      <c r="G45" s="124" t="s">
        <v>2385</v>
      </c>
      <c r="H45" s="124" t="s">
        <v>140</v>
      </c>
      <c r="I45" s="128"/>
      <c r="J45" s="124" t="s">
        <v>2386</v>
      </c>
      <c r="K45" s="124" t="s">
        <v>2387</v>
      </c>
      <c r="L45" s="124">
        <v>9.5124499E9</v>
      </c>
      <c r="M45" s="128"/>
      <c r="N45" s="128"/>
      <c r="O45" s="128"/>
      <c r="P45" s="129">
        <v>16.0</v>
      </c>
      <c r="Q45" s="130">
        <v>46034.688472222224</v>
      </c>
      <c r="R45" s="124" t="s">
        <v>107</v>
      </c>
      <c r="S45" s="124" t="s">
        <v>109</v>
      </c>
      <c r="T45" s="124" t="s">
        <v>171</v>
      </c>
      <c r="U45" s="124" t="s">
        <v>638</v>
      </c>
      <c r="V45" s="124" t="s">
        <v>639</v>
      </c>
      <c r="W45" s="124" t="s">
        <v>641</v>
      </c>
      <c r="X45" s="124" t="s">
        <v>120</v>
      </c>
      <c r="Y45" s="128"/>
      <c r="Z45" s="124" t="s">
        <v>120</v>
      </c>
      <c r="AA45" s="128"/>
      <c r="AB45" s="124" t="s">
        <v>120</v>
      </c>
      <c r="AC45" s="128"/>
      <c r="AD45" s="128"/>
      <c r="AE45" s="124" t="s">
        <v>120</v>
      </c>
      <c r="AF45" s="128"/>
      <c r="AG45" s="124" t="s">
        <v>120</v>
      </c>
      <c r="AH45" s="128"/>
      <c r="AI45" s="124" t="s">
        <v>120</v>
      </c>
      <c r="AJ45" s="128"/>
      <c r="AK45" s="128"/>
      <c r="AL45" s="124" t="s">
        <v>138</v>
      </c>
      <c r="AM45" s="124" t="s">
        <v>156</v>
      </c>
      <c r="AN45" s="124" t="s">
        <v>242</v>
      </c>
      <c r="AO45" s="124" t="s">
        <v>185</v>
      </c>
      <c r="AP45" s="124"/>
    </row>
    <row r="46">
      <c r="A46" s="124" t="s">
        <v>451</v>
      </c>
      <c r="B46" s="124" t="s">
        <v>1454</v>
      </c>
      <c r="C46" s="124" t="s">
        <v>1455</v>
      </c>
      <c r="D46" s="127">
        <v>37992.0</v>
      </c>
      <c r="E46" s="124" t="s">
        <v>98</v>
      </c>
      <c r="F46" s="124">
        <v>7.445080133E9</v>
      </c>
      <c r="G46" s="124" t="s">
        <v>1456</v>
      </c>
      <c r="H46" s="124" t="s">
        <v>140</v>
      </c>
      <c r="I46" s="128"/>
      <c r="J46" s="124" t="s">
        <v>1458</v>
      </c>
      <c r="K46" s="124" t="s">
        <v>1459</v>
      </c>
      <c r="L46" s="124">
        <v>7.444657468E9</v>
      </c>
      <c r="M46" s="128"/>
      <c r="N46" s="128"/>
      <c r="O46" s="128"/>
      <c r="P46" s="129">
        <v>22.0</v>
      </c>
      <c r="Q46" s="130">
        <v>46033.475810185184</v>
      </c>
      <c r="R46" s="124" t="s">
        <v>546</v>
      </c>
      <c r="S46" s="124" t="s">
        <v>125</v>
      </c>
      <c r="T46" s="124" t="s">
        <v>1200</v>
      </c>
      <c r="U46" s="124" t="s">
        <v>1471</v>
      </c>
      <c r="V46" s="124" t="s">
        <v>1472</v>
      </c>
      <c r="W46" s="124" t="s">
        <v>1473</v>
      </c>
      <c r="X46" s="124" t="s">
        <v>120</v>
      </c>
      <c r="Y46" s="128"/>
      <c r="Z46" s="124" t="s">
        <v>120</v>
      </c>
      <c r="AA46" s="128"/>
      <c r="AB46" s="124" t="s">
        <v>120</v>
      </c>
      <c r="AC46" s="128"/>
      <c r="AD46" s="128"/>
      <c r="AE46" s="124" t="s">
        <v>120</v>
      </c>
      <c r="AF46" s="128"/>
      <c r="AG46" s="124" t="s">
        <v>120</v>
      </c>
      <c r="AH46" s="128"/>
      <c r="AI46" s="124" t="s">
        <v>120</v>
      </c>
      <c r="AJ46" s="128"/>
      <c r="AK46" s="128"/>
      <c r="AL46" s="124" t="s">
        <v>138</v>
      </c>
      <c r="AM46" s="124" t="s">
        <v>185</v>
      </c>
      <c r="AN46" s="124" t="s">
        <v>240</v>
      </c>
      <c r="AO46" s="124" t="s">
        <v>124</v>
      </c>
      <c r="AP46" s="124"/>
    </row>
    <row r="47">
      <c r="A47" s="124" t="s">
        <v>1477</v>
      </c>
      <c r="B47" s="124" t="s">
        <v>1478</v>
      </c>
      <c r="C47" s="124" t="s">
        <v>1479</v>
      </c>
      <c r="D47" s="127">
        <v>41037.0</v>
      </c>
      <c r="E47" s="124" t="s">
        <v>177</v>
      </c>
      <c r="F47" s="124">
        <v>5.547520411E9</v>
      </c>
      <c r="G47" s="124" t="s">
        <v>1480</v>
      </c>
      <c r="H47" s="124" t="s">
        <v>101</v>
      </c>
      <c r="I47" s="124" t="s">
        <v>135</v>
      </c>
      <c r="J47" s="124" t="s">
        <v>1481</v>
      </c>
      <c r="K47" s="124" t="s">
        <v>1482</v>
      </c>
      <c r="L47" s="124">
        <v>5.53714428E9</v>
      </c>
      <c r="M47" s="124" t="s">
        <v>1484</v>
      </c>
      <c r="N47" s="124" t="s">
        <v>1485</v>
      </c>
      <c r="O47" s="124">
        <v>5.53938741E9</v>
      </c>
      <c r="P47" s="129">
        <v>13.0</v>
      </c>
      <c r="Q47" s="130">
        <v>46034.84743055556</v>
      </c>
      <c r="R47" s="124" t="s">
        <v>107</v>
      </c>
      <c r="S47" s="124" t="s">
        <v>109</v>
      </c>
      <c r="T47" s="124" t="s">
        <v>171</v>
      </c>
      <c r="U47" s="124" t="s">
        <v>1048</v>
      </c>
      <c r="V47" s="124" t="s">
        <v>1050</v>
      </c>
      <c r="W47" s="124" t="s">
        <v>1051</v>
      </c>
      <c r="X47" s="124" t="s">
        <v>120</v>
      </c>
      <c r="Y47" s="128"/>
      <c r="Z47" s="124" t="s">
        <v>120</v>
      </c>
      <c r="AA47" s="128"/>
      <c r="AB47" s="124" t="s">
        <v>117</v>
      </c>
      <c r="AC47" s="124" t="s">
        <v>120</v>
      </c>
      <c r="AD47" s="124" t="s">
        <v>1500</v>
      </c>
      <c r="AE47" s="124" t="s">
        <v>120</v>
      </c>
      <c r="AF47" s="128"/>
      <c r="AG47" s="124" t="s">
        <v>120</v>
      </c>
      <c r="AH47" s="128"/>
      <c r="AI47" s="124" t="s">
        <v>120</v>
      </c>
      <c r="AJ47" s="128"/>
      <c r="AK47" s="128"/>
      <c r="AL47" s="124" t="s">
        <v>124</v>
      </c>
      <c r="AM47" s="124" t="s">
        <v>156</v>
      </c>
      <c r="AN47" s="124" t="s">
        <v>242</v>
      </c>
      <c r="AO47" s="124" t="s">
        <v>216</v>
      </c>
      <c r="AP47" s="124"/>
    </row>
    <row r="48">
      <c r="A48" s="124" t="s">
        <v>2402</v>
      </c>
      <c r="B48" s="124" t="s">
        <v>2404</v>
      </c>
      <c r="C48" s="124" t="s">
        <v>2405</v>
      </c>
      <c r="D48" s="127">
        <v>40485.0</v>
      </c>
      <c r="E48" s="124" t="s">
        <v>177</v>
      </c>
      <c r="F48" s="124">
        <v>5.544968843E9</v>
      </c>
      <c r="G48" s="124" t="s">
        <v>2408</v>
      </c>
      <c r="H48" s="124" t="s">
        <v>101</v>
      </c>
      <c r="I48" s="128"/>
      <c r="J48" s="124" t="s">
        <v>2410</v>
      </c>
      <c r="K48" s="124" t="s">
        <v>750</v>
      </c>
      <c r="L48" s="124">
        <v>5.520717248E9</v>
      </c>
      <c r="M48" s="128"/>
      <c r="N48" s="128"/>
      <c r="O48" s="128"/>
      <c r="P48" s="129">
        <v>15.0</v>
      </c>
      <c r="Q48" s="130">
        <v>46040.75530092593</v>
      </c>
      <c r="R48" s="124" t="s">
        <v>107</v>
      </c>
      <c r="S48" s="124" t="s">
        <v>109</v>
      </c>
      <c r="T48" s="124" t="s">
        <v>192</v>
      </c>
      <c r="U48" s="124" t="s">
        <v>749</v>
      </c>
      <c r="V48" s="124" t="s">
        <v>750</v>
      </c>
      <c r="W48" s="124" t="s">
        <v>751</v>
      </c>
      <c r="X48" s="124" t="s">
        <v>120</v>
      </c>
      <c r="Y48" s="128"/>
      <c r="Z48" s="124" t="s">
        <v>120</v>
      </c>
      <c r="AA48" s="128"/>
      <c r="AB48" s="124" t="s">
        <v>120</v>
      </c>
      <c r="AC48" s="128"/>
      <c r="AD48" s="128"/>
      <c r="AE48" s="124" t="s">
        <v>120</v>
      </c>
      <c r="AF48" s="128"/>
      <c r="AG48" s="124" t="s">
        <v>120</v>
      </c>
      <c r="AH48" s="128"/>
      <c r="AI48" s="124" t="s">
        <v>120</v>
      </c>
      <c r="AJ48" s="128"/>
      <c r="AK48" s="128"/>
      <c r="AL48" s="124" t="s">
        <v>242</v>
      </c>
      <c r="AM48" s="124" t="s">
        <v>156</v>
      </c>
      <c r="AN48" s="124" t="s">
        <v>138</v>
      </c>
      <c r="AO48" s="124" t="s">
        <v>240</v>
      </c>
      <c r="AP48" s="124"/>
    </row>
    <row r="49">
      <c r="A49" s="124" t="s">
        <v>2420</v>
      </c>
      <c r="B49" s="124" t="s">
        <v>2421</v>
      </c>
      <c r="C49" s="124" t="s">
        <v>2422</v>
      </c>
      <c r="D49" s="127">
        <v>40717.0</v>
      </c>
      <c r="E49" s="124" t="s">
        <v>177</v>
      </c>
      <c r="F49" s="124" t="s">
        <v>2424</v>
      </c>
      <c r="G49" s="124" t="s">
        <v>2425</v>
      </c>
      <c r="H49" s="124" t="s">
        <v>101</v>
      </c>
      <c r="I49" s="128"/>
      <c r="J49" s="124" t="s">
        <v>2428</v>
      </c>
      <c r="K49" s="124" t="s">
        <v>2425</v>
      </c>
      <c r="L49" s="124" t="s">
        <v>2424</v>
      </c>
      <c r="M49" s="128"/>
      <c r="N49" s="128"/>
      <c r="O49" s="128"/>
      <c r="P49" s="129">
        <v>14.0</v>
      </c>
      <c r="Q49" s="130">
        <v>46034.7875</v>
      </c>
      <c r="R49" s="124" t="s">
        <v>107</v>
      </c>
      <c r="S49" s="124" t="s">
        <v>109</v>
      </c>
      <c r="T49" s="124" t="s">
        <v>204</v>
      </c>
      <c r="U49" s="124" t="s">
        <v>699</v>
      </c>
      <c r="V49" s="124" t="s">
        <v>700</v>
      </c>
      <c r="W49" s="124" t="s">
        <v>702</v>
      </c>
      <c r="X49" s="124" t="s">
        <v>120</v>
      </c>
      <c r="Y49" s="128"/>
      <c r="Z49" s="124" t="s">
        <v>120</v>
      </c>
      <c r="AA49" s="128"/>
      <c r="AB49" s="124" t="s">
        <v>120</v>
      </c>
      <c r="AC49" s="124" t="s">
        <v>120</v>
      </c>
      <c r="AD49" s="128"/>
      <c r="AE49" s="124" t="s">
        <v>120</v>
      </c>
      <c r="AF49" s="128"/>
      <c r="AG49" s="124" t="s">
        <v>120</v>
      </c>
      <c r="AH49" s="128"/>
      <c r="AI49" s="124" t="s">
        <v>120</v>
      </c>
      <c r="AJ49" s="128"/>
      <c r="AK49" s="124" t="s">
        <v>135</v>
      </c>
      <c r="AL49" s="124" t="s">
        <v>138</v>
      </c>
      <c r="AM49" s="124" t="s">
        <v>242</v>
      </c>
      <c r="AN49" s="124" t="s">
        <v>156</v>
      </c>
      <c r="AO49" s="124" t="s">
        <v>185</v>
      </c>
      <c r="AP49" s="124"/>
    </row>
    <row r="50">
      <c r="A50" s="124" t="s">
        <v>2442</v>
      </c>
      <c r="B50" s="124" t="s">
        <v>2443</v>
      </c>
      <c r="C50" s="124" t="s">
        <v>2444</v>
      </c>
      <c r="D50" s="127">
        <v>41018.0</v>
      </c>
      <c r="E50" s="124" t="s">
        <v>98</v>
      </c>
      <c r="F50" s="124">
        <v>5.5230539E9</v>
      </c>
      <c r="G50" s="124" t="s">
        <v>2446</v>
      </c>
      <c r="H50" s="124" t="s">
        <v>101</v>
      </c>
      <c r="I50" s="124" t="s">
        <v>135</v>
      </c>
      <c r="J50" s="124" t="s">
        <v>2447</v>
      </c>
      <c r="K50" s="124" t="s">
        <v>2449</v>
      </c>
      <c r="L50" s="124">
        <v>5.545761494E9</v>
      </c>
      <c r="M50" s="124" t="s">
        <v>2451</v>
      </c>
      <c r="N50" s="124" t="s">
        <v>2453</v>
      </c>
      <c r="O50" s="124">
        <v>5.5230539E9</v>
      </c>
      <c r="P50" s="129">
        <v>13.0</v>
      </c>
      <c r="Q50" s="130">
        <v>46021.80829861111</v>
      </c>
      <c r="R50" s="124" t="s">
        <v>107</v>
      </c>
      <c r="S50" s="124" t="s">
        <v>109</v>
      </c>
      <c r="T50" s="124" t="s">
        <v>127</v>
      </c>
      <c r="U50" s="124" t="s">
        <v>130</v>
      </c>
      <c r="V50" s="124" t="s">
        <v>131</v>
      </c>
      <c r="W50" s="124" t="s">
        <v>132</v>
      </c>
      <c r="X50" s="124" t="s">
        <v>120</v>
      </c>
      <c r="Y50" s="124" t="s">
        <v>135</v>
      </c>
      <c r="Z50" s="124" t="s">
        <v>120</v>
      </c>
      <c r="AA50" s="124" t="s">
        <v>135</v>
      </c>
      <c r="AB50" s="124" t="s">
        <v>120</v>
      </c>
      <c r="AC50" s="124" t="s">
        <v>120</v>
      </c>
      <c r="AD50" s="124" t="s">
        <v>135</v>
      </c>
      <c r="AE50" s="124" t="s">
        <v>120</v>
      </c>
      <c r="AF50" s="124" t="s">
        <v>134</v>
      </c>
      <c r="AG50" s="124" t="s">
        <v>120</v>
      </c>
      <c r="AH50" s="124" t="s">
        <v>135</v>
      </c>
      <c r="AI50" s="124" t="s">
        <v>120</v>
      </c>
      <c r="AJ50" s="124" t="s">
        <v>135</v>
      </c>
      <c r="AK50" s="124" t="s">
        <v>135</v>
      </c>
      <c r="AL50" s="124" t="s">
        <v>129</v>
      </c>
      <c r="AM50" s="124" t="s">
        <v>138</v>
      </c>
      <c r="AN50" s="124" t="s">
        <v>185</v>
      </c>
      <c r="AO50" s="124" t="s">
        <v>156</v>
      </c>
      <c r="AP50" s="124"/>
    </row>
    <row r="51">
      <c r="A51" s="124" t="s">
        <v>1487</v>
      </c>
      <c r="B51" s="124" t="s">
        <v>1489</v>
      </c>
      <c r="C51" s="124" t="s">
        <v>1491</v>
      </c>
      <c r="D51" s="127">
        <v>38030.0</v>
      </c>
      <c r="E51" s="124" t="s">
        <v>98</v>
      </c>
      <c r="F51" s="124">
        <v>5.614310353E9</v>
      </c>
      <c r="G51" s="124" t="s">
        <v>1496</v>
      </c>
      <c r="H51" s="124" t="s">
        <v>101</v>
      </c>
      <c r="I51" s="128"/>
      <c r="J51" s="124" t="s">
        <v>1497</v>
      </c>
      <c r="K51" s="124" t="s">
        <v>1498</v>
      </c>
      <c r="L51" s="124">
        <v>5.614591454E9</v>
      </c>
      <c r="M51" s="128"/>
      <c r="N51" s="128"/>
      <c r="O51" s="128"/>
      <c r="P51" s="129">
        <v>22.0</v>
      </c>
      <c r="Q51" s="130">
        <v>46040.98121527778</v>
      </c>
      <c r="R51" s="124" t="s">
        <v>231</v>
      </c>
      <c r="S51" s="124" t="s">
        <v>125</v>
      </c>
      <c r="T51" s="124" t="s">
        <v>111</v>
      </c>
      <c r="U51" s="124" t="s">
        <v>112</v>
      </c>
      <c r="V51" s="124" t="s">
        <v>114</v>
      </c>
      <c r="W51" s="124" t="s">
        <v>115</v>
      </c>
      <c r="X51" s="124" t="s">
        <v>120</v>
      </c>
      <c r="Y51" s="128"/>
      <c r="Z51" s="124" t="s">
        <v>120</v>
      </c>
      <c r="AA51" s="128"/>
      <c r="AB51" s="124" t="s">
        <v>120</v>
      </c>
      <c r="AC51" s="124" t="s">
        <v>117</v>
      </c>
      <c r="AD51" s="128"/>
      <c r="AE51" s="124" t="s">
        <v>120</v>
      </c>
      <c r="AF51" s="128"/>
      <c r="AG51" s="124" t="s">
        <v>120</v>
      </c>
      <c r="AH51" s="128"/>
      <c r="AI51" s="124" t="s">
        <v>120</v>
      </c>
      <c r="AJ51" s="128"/>
      <c r="AK51" s="128"/>
      <c r="AL51" s="124" t="s">
        <v>156</v>
      </c>
      <c r="AM51" s="124" t="s">
        <v>124</v>
      </c>
      <c r="AN51" s="124" t="s">
        <v>128</v>
      </c>
      <c r="AO51" s="124" t="s">
        <v>240</v>
      </c>
      <c r="AP51" s="124"/>
    </row>
    <row r="52">
      <c r="A52" s="124" t="s">
        <v>1802</v>
      </c>
      <c r="B52" s="124" t="s">
        <v>2465</v>
      </c>
      <c r="C52" s="128"/>
      <c r="D52" s="127">
        <v>40527.0</v>
      </c>
      <c r="E52" s="124" t="s">
        <v>177</v>
      </c>
      <c r="F52" s="124">
        <v>5.63981203E9</v>
      </c>
      <c r="G52" s="124" t="s">
        <v>789</v>
      </c>
      <c r="H52" s="124" t="s">
        <v>150</v>
      </c>
      <c r="I52" s="124" t="s">
        <v>696</v>
      </c>
      <c r="J52" s="124" t="s">
        <v>2472</v>
      </c>
      <c r="K52" s="124" t="s">
        <v>789</v>
      </c>
      <c r="L52" s="124">
        <v>5.513605958E9</v>
      </c>
      <c r="M52" s="128"/>
      <c r="N52" s="128"/>
      <c r="O52" s="128"/>
      <c r="P52" s="129">
        <v>15.0</v>
      </c>
      <c r="Q52" s="130">
        <v>46039.79269675926</v>
      </c>
      <c r="R52" s="124" t="s">
        <v>107</v>
      </c>
      <c r="S52" s="124" t="s">
        <v>109</v>
      </c>
      <c r="T52" s="124" t="s">
        <v>208</v>
      </c>
      <c r="U52" s="124" t="s">
        <v>788</v>
      </c>
      <c r="V52" s="124" t="s">
        <v>789</v>
      </c>
      <c r="W52" s="124" t="s">
        <v>790</v>
      </c>
      <c r="X52" s="124" t="s">
        <v>120</v>
      </c>
      <c r="Y52" s="128"/>
      <c r="Z52" s="124" t="s">
        <v>120</v>
      </c>
      <c r="AA52" s="128"/>
      <c r="AB52" s="124" t="s">
        <v>120</v>
      </c>
      <c r="AC52" s="124" t="s">
        <v>120</v>
      </c>
      <c r="AD52" s="128"/>
      <c r="AE52" s="124" t="s">
        <v>120</v>
      </c>
      <c r="AF52" s="128"/>
      <c r="AG52" s="124" t="s">
        <v>120</v>
      </c>
      <c r="AH52" s="128"/>
      <c r="AI52" s="124" t="s">
        <v>120</v>
      </c>
      <c r="AJ52" s="128"/>
      <c r="AK52" s="128"/>
      <c r="AL52" s="124" t="s">
        <v>141</v>
      </c>
      <c r="AM52" s="124" t="s">
        <v>126</v>
      </c>
      <c r="AN52" s="124" t="s">
        <v>156</v>
      </c>
      <c r="AO52" s="124" t="s">
        <v>129</v>
      </c>
      <c r="AP52" s="124"/>
    </row>
    <row r="53">
      <c r="A53" s="124" t="s">
        <v>157</v>
      </c>
      <c r="B53" s="124" t="s">
        <v>1892</v>
      </c>
      <c r="C53" s="124" t="s">
        <v>1894</v>
      </c>
      <c r="D53" s="127">
        <v>39977.0</v>
      </c>
      <c r="E53" s="124" t="s">
        <v>98</v>
      </c>
      <c r="F53" s="124">
        <v>5.527523262E9</v>
      </c>
      <c r="G53" s="124" t="s">
        <v>1897</v>
      </c>
      <c r="H53" s="124" t="s">
        <v>140</v>
      </c>
      <c r="I53" s="124" t="s">
        <v>1901</v>
      </c>
      <c r="J53" s="124" t="s">
        <v>1903</v>
      </c>
      <c r="K53" s="124" t="s">
        <v>1905</v>
      </c>
      <c r="L53" s="124">
        <v>5.617112794E9</v>
      </c>
      <c r="M53" s="128"/>
      <c r="N53" s="128"/>
      <c r="O53" s="128"/>
      <c r="P53" s="129">
        <v>16.0</v>
      </c>
      <c r="Q53" s="130">
        <v>46026.46068287037</v>
      </c>
      <c r="R53" s="124" t="s">
        <v>107</v>
      </c>
      <c r="S53" s="124" t="s">
        <v>109</v>
      </c>
      <c r="T53" s="124" t="s">
        <v>160</v>
      </c>
      <c r="U53" s="124" t="s">
        <v>279</v>
      </c>
      <c r="V53" s="124" t="s">
        <v>280</v>
      </c>
      <c r="W53" s="124" t="s">
        <v>282</v>
      </c>
      <c r="X53" s="124" t="s">
        <v>120</v>
      </c>
      <c r="Y53" s="128"/>
      <c r="Z53" s="124" t="s">
        <v>120</v>
      </c>
      <c r="AA53" s="128"/>
      <c r="AB53" s="124" t="s">
        <v>120</v>
      </c>
      <c r="AC53" s="128"/>
      <c r="AD53" s="128"/>
      <c r="AE53" s="124" t="s">
        <v>120</v>
      </c>
      <c r="AF53" s="128"/>
      <c r="AG53" s="124" t="s">
        <v>120</v>
      </c>
      <c r="AH53" s="128"/>
      <c r="AI53" s="124" t="s">
        <v>120</v>
      </c>
      <c r="AJ53" s="128"/>
      <c r="AK53" s="128"/>
      <c r="AL53" s="124" t="s">
        <v>242</v>
      </c>
      <c r="AM53" s="124" t="s">
        <v>129</v>
      </c>
      <c r="AN53" s="124" t="s">
        <v>138</v>
      </c>
      <c r="AO53" s="124" t="s">
        <v>128</v>
      </c>
      <c r="AP53" s="124"/>
    </row>
    <row r="54">
      <c r="A54" s="124" t="s">
        <v>2485</v>
      </c>
      <c r="B54" s="124" t="s">
        <v>2394</v>
      </c>
      <c r="C54" s="124" t="s">
        <v>2487</v>
      </c>
      <c r="D54" s="127">
        <v>39637.0</v>
      </c>
      <c r="E54" s="124" t="s">
        <v>98</v>
      </c>
      <c r="F54" s="124">
        <v>5.524122099E9</v>
      </c>
      <c r="G54" s="124" t="s">
        <v>2489</v>
      </c>
      <c r="H54" s="124" t="s">
        <v>150</v>
      </c>
      <c r="I54" s="128"/>
      <c r="J54" s="124" t="s">
        <v>2490</v>
      </c>
      <c r="K54" s="124" t="s">
        <v>2401</v>
      </c>
      <c r="L54" s="124">
        <v>5.51190073E9</v>
      </c>
      <c r="M54" s="124" t="s">
        <v>2491</v>
      </c>
      <c r="N54" s="124" t="s">
        <v>2399</v>
      </c>
      <c r="O54" s="124">
        <v>5.522060036E9</v>
      </c>
      <c r="P54" s="129">
        <v>17.0</v>
      </c>
      <c r="Q54" s="130">
        <v>46023.48506944445</v>
      </c>
      <c r="R54" s="124" t="s">
        <v>107</v>
      </c>
      <c r="S54" s="124" t="s">
        <v>109</v>
      </c>
      <c r="T54" s="124" t="s">
        <v>111</v>
      </c>
      <c r="U54" s="124" t="s">
        <v>398</v>
      </c>
      <c r="V54" s="124" t="s">
        <v>399</v>
      </c>
      <c r="W54" s="124" t="s">
        <v>400</v>
      </c>
      <c r="X54" s="124" t="s">
        <v>120</v>
      </c>
      <c r="Y54" s="128"/>
      <c r="Z54" s="124" t="s">
        <v>117</v>
      </c>
      <c r="AA54" s="124" t="s">
        <v>285</v>
      </c>
      <c r="AB54" s="124" t="s">
        <v>120</v>
      </c>
      <c r="AC54" s="128"/>
      <c r="AD54" s="128"/>
      <c r="AE54" s="124" t="s">
        <v>120</v>
      </c>
      <c r="AF54" s="128"/>
      <c r="AG54" s="124" t="s">
        <v>120</v>
      </c>
      <c r="AH54" s="128"/>
      <c r="AI54" s="124" t="s">
        <v>117</v>
      </c>
      <c r="AJ54" s="124" t="s">
        <v>2497</v>
      </c>
      <c r="AK54" s="128"/>
      <c r="AL54" s="124" t="s">
        <v>138</v>
      </c>
      <c r="AM54" s="124" t="s">
        <v>185</v>
      </c>
      <c r="AN54" s="124" t="s">
        <v>216</v>
      </c>
      <c r="AO54" s="124" t="s">
        <v>126</v>
      </c>
      <c r="AP54" s="124"/>
    </row>
    <row r="55">
      <c r="A55" s="124" t="s">
        <v>2919</v>
      </c>
      <c r="B55" s="124" t="s">
        <v>2920</v>
      </c>
      <c r="C55" s="124" t="s">
        <v>2921</v>
      </c>
      <c r="D55" s="127">
        <v>36938.0</v>
      </c>
      <c r="E55" s="124" t="s">
        <v>177</v>
      </c>
      <c r="F55" s="124">
        <v>5.661297047E9</v>
      </c>
      <c r="G55" s="124" t="s">
        <v>2922</v>
      </c>
      <c r="H55" s="124" t="s">
        <v>150</v>
      </c>
      <c r="I55" s="128"/>
      <c r="J55" s="124" t="s">
        <v>2923</v>
      </c>
      <c r="K55" s="124" t="s">
        <v>2924</v>
      </c>
      <c r="L55" s="124">
        <v>5.649161588E9</v>
      </c>
      <c r="M55" s="128"/>
      <c r="N55" s="128"/>
      <c r="O55" s="128"/>
      <c r="P55" s="129">
        <v>25.0</v>
      </c>
      <c r="Q55" s="130">
        <v>46033.49045138889</v>
      </c>
      <c r="R55" s="124" t="s">
        <v>107</v>
      </c>
      <c r="S55" s="124" t="s">
        <v>125</v>
      </c>
      <c r="T55" s="124" t="s">
        <v>192</v>
      </c>
      <c r="U55" s="124" t="s">
        <v>609</v>
      </c>
      <c r="V55" s="124" t="s">
        <v>611</v>
      </c>
      <c r="W55" s="124" t="s">
        <v>612</v>
      </c>
      <c r="X55" s="124" t="s">
        <v>120</v>
      </c>
      <c r="Y55" s="128"/>
      <c r="Z55" s="124" t="s">
        <v>117</v>
      </c>
      <c r="AA55" s="124" t="s">
        <v>2925</v>
      </c>
      <c r="AB55" s="124" t="s">
        <v>117</v>
      </c>
      <c r="AC55" s="124" t="s">
        <v>117</v>
      </c>
      <c r="AD55" s="124" t="s">
        <v>2926</v>
      </c>
      <c r="AE55" s="124" t="s">
        <v>120</v>
      </c>
      <c r="AF55" s="128"/>
      <c r="AG55" s="124" t="s">
        <v>120</v>
      </c>
      <c r="AH55" s="128"/>
      <c r="AI55" s="124" t="s">
        <v>120</v>
      </c>
      <c r="AJ55" s="128"/>
      <c r="AK55" s="128"/>
      <c r="AL55" s="124" t="s">
        <v>156</v>
      </c>
      <c r="AM55" s="124" t="s">
        <v>138</v>
      </c>
      <c r="AN55" s="124" t="s">
        <v>141</v>
      </c>
      <c r="AO55" s="124" t="s">
        <v>126</v>
      </c>
      <c r="AP55" s="124"/>
    </row>
    <row r="56">
      <c r="A56" s="124" t="s">
        <v>1285</v>
      </c>
      <c r="B56" s="124" t="s">
        <v>1286</v>
      </c>
      <c r="C56" s="124" t="s">
        <v>1287</v>
      </c>
      <c r="D56" s="127">
        <v>39963.0</v>
      </c>
      <c r="E56" s="124" t="s">
        <v>98</v>
      </c>
      <c r="F56" s="124">
        <v>5.517126623E9</v>
      </c>
      <c r="G56" s="124" t="s">
        <v>1290</v>
      </c>
      <c r="H56" s="124" t="s">
        <v>140</v>
      </c>
      <c r="I56" s="128"/>
      <c r="J56" s="124" t="s">
        <v>1292</v>
      </c>
      <c r="K56" s="124" t="s">
        <v>1294</v>
      </c>
      <c r="L56" s="124">
        <v>0.0</v>
      </c>
      <c r="M56" s="124" t="s">
        <v>1297</v>
      </c>
      <c r="N56" s="124" t="s">
        <v>1298</v>
      </c>
      <c r="O56" s="124">
        <v>5.548772614E9</v>
      </c>
      <c r="P56" s="129">
        <v>16.0</v>
      </c>
      <c r="Q56" s="130">
        <v>46035.62359953704</v>
      </c>
      <c r="R56" s="124" t="s">
        <v>107</v>
      </c>
      <c r="S56" s="124" t="s">
        <v>109</v>
      </c>
      <c r="T56" s="124" t="s">
        <v>192</v>
      </c>
      <c r="U56" s="124" t="s">
        <v>485</v>
      </c>
      <c r="V56" s="124" t="s">
        <v>486</v>
      </c>
      <c r="W56" s="124" t="s">
        <v>487</v>
      </c>
      <c r="X56" s="124" t="s">
        <v>120</v>
      </c>
      <c r="Y56" s="128"/>
      <c r="Z56" s="124" t="s">
        <v>120</v>
      </c>
      <c r="AA56" s="128"/>
      <c r="AB56" s="124" t="s">
        <v>117</v>
      </c>
      <c r="AC56" s="124" t="s">
        <v>117</v>
      </c>
      <c r="AD56" s="124" t="s">
        <v>2516</v>
      </c>
      <c r="AE56" s="124" t="s">
        <v>117</v>
      </c>
      <c r="AF56" s="124" t="s">
        <v>1309</v>
      </c>
      <c r="AG56" s="124" t="s">
        <v>120</v>
      </c>
      <c r="AH56" s="124" t="s">
        <v>1311</v>
      </c>
      <c r="AI56" s="124" t="s">
        <v>120</v>
      </c>
      <c r="AJ56" s="128"/>
      <c r="AK56" s="124" t="s">
        <v>1311</v>
      </c>
      <c r="AL56" s="124" t="s">
        <v>185</v>
      </c>
      <c r="AM56" s="124" t="s">
        <v>129</v>
      </c>
      <c r="AN56" s="124" t="s">
        <v>216</v>
      </c>
      <c r="AO56" s="124" t="s">
        <v>124</v>
      </c>
      <c r="AP56" s="124"/>
    </row>
    <row r="57">
      <c r="A57" s="124" t="s">
        <v>2520</v>
      </c>
      <c r="B57" s="124" t="s">
        <v>2253</v>
      </c>
      <c r="C57" s="124" t="s">
        <v>2521</v>
      </c>
      <c r="D57" s="127">
        <v>41080.0</v>
      </c>
      <c r="E57" s="124" t="s">
        <v>98</v>
      </c>
      <c r="F57" s="124">
        <v>5.626550003E9</v>
      </c>
      <c r="G57" s="124" t="s">
        <v>2523</v>
      </c>
      <c r="H57" s="124" t="s">
        <v>140</v>
      </c>
      <c r="I57" s="128"/>
      <c r="J57" s="124" t="s">
        <v>2258</v>
      </c>
      <c r="K57" s="124" t="s">
        <v>2259</v>
      </c>
      <c r="L57" s="124">
        <v>5.516457551E9</v>
      </c>
      <c r="M57" s="124" t="s">
        <v>2261</v>
      </c>
      <c r="N57" s="124" t="s">
        <v>2262</v>
      </c>
      <c r="O57" s="124">
        <v>5.52686809E9</v>
      </c>
      <c r="P57" s="129">
        <v>13.0</v>
      </c>
      <c r="Q57" s="130">
        <v>46019.790625</v>
      </c>
      <c r="R57" s="124" t="s">
        <v>107</v>
      </c>
      <c r="S57" s="124" t="s">
        <v>109</v>
      </c>
      <c r="T57" s="124" t="s">
        <v>171</v>
      </c>
      <c r="U57" s="124" t="s">
        <v>388</v>
      </c>
      <c r="V57" s="124" t="s">
        <v>389</v>
      </c>
      <c r="W57" s="124" t="s">
        <v>392</v>
      </c>
      <c r="X57" s="124" t="s">
        <v>120</v>
      </c>
      <c r="Y57" s="128"/>
      <c r="Z57" s="124" t="s">
        <v>120</v>
      </c>
      <c r="AA57" s="128"/>
      <c r="AB57" s="124" t="s">
        <v>120</v>
      </c>
      <c r="AC57" s="128"/>
      <c r="AD57" s="128"/>
      <c r="AE57" s="124" t="s">
        <v>120</v>
      </c>
      <c r="AF57" s="128"/>
      <c r="AG57" s="124" t="s">
        <v>120</v>
      </c>
      <c r="AH57" s="128"/>
      <c r="AI57" s="124" t="s">
        <v>120</v>
      </c>
      <c r="AJ57" s="128"/>
      <c r="AK57" s="128"/>
      <c r="AL57" s="124" t="s">
        <v>156</v>
      </c>
      <c r="AM57" s="124" t="s">
        <v>216</v>
      </c>
      <c r="AN57" s="124" t="s">
        <v>128</v>
      </c>
      <c r="AO57" s="124" t="s">
        <v>138</v>
      </c>
      <c r="AP57" s="124"/>
    </row>
    <row r="58">
      <c r="A58" s="124" t="s">
        <v>2539</v>
      </c>
      <c r="B58" s="124" t="s">
        <v>2542</v>
      </c>
      <c r="C58" s="124" t="s">
        <v>2543</v>
      </c>
      <c r="D58" s="127">
        <v>39893.0</v>
      </c>
      <c r="E58" s="124" t="s">
        <v>177</v>
      </c>
      <c r="F58" s="124">
        <v>5.510935196E9</v>
      </c>
      <c r="G58" s="124" t="s">
        <v>2545</v>
      </c>
      <c r="H58" s="124" t="s">
        <v>101</v>
      </c>
      <c r="I58" s="124" t="s">
        <v>135</v>
      </c>
      <c r="J58" s="124" t="s">
        <v>2551</v>
      </c>
      <c r="K58" s="124" t="s">
        <v>2553</v>
      </c>
      <c r="L58" s="124">
        <v>5.538108561E9</v>
      </c>
      <c r="M58" s="128"/>
      <c r="N58" s="128"/>
      <c r="O58" s="128"/>
      <c r="P58" s="129">
        <v>16.0</v>
      </c>
      <c r="Q58" s="130">
        <v>46033.78953703704</v>
      </c>
      <c r="R58" s="124" t="s">
        <v>107</v>
      </c>
      <c r="S58" s="124" t="s">
        <v>109</v>
      </c>
      <c r="T58" s="124" t="s">
        <v>160</v>
      </c>
      <c r="U58" s="124" t="s">
        <v>279</v>
      </c>
      <c r="V58" s="124" t="s">
        <v>280</v>
      </c>
      <c r="W58" s="124" t="s">
        <v>282</v>
      </c>
      <c r="X58" s="124" t="s">
        <v>120</v>
      </c>
      <c r="Y58" s="128"/>
      <c r="Z58" s="124" t="s">
        <v>120</v>
      </c>
      <c r="AA58" s="128"/>
      <c r="AB58" s="124" t="s">
        <v>120</v>
      </c>
      <c r="AC58" s="124" t="s">
        <v>120</v>
      </c>
      <c r="AD58" s="128"/>
      <c r="AE58" s="124" t="s">
        <v>120</v>
      </c>
      <c r="AF58" s="128"/>
      <c r="AG58" s="124" t="s">
        <v>120</v>
      </c>
      <c r="AH58" s="128"/>
      <c r="AI58" s="124" t="s">
        <v>120</v>
      </c>
      <c r="AJ58" s="128"/>
      <c r="AK58" s="128"/>
      <c r="AL58" s="124" t="s">
        <v>141</v>
      </c>
      <c r="AM58" s="124" t="s">
        <v>126</v>
      </c>
      <c r="AN58" s="124" t="s">
        <v>124</v>
      </c>
      <c r="AO58" s="124" t="s">
        <v>216</v>
      </c>
      <c r="AP58" s="124"/>
    </row>
    <row r="59">
      <c r="A59" s="124" t="s">
        <v>2573</v>
      </c>
      <c r="B59" s="124" t="s">
        <v>2575</v>
      </c>
      <c r="C59" s="124" t="s">
        <v>2576</v>
      </c>
      <c r="D59" s="127">
        <v>39581.0</v>
      </c>
      <c r="E59" s="124" t="s">
        <v>98</v>
      </c>
      <c r="F59" s="124">
        <v>5.538078668E9</v>
      </c>
      <c r="G59" s="124" t="s">
        <v>2577</v>
      </c>
      <c r="H59" s="124" t="s">
        <v>101</v>
      </c>
      <c r="I59" s="128"/>
      <c r="J59" s="124" t="s">
        <v>2578</v>
      </c>
      <c r="K59" s="124" t="s">
        <v>2580</v>
      </c>
      <c r="L59" s="124">
        <v>5.540421512E9</v>
      </c>
      <c r="M59" s="124" t="s">
        <v>2585</v>
      </c>
      <c r="N59" s="124" t="s">
        <v>2586</v>
      </c>
      <c r="O59" s="124">
        <v>5.51263198E9</v>
      </c>
      <c r="P59" s="129">
        <v>17.0</v>
      </c>
      <c r="Q59" s="130">
        <v>46031.53086805555</v>
      </c>
      <c r="R59" s="124" t="s">
        <v>107</v>
      </c>
      <c r="S59" s="124" t="s">
        <v>109</v>
      </c>
      <c r="T59" s="124" t="s">
        <v>127</v>
      </c>
      <c r="U59" s="124" t="s">
        <v>234</v>
      </c>
      <c r="V59" s="124" t="s">
        <v>227</v>
      </c>
      <c r="W59" s="124" t="s">
        <v>236</v>
      </c>
      <c r="X59" s="124" t="s">
        <v>120</v>
      </c>
      <c r="Y59" s="128"/>
      <c r="Z59" s="124" t="s">
        <v>120</v>
      </c>
      <c r="AA59" s="128"/>
      <c r="AB59" s="124" t="s">
        <v>120</v>
      </c>
      <c r="AC59" s="128"/>
      <c r="AD59" s="128"/>
      <c r="AE59" s="124" t="s">
        <v>120</v>
      </c>
      <c r="AF59" s="128"/>
      <c r="AG59" s="124" t="s">
        <v>120</v>
      </c>
      <c r="AH59" s="128"/>
      <c r="AI59" s="124" t="s">
        <v>120</v>
      </c>
      <c r="AJ59" s="128"/>
      <c r="AK59" s="128"/>
      <c r="AL59" s="124" t="s">
        <v>126</v>
      </c>
      <c r="AM59" s="124" t="s">
        <v>185</v>
      </c>
      <c r="AN59" s="124" t="s">
        <v>141</v>
      </c>
      <c r="AO59" s="124" t="s">
        <v>124</v>
      </c>
      <c r="AP59" s="124"/>
    </row>
    <row r="60">
      <c r="A60" s="124" t="s">
        <v>2593</v>
      </c>
      <c r="B60" s="124" t="s">
        <v>2594</v>
      </c>
      <c r="C60" s="124" t="s">
        <v>2595</v>
      </c>
      <c r="D60" s="127">
        <v>40538.0</v>
      </c>
      <c r="E60" s="124" t="s">
        <v>177</v>
      </c>
      <c r="F60" s="124" t="s">
        <v>2596</v>
      </c>
      <c r="G60" s="124" t="s">
        <v>2597</v>
      </c>
      <c r="H60" s="124" t="s">
        <v>101</v>
      </c>
      <c r="I60" s="124" t="s">
        <v>2397</v>
      </c>
      <c r="J60" s="124" t="s">
        <v>2598</v>
      </c>
      <c r="K60" s="124" t="s">
        <v>2599</v>
      </c>
      <c r="L60" s="124">
        <v>5.52339068E9</v>
      </c>
      <c r="M60" s="128"/>
      <c r="N60" s="128"/>
      <c r="O60" s="128"/>
      <c r="P60" s="129">
        <v>15.0</v>
      </c>
      <c r="Q60" s="130">
        <v>46036.95107638889</v>
      </c>
      <c r="R60" s="124" t="s">
        <v>107</v>
      </c>
      <c r="S60" s="124" t="s">
        <v>109</v>
      </c>
      <c r="T60" s="124" t="s">
        <v>127</v>
      </c>
      <c r="U60" s="124" t="s">
        <v>234</v>
      </c>
      <c r="V60" s="124" t="s">
        <v>227</v>
      </c>
      <c r="W60" s="124" t="s">
        <v>236</v>
      </c>
      <c r="X60" s="124" t="s">
        <v>120</v>
      </c>
      <c r="Y60" s="128"/>
      <c r="Z60" s="124" t="s">
        <v>120</v>
      </c>
      <c r="AA60" s="128"/>
      <c r="AB60" s="124" t="s">
        <v>120</v>
      </c>
      <c r="AC60" s="128"/>
      <c r="AD60" s="128"/>
      <c r="AE60" s="124" t="s">
        <v>120</v>
      </c>
      <c r="AF60" s="128"/>
      <c r="AG60" s="124" t="s">
        <v>120</v>
      </c>
      <c r="AH60" s="128"/>
      <c r="AI60" s="124" t="s">
        <v>120</v>
      </c>
      <c r="AJ60" s="128"/>
      <c r="AK60" s="128"/>
      <c r="AL60" s="124" t="s">
        <v>216</v>
      </c>
      <c r="AM60" s="124" t="s">
        <v>141</v>
      </c>
      <c r="AN60" s="124" t="s">
        <v>185</v>
      </c>
      <c r="AO60" s="124" t="s">
        <v>124</v>
      </c>
      <c r="AP60" s="124"/>
    </row>
    <row r="61">
      <c r="A61" s="124" t="s">
        <v>2605</v>
      </c>
      <c r="B61" s="124" t="s">
        <v>2606</v>
      </c>
      <c r="C61" s="128"/>
      <c r="D61" s="127">
        <v>40923.0</v>
      </c>
      <c r="E61" s="124" t="s">
        <v>177</v>
      </c>
      <c r="F61" s="124">
        <v>5.542410554E9</v>
      </c>
      <c r="G61" s="124" t="s">
        <v>1600</v>
      </c>
      <c r="H61" s="124" t="s">
        <v>382</v>
      </c>
      <c r="I61" s="128"/>
      <c r="J61" s="124" t="s">
        <v>2607</v>
      </c>
      <c r="K61" s="124" t="s">
        <v>1600</v>
      </c>
      <c r="L61" s="124">
        <v>5.633625614E9</v>
      </c>
      <c r="M61" s="128"/>
      <c r="N61" s="128"/>
      <c r="O61" s="128"/>
      <c r="P61" s="129">
        <v>14.0</v>
      </c>
      <c r="Q61" s="130">
        <v>46039.66328703704</v>
      </c>
      <c r="R61" s="124" t="s">
        <v>107</v>
      </c>
      <c r="S61" s="124" t="s">
        <v>109</v>
      </c>
      <c r="T61" s="124" t="s">
        <v>208</v>
      </c>
      <c r="U61" s="124" t="s">
        <v>1599</v>
      </c>
      <c r="V61" s="124" t="s">
        <v>1600</v>
      </c>
      <c r="W61" s="124" t="s">
        <v>1602</v>
      </c>
      <c r="X61" s="124" t="s">
        <v>120</v>
      </c>
      <c r="Y61" s="128"/>
      <c r="Z61" s="124" t="s">
        <v>120</v>
      </c>
      <c r="AA61" s="128"/>
      <c r="AB61" s="124" t="s">
        <v>120</v>
      </c>
      <c r="AC61" s="124" t="s">
        <v>120</v>
      </c>
      <c r="AD61" s="128"/>
      <c r="AE61" s="124" t="s">
        <v>120</v>
      </c>
      <c r="AF61" s="128"/>
      <c r="AG61" s="124" t="s">
        <v>120</v>
      </c>
      <c r="AH61" s="128"/>
      <c r="AI61" s="124" t="s">
        <v>120</v>
      </c>
      <c r="AJ61" s="128"/>
      <c r="AK61" s="128"/>
      <c r="AL61" s="124" t="s">
        <v>156</v>
      </c>
      <c r="AM61" s="124" t="s">
        <v>185</v>
      </c>
      <c r="AN61" s="124" t="s">
        <v>124</v>
      </c>
      <c r="AO61" s="124" t="s">
        <v>240</v>
      </c>
      <c r="AP61" s="124"/>
    </row>
    <row r="62">
      <c r="A62" s="124" t="s">
        <v>2620</v>
      </c>
      <c r="B62" s="124" t="s">
        <v>2621</v>
      </c>
      <c r="C62" s="124" t="s">
        <v>2623</v>
      </c>
      <c r="D62" s="127">
        <v>39492.0</v>
      </c>
      <c r="E62" s="124" t="s">
        <v>177</v>
      </c>
      <c r="F62" s="124">
        <v>5.514843371E9</v>
      </c>
      <c r="G62" s="124" t="s">
        <v>2626</v>
      </c>
      <c r="H62" s="124" t="s">
        <v>150</v>
      </c>
      <c r="I62" s="128"/>
      <c r="J62" s="124" t="s">
        <v>2631</v>
      </c>
      <c r="K62" s="124" t="s">
        <v>2632</v>
      </c>
      <c r="L62" s="124">
        <v>5.53569494E9</v>
      </c>
      <c r="M62" s="128"/>
      <c r="N62" s="128"/>
      <c r="O62" s="128"/>
      <c r="P62" s="129">
        <v>18.0</v>
      </c>
      <c r="Q62" s="130">
        <v>46022.65048611111</v>
      </c>
      <c r="R62" s="124" t="s">
        <v>107</v>
      </c>
      <c r="S62" s="124" t="s">
        <v>109</v>
      </c>
      <c r="T62" s="124" t="s">
        <v>111</v>
      </c>
      <c r="U62" s="124" t="s">
        <v>112</v>
      </c>
      <c r="V62" s="124" t="s">
        <v>114</v>
      </c>
      <c r="W62" s="124" t="s">
        <v>115</v>
      </c>
      <c r="X62" s="124" t="s">
        <v>120</v>
      </c>
      <c r="Y62" s="128"/>
      <c r="Z62" s="124" t="s">
        <v>120</v>
      </c>
      <c r="AA62" s="128"/>
      <c r="AB62" s="124" t="s">
        <v>120</v>
      </c>
      <c r="AC62" s="128"/>
      <c r="AD62" s="128"/>
      <c r="AE62" s="124" t="s">
        <v>120</v>
      </c>
      <c r="AF62" s="128"/>
      <c r="AG62" s="124" t="s">
        <v>120</v>
      </c>
      <c r="AH62" s="128"/>
      <c r="AI62" s="124" t="s">
        <v>120</v>
      </c>
      <c r="AJ62" s="128"/>
      <c r="AK62" s="128"/>
      <c r="AL62" s="124" t="s">
        <v>138</v>
      </c>
      <c r="AM62" s="124" t="s">
        <v>128</v>
      </c>
      <c r="AN62" s="124" t="s">
        <v>156</v>
      </c>
      <c r="AO62" s="124" t="s">
        <v>216</v>
      </c>
      <c r="AP62" s="124"/>
    </row>
    <row r="63">
      <c r="A63" s="124" t="s">
        <v>2367</v>
      </c>
      <c r="B63" s="124" t="s">
        <v>2638</v>
      </c>
      <c r="C63" s="124" t="s">
        <v>2640</v>
      </c>
      <c r="D63" s="127">
        <v>39947.0</v>
      </c>
      <c r="E63" s="124" t="s">
        <v>177</v>
      </c>
      <c r="F63" s="124">
        <v>5.532162021E9</v>
      </c>
      <c r="G63" s="124" t="s">
        <v>2645</v>
      </c>
      <c r="H63" s="124" t="s">
        <v>101</v>
      </c>
      <c r="I63" s="128"/>
      <c r="J63" s="124" t="s">
        <v>2647</v>
      </c>
      <c r="K63" s="124" t="s">
        <v>2645</v>
      </c>
      <c r="L63" s="124">
        <v>5.532866221E9</v>
      </c>
      <c r="M63" s="124" t="s">
        <v>2649</v>
      </c>
      <c r="N63" s="124" t="s">
        <v>2651</v>
      </c>
      <c r="O63" s="124">
        <v>5.515218788E9</v>
      </c>
      <c r="P63" s="129">
        <v>16.0</v>
      </c>
      <c r="Q63" s="130">
        <v>46039.722766203704</v>
      </c>
      <c r="R63" s="124" t="s">
        <v>107</v>
      </c>
      <c r="S63" s="124" t="s">
        <v>109</v>
      </c>
      <c r="T63" s="124" t="s">
        <v>111</v>
      </c>
      <c r="U63" s="124" t="s">
        <v>2283</v>
      </c>
      <c r="V63" s="124" t="s">
        <v>2285</v>
      </c>
      <c r="W63" s="124" t="s">
        <v>2286</v>
      </c>
      <c r="X63" s="124" t="s">
        <v>120</v>
      </c>
      <c r="Y63" s="128"/>
      <c r="Z63" s="124" t="s">
        <v>120</v>
      </c>
      <c r="AA63" s="128"/>
      <c r="AB63" s="124" t="s">
        <v>120</v>
      </c>
      <c r="AC63" s="128"/>
      <c r="AD63" s="128"/>
      <c r="AE63" s="124" t="s">
        <v>120</v>
      </c>
      <c r="AF63" s="128"/>
      <c r="AG63" s="124" t="s">
        <v>120</v>
      </c>
      <c r="AH63" s="128"/>
      <c r="AI63" s="124" t="s">
        <v>120</v>
      </c>
      <c r="AJ63" s="128"/>
      <c r="AK63" s="128"/>
      <c r="AL63" s="124" t="s">
        <v>129</v>
      </c>
      <c r="AM63" s="124" t="s">
        <v>138</v>
      </c>
      <c r="AN63" s="124" t="s">
        <v>124</v>
      </c>
      <c r="AO63" s="124" t="s">
        <v>240</v>
      </c>
      <c r="AP63" s="124"/>
    </row>
    <row r="64">
      <c r="A64" s="124" t="s">
        <v>2271</v>
      </c>
      <c r="B64" s="124" t="s">
        <v>2657</v>
      </c>
      <c r="C64" s="128"/>
      <c r="D64" s="127">
        <v>41260.0</v>
      </c>
      <c r="E64" s="124" t="s">
        <v>177</v>
      </c>
      <c r="F64" s="124">
        <v>5.510074937E9</v>
      </c>
      <c r="G64" s="124" t="s">
        <v>2662</v>
      </c>
      <c r="H64" s="124" t="s">
        <v>101</v>
      </c>
      <c r="I64" s="128"/>
      <c r="J64" s="124" t="s">
        <v>2664</v>
      </c>
      <c r="K64" s="124" t="s">
        <v>2666</v>
      </c>
      <c r="L64" s="124">
        <v>5.540934708E9</v>
      </c>
      <c r="M64" s="128"/>
      <c r="N64" s="128"/>
      <c r="O64" s="128"/>
      <c r="P64" s="129">
        <v>13.0</v>
      </c>
      <c r="Q64" s="130">
        <v>46034.88416666666</v>
      </c>
      <c r="R64" s="124" t="s">
        <v>107</v>
      </c>
      <c r="S64" s="124" t="s">
        <v>109</v>
      </c>
      <c r="T64" s="124" t="s">
        <v>171</v>
      </c>
      <c r="U64" s="124" t="s">
        <v>262</v>
      </c>
      <c r="V64" s="124" t="s">
        <v>263</v>
      </c>
      <c r="W64" s="124" t="s">
        <v>264</v>
      </c>
      <c r="X64" s="124" t="s">
        <v>120</v>
      </c>
      <c r="Y64" s="128"/>
      <c r="Z64" s="124" t="s">
        <v>120</v>
      </c>
      <c r="AA64" s="128"/>
      <c r="AB64" s="124" t="s">
        <v>120</v>
      </c>
      <c r="AC64" s="124" t="s">
        <v>120</v>
      </c>
      <c r="AD64" s="128"/>
      <c r="AE64" s="124" t="s">
        <v>120</v>
      </c>
      <c r="AF64" s="128"/>
      <c r="AG64" s="124" t="s">
        <v>120</v>
      </c>
      <c r="AH64" s="128"/>
      <c r="AI64" s="124" t="s">
        <v>117</v>
      </c>
      <c r="AJ64" s="128"/>
      <c r="AK64" s="128"/>
      <c r="AL64" s="124" t="s">
        <v>141</v>
      </c>
      <c r="AM64" s="124" t="s">
        <v>242</v>
      </c>
      <c r="AN64" s="124" t="s">
        <v>126</v>
      </c>
      <c r="AO64" s="124" t="s">
        <v>185</v>
      </c>
      <c r="AP64" s="124"/>
    </row>
    <row r="65">
      <c r="A65" s="124" t="s">
        <v>1505</v>
      </c>
      <c r="B65" s="124" t="s">
        <v>1507</v>
      </c>
      <c r="C65" s="124" t="s">
        <v>1508</v>
      </c>
      <c r="D65" s="127">
        <v>38300.0</v>
      </c>
      <c r="E65" s="124" t="s">
        <v>98</v>
      </c>
      <c r="F65" s="124">
        <v>5.571496431E9</v>
      </c>
      <c r="G65" s="124" t="s">
        <v>1509</v>
      </c>
      <c r="H65" s="124" t="s">
        <v>101</v>
      </c>
      <c r="I65" s="128"/>
      <c r="J65" s="124" t="s">
        <v>1511</v>
      </c>
      <c r="K65" s="124" t="s">
        <v>1512</v>
      </c>
      <c r="L65" s="128">
        <f>+525611656899</f>
        <v>525611656899</v>
      </c>
      <c r="M65" s="128"/>
      <c r="N65" s="128"/>
      <c r="O65" s="128"/>
      <c r="P65" s="129">
        <v>21.0</v>
      </c>
      <c r="Q65" s="130">
        <v>46033.51320601852</v>
      </c>
      <c r="R65" s="124" t="s">
        <v>107</v>
      </c>
      <c r="S65" s="124" t="s">
        <v>125</v>
      </c>
      <c r="T65" s="124" t="s">
        <v>160</v>
      </c>
      <c r="U65" s="124" t="s">
        <v>161</v>
      </c>
      <c r="V65" s="124" t="s">
        <v>163</v>
      </c>
      <c r="W65" s="124" t="s">
        <v>165</v>
      </c>
      <c r="X65" s="124" t="s">
        <v>120</v>
      </c>
      <c r="Y65" s="124" t="s">
        <v>135</v>
      </c>
      <c r="Z65" s="124" t="s">
        <v>117</v>
      </c>
      <c r="AA65" s="124" t="s">
        <v>1525</v>
      </c>
      <c r="AB65" s="124" t="s">
        <v>120</v>
      </c>
      <c r="AC65" s="124" t="s">
        <v>120</v>
      </c>
      <c r="AD65" s="128"/>
      <c r="AE65" s="124" t="s">
        <v>120</v>
      </c>
      <c r="AF65" s="128"/>
      <c r="AG65" s="124" t="s">
        <v>120</v>
      </c>
      <c r="AH65" s="128"/>
      <c r="AI65" s="124" t="s">
        <v>120</v>
      </c>
      <c r="AJ65" s="128"/>
      <c r="AK65" s="128"/>
      <c r="AL65" s="124" t="s">
        <v>141</v>
      </c>
      <c r="AM65" s="124" t="s">
        <v>242</v>
      </c>
      <c r="AN65" s="124" t="s">
        <v>156</v>
      </c>
      <c r="AO65" s="124" t="s">
        <v>185</v>
      </c>
      <c r="AP65" s="124"/>
    </row>
    <row r="66">
      <c r="A66" s="124" t="s">
        <v>1533</v>
      </c>
      <c r="B66" s="124" t="s">
        <v>1534</v>
      </c>
      <c r="C66" s="124" t="s">
        <v>1535</v>
      </c>
      <c r="D66" s="127">
        <v>34562.0</v>
      </c>
      <c r="E66" s="124" t="s">
        <v>98</v>
      </c>
      <c r="F66" s="124">
        <v>5.643141541E9</v>
      </c>
      <c r="G66" s="124" t="s">
        <v>1536</v>
      </c>
      <c r="H66" s="124" t="s">
        <v>101</v>
      </c>
      <c r="I66" s="124" t="s">
        <v>1537</v>
      </c>
      <c r="J66" s="124" t="s">
        <v>1538</v>
      </c>
      <c r="K66" s="124" t="s">
        <v>1539</v>
      </c>
      <c r="L66" s="124">
        <v>5.543604203E9</v>
      </c>
      <c r="M66" s="128"/>
      <c r="N66" s="128"/>
      <c r="O66" s="128"/>
      <c r="P66" s="129">
        <v>31.0</v>
      </c>
      <c r="Q66" s="130">
        <v>46039.85729166667</v>
      </c>
      <c r="R66" s="124" t="s">
        <v>107</v>
      </c>
      <c r="S66" s="124" t="s">
        <v>125</v>
      </c>
      <c r="T66" s="124" t="s">
        <v>171</v>
      </c>
      <c r="U66" s="124" t="s">
        <v>638</v>
      </c>
      <c r="V66" s="124" t="s">
        <v>639</v>
      </c>
      <c r="W66" s="124" t="s">
        <v>641</v>
      </c>
      <c r="X66" s="124" t="s">
        <v>120</v>
      </c>
      <c r="Y66" s="128"/>
      <c r="Z66" s="124" t="s">
        <v>120</v>
      </c>
      <c r="AA66" s="128"/>
      <c r="AB66" s="124" t="s">
        <v>120</v>
      </c>
      <c r="AC66" s="124" t="s">
        <v>120</v>
      </c>
      <c r="AD66" s="128"/>
      <c r="AE66" s="124" t="s">
        <v>120</v>
      </c>
      <c r="AF66" s="128"/>
      <c r="AG66" s="124" t="s">
        <v>120</v>
      </c>
      <c r="AH66" s="128"/>
      <c r="AI66" s="124" t="s">
        <v>120</v>
      </c>
      <c r="AJ66" s="128"/>
      <c r="AK66" s="128"/>
      <c r="AL66" s="124" t="s">
        <v>141</v>
      </c>
      <c r="AM66" s="124" t="s">
        <v>124</v>
      </c>
      <c r="AN66" s="124" t="s">
        <v>126</v>
      </c>
      <c r="AO66" s="124" t="s">
        <v>129</v>
      </c>
      <c r="AP66" s="124"/>
    </row>
    <row r="67">
      <c r="A67" s="124" t="s">
        <v>1526</v>
      </c>
      <c r="B67" s="124" t="s">
        <v>1527</v>
      </c>
      <c r="C67" s="124" t="s">
        <v>1528</v>
      </c>
      <c r="D67" s="127">
        <v>40304.0</v>
      </c>
      <c r="E67" s="124" t="s">
        <v>177</v>
      </c>
      <c r="F67" s="124">
        <v>5.537488846E9</v>
      </c>
      <c r="G67" s="124" t="s">
        <v>1529</v>
      </c>
      <c r="H67" s="124" t="s">
        <v>101</v>
      </c>
      <c r="I67" s="124" t="s">
        <v>1530</v>
      </c>
      <c r="J67" s="124" t="s">
        <v>1531</v>
      </c>
      <c r="K67" s="124" t="s">
        <v>1532</v>
      </c>
      <c r="L67" s="124">
        <v>5.591084594E9</v>
      </c>
      <c r="M67" s="128"/>
      <c r="N67" s="128"/>
      <c r="O67" s="128"/>
      <c r="P67" s="129">
        <v>15.0</v>
      </c>
      <c r="Q67" s="130">
        <v>46025.90515046296</v>
      </c>
      <c r="R67" s="124" t="s">
        <v>107</v>
      </c>
      <c r="S67" s="124" t="s">
        <v>109</v>
      </c>
      <c r="T67" s="124" t="s">
        <v>204</v>
      </c>
      <c r="U67" s="124" t="s">
        <v>311</v>
      </c>
      <c r="V67" s="124" t="s">
        <v>312</v>
      </c>
      <c r="W67" s="124" t="s">
        <v>313</v>
      </c>
      <c r="X67" s="124" t="s">
        <v>120</v>
      </c>
      <c r="Y67" s="128"/>
      <c r="Z67" s="124" t="s">
        <v>117</v>
      </c>
      <c r="AA67" s="124" t="s">
        <v>1541</v>
      </c>
      <c r="AB67" s="124" t="s">
        <v>117</v>
      </c>
      <c r="AC67" s="124" t="s">
        <v>117</v>
      </c>
      <c r="AD67" s="124" t="s">
        <v>365</v>
      </c>
      <c r="AE67" s="124" t="s">
        <v>117</v>
      </c>
      <c r="AF67" s="124" t="s">
        <v>366</v>
      </c>
      <c r="AG67" s="124" t="s">
        <v>120</v>
      </c>
      <c r="AH67" s="128"/>
      <c r="AI67" s="124" t="s">
        <v>120</v>
      </c>
      <c r="AJ67" s="128"/>
      <c r="AK67" s="128"/>
      <c r="AL67" s="124" t="s">
        <v>129</v>
      </c>
      <c r="AM67" s="124" t="s">
        <v>138</v>
      </c>
      <c r="AN67" s="124" t="s">
        <v>126</v>
      </c>
      <c r="AO67" s="124" t="s">
        <v>242</v>
      </c>
      <c r="AP67" s="124"/>
    </row>
    <row r="68">
      <c r="A68" s="124" t="s">
        <v>1155</v>
      </c>
      <c r="B68" s="124" t="s">
        <v>1156</v>
      </c>
      <c r="C68" s="124" t="s">
        <v>1157</v>
      </c>
      <c r="D68" s="127">
        <v>41263.0</v>
      </c>
      <c r="E68" s="124" t="s">
        <v>98</v>
      </c>
      <c r="F68" s="124">
        <v>5.664799779E9</v>
      </c>
      <c r="G68" s="124" t="s">
        <v>1161</v>
      </c>
      <c r="H68" s="124" t="s">
        <v>140</v>
      </c>
      <c r="I68" s="124" t="s">
        <v>1163</v>
      </c>
      <c r="J68" s="124" t="s">
        <v>662</v>
      </c>
      <c r="K68" s="124" t="s">
        <v>659</v>
      </c>
      <c r="L68" s="124">
        <v>5.548321876E9</v>
      </c>
      <c r="M68" s="124" t="s">
        <v>1164</v>
      </c>
      <c r="N68" s="124" t="s">
        <v>1166</v>
      </c>
      <c r="O68" s="124">
        <v>5.568740439E9</v>
      </c>
      <c r="P68" s="129">
        <v>13.0</v>
      </c>
      <c r="Q68" s="130">
        <v>46032.85679398148</v>
      </c>
      <c r="R68" s="124" t="s">
        <v>107</v>
      </c>
      <c r="S68" s="124" t="s">
        <v>109</v>
      </c>
      <c r="T68" s="124" t="s">
        <v>111</v>
      </c>
      <c r="U68" s="124" t="s">
        <v>657</v>
      </c>
      <c r="V68" s="124" t="s">
        <v>659</v>
      </c>
      <c r="W68" s="124" t="s">
        <v>662</v>
      </c>
      <c r="X68" s="124" t="s">
        <v>120</v>
      </c>
      <c r="Y68" s="124" t="s">
        <v>667</v>
      </c>
      <c r="Z68" s="124" t="s">
        <v>117</v>
      </c>
      <c r="AA68" s="124" t="s">
        <v>1168</v>
      </c>
      <c r="AB68" s="124" t="s">
        <v>117</v>
      </c>
      <c r="AC68" s="124" t="s">
        <v>117</v>
      </c>
      <c r="AD68" s="124" t="s">
        <v>1175</v>
      </c>
      <c r="AE68" s="124" t="s">
        <v>117</v>
      </c>
      <c r="AF68" s="124" t="s">
        <v>1176</v>
      </c>
      <c r="AG68" s="124" t="s">
        <v>120</v>
      </c>
      <c r="AH68" s="124" t="s">
        <v>667</v>
      </c>
      <c r="AI68" s="124" t="s">
        <v>120</v>
      </c>
      <c r="AJ68" s="124" t="s">
        <v>667</v>
      </c>
      <c r="AK68" s="124" t="s">
        <v>667</v>
      </c>
      <c r="AL68" s="124" t="s">
        <v>156</v>
      </c>
      <c r="AM68" s="124" t="s">
        <v>242</v>
      </c>
      <c r="AN68" s="124" t="s">
        <v>240</v>
      </c>
      <c r="AO68" s="124" t="s">
        <v>138</v>
      </c>
      <c r="AP68" s="124"/>
    </row>
    <row r="69">
      <c r="A69" s="124" t="s">
        <v>1548</v>
      </c>
      <c r="B69" s="124" t="s">
        <v>1550</v>
      </c>
      <c r="C69" s="124" t="s">
        <v>1552</v>
      </c>
      <c r="D69" s="127">
        <v>35240.0</v>
      </c>
      <c r="E69" s="124" t="s">
        <v>177</v>
      </c>
      <c r="F69" s="124">
        <v>5.618039054E9</v>
      </c>
      <c r="G69" s="124" t="s">
        <v>1555</v>
      </c>
      <c r="H69" s="124" t="s">
        <v>101</v>
      </c>
      <c r="I69" s="128"/>
      <c r="J69" s="124" t="s">
        <v>1559</v>
      </c>
      <c r="K69" s="124" t="s">
        <v>1560</v>
      </c>
      <c r="L69" s="124">
        <v>5.534614444E9</v>
      </c>
      <c r="M69" s="128"/>
      <c r="N69" s="128"/>
      <c r="O69" s="128"/>
      <c r="P69" s="129">
        <v>29.0</v>
      </c>
      <c r="Q69" s="130">
        <v>46047.96640046296</v>
      </c>
      <c r="R69" s="124" t="s">
        <v>107</v>
      </c>
      <c r="S69" s="124" t="s">
        <v>125</v>
      </c>
      <c r="T69" s="124" t="s">
        <v>204</v>
      </c>
      <c r="U69" s="124" t="s">
        <v>205</v>
      </c>
      <c r="V69" s="124" t="s">
        <v>206</v>
      </c>
      <c r="W69" s="124" t="s">
        <v>207</v>
      </c>
      <c r="X69" s="124" t="s">
        <v>120</v>
      </c>
      <c r="Y69" s="128"/>
      <c r="Z69" s="124" t="s">
        <v>120</v>
      </c>
      <c r="AA69" s="128"/>
      <c r="AB69" s="124" t="s">
        <v>120</v>
      </c>
      <c r="AC69" s="128"/>
      <c r="AD69" s="128"/>
      <c r="AE69" s="124" t="s">
        <v>120</v>
      </c>
      <c r="AF69" s="128"/>
      <c r="AG69" s="124" t="s">
        <v>120</v>
      </c>
      <c r="AH69" s="128"/>
      <c r="AI69" s="124" t="s">
        <v>120</v>
      </c>
      <c r="AJ69" s="128"/>
      <c r="AK69" s="128"/>
      <c r="AL69" s="124" t="s">
        <v>138</v>
      </c>
      <c r="AM69" s="124" t="s">
        <v>242</v>
      </c>
      <c r="AN69" s="124" t="s">
        <v>216</v>
      </c>
      <c r="AO69" s="124" t="s">
        <v>185</v>
      </c>
      <c r="AP69" s="124"/>
    </row>
    <row r="70">
      <c r="A70" s="124" t="s">
        <v>997</v>
      </c>
      <c r="B70" s="124" t="s">
        <v>998</v>
      </c>
      <c r="C70" s="124" t="s">
        <v>999</v>
      </c>
      <c r="D70" s="127">
        <v>41133.0</v>
      </c>
      <c r="E70" s="124" t="s">
        <v>98</v>
      </c>
      <c r="F70" s="124">
        <v>5.650286797E9</v>
      </c>
      <c r="G70" s="124" t="s">
        <v>925</v>
      </c>
      <c r="H70" s="124" t="s">
        <v>140</v>
      </c>
      <c r="I70" s="128"/>
      <c r="J70" s="124" t="s">
        <v>928</v>
      </c>
      <c r="K70" s="124" t="s">
        <v>925</v>
      </c>
      <c r="L70" s="124">
        <v>5.612161641E9</v>
      </c>
      <c r="M70" s="128"/>
      <c r="N70" s="128"/>
      <c r="O70" s="128"/>
      <c r="P70" s="129">
        <v>13.0</v>
      </c>
      <c r="Q70" s="130">
        <v>46039.50915509259</v>
      </c>
      <c r="R70" s="124" t="s">
        <v>107</v>
      </c>
      <c r="S70" s="124" t="s">
        <v>109</v>
      </c>
      <c r="T70" s="124" t="s">
        <v>111</v>
      </c>
      <c r="U70" s="124" t="s">
        <v>407</v>
      </c>
      <c r="V70" s="124" t="s">
        <v>408</v>
      </c>
      <c r="W70" s="124" t="s">
        <v>409</v>
      </c>
      <c r="X70" s="124" t="s">
        <v>117</v>
      </c>
      <c r="Y70" s="128"/>
      <c r="Z70" s="124" t="s">
        <v>117</v>
      </c>
      <c r="AA70" s="128"/>
      <c r="AB70" s="124" t="s">
        <v>117</v>
      </c>
      <c r="AC70" s="124" t="s">
        <v>117</v>
      </c>
      <c r="AD70" s="128"/>
      <c r="AE70" s="124" t="s">
        <v>117</v>
      </c>
      <c r="AF70" s="128"/>
      <c r="AG70" s="124" t="s">
        <v>117</v>
      </c>
      <c r="AH70" s="128"/>
      <c r="AI70" s="124" t="s">
        <v>117</v>
      </c>
      <c r="AJ70" s="128"/>
      <c r="AK70" s="128"/>
      <c r="AL70" s="124" t="s">
        <v>242</v>
      </c>
      <c r="AM70" s="124" t="s">
        <v>128</v>
      </c>
      <c r="AN70" s="124" t="s">
        <v>138</v>
      </c>
      <c r="AO70" s="124" t="s">
        <v>141</v>
      </c>
      <c r="AP70" s="124"/>
    </row>
    <row r="71">
      <c r="A71" s="124" t="s">
        <v>2692</v>
      </c>
      <c r="B71" s="124" t="s">
        <v>2693</v>
      </c>
      <c r="C71" s="124" t="s">
        <v>2694</v>
      </c>
      <c r="D71" s="127">
        <v>39678.0</v>
      </c>
      <c r="E71" s="124" t="s">
        <v>177</v>
      </c>
      <c r="F71" s="124">
        <v>5.626789983E9</v>
      </c>
      <c r="G71" s="124" t="s">
        <v>2695</v>
      </c>
      <c r="H71" s="124" t="s">
        <v>101</v>
      </c>
      <c r="I71" s="128"/>
      <c r="J71" s="124" t="s">
        <v>2697</v>
      </c>
      <c r="K71" s="124" t="s">
        <v>2698</v>
      </c>
      <c r="L71" s="124">
        <v>5.633435445E9</v>
      </c>
      <c r="M71" s="128"/>
      <c r="N71" s="128"/>
      <c r="O71" s="128"/>
      <c r="P71" s="129">
        <v>17.0</v>
      </c>
      <c r="Q71" s="130">
        <v>46026.57733796296</v>
      </c>
      <c r="R71" s="124" t="s">
        <v>107</v>
      </c>
      <c r="S71" s="124" t="s">
        <v>109</v>
      </c>
      <c r="T71" s="124" t="s">
        <v>204</v>
      </c>
      <c r="U71" s="124" t="s">
        <v>295</v>
      </c>
      <c r="V71" s="124" t="s">
        <v>298</v>
      </c>
      <c r="W71" s="124" t="s">
        <v>299</v>
      </c>
      <c r="X71" s="124" t="s">
        <v>120</v>
      </c>
      <c r="Y71" s="128"/>
      <c r="Z71" s="124" t="s">
        <v>120</v>
      </c>
      <c r="AA71" s="128"/>
      <c r="AB71" s="124" t="s">
        <v>120</v>
      </c>
      <c r="AC71" s="124" t="s">
        <v>120</v>
      </c>
      <c r="AD71" s="128"/>
      <c r="AE71" s="124" t="s">
        <v>120</v>
      </c>
      <c r="AF71" s="128"/>
      <c r="AG71" s="124" t="s">
        <v>120</v>
      </c>
      <c r="AH71" s="128"/>
      <c r="AI71" s="124" t="s">
        <v>120</v>
      </c>
      <c r="AJ71" s="128"/>
      <c r="AK71" s="128"/>
      <c r="AL71" s="124" t="s">
        <v>141</v>
      </c>
      <c r="AM71" s="124" t="s">
        <v>138</v>
      </c>
      <c r="AN71" s="124" t="s">
        <v>242</v>
      </c>
      <c r="AO71" s="124" t="s">
        <v>156</v>
      </c>
      <c r="AP71" s="124"/>
    </row>
    <row r="72">
      <c r="A72" s="124" t="s">
        <v>1567</v>
      </c>
      <c r="B72" s="124" t="s">
        <v>1568</v>
      </c>
      <c r="C72" s="124" t="s">
        <v>1569</v>
      </c>
      <c r="D72" s="127">
        <v>37286.0</v>
      </c>
      <c r="E72" s="124" t="s">
        <v>98</v>
      </c>
      <c r="F72" s="124">
        <v>5.652432265E9</v>
      </c>
      <c r="G72" s="124" t="s">
        <v>1570</v>
      </c>
      <c r="H72" s="124" t="s">
        <v>110</v>
      </c>
      <c r="I72" s="128"/>
      <c r="J72" s="124" t="s">
        <v>1571</v>
      </c>
      <c r="K72" s="124" t="s">
        <v>1573</v>
      </c>
      <c r="L72" s="124">
        <v>5.524065879E9</v>
      </c>
      <c r="M72" s="128"/>
      <c r="N72" s="128"/>
      <c r="O72" s="128"/>
      <c r="P72" s="129">
        <v>24.0</v>
      </c>
      <c r="Q72" s="130">
        <v>46026.403078703705</v>
      </c>
      <c r="R72" s="124" t="s">
        <v>107</v>
      </c>
      <c r="S72" s="124" t="s">
        <v>125</v>
      </c>
      <c r="T72" s="124" t="s">
        <v>208</v>
      </c>
      <c r="U72" s="124" t="s">
        <v>428</v>
      </c>
      <c r="V72" s="124" t="s">
        <v>429</v>
      </c>
      <c r="W72" s="124" t="s">
        <v>430</v>
      </c>
      <c r="X72" s="124" t="s">
        <v>120</v>
      </c>
      <c r="Y72" s="128"/>
      <c r="Z72" s="124" t="s">
        <v>117</v>
      </c>
      <c r="AA72" s="124" t="s">
        <v>1582</v>
      </c>
      <c r="AB72" s="124" t="s">
        <v>120</v>
      </c>
      <c r="AC72" s="128"/>
      <c r="AD72" s="128"/>
      <c r="AE72" s="124" t="s">
        <v>117</v>
      </c>
      <c r="AF72" s="124" t="s">
        <v>366</v>
      </c>
      <c r="AG72" s="124" t="s">
        <v>120</v>
      </c>
      <c r="AH72" s="128"/>
      <c r="AI72" s="124" t="s">
        <v>120</v>
      </c>
      <c r="AJ72" s="128"/>
      <c r="AK72" s="128"/>
      <c r="AL72" s="124" t="s">
        <v>126</v>
      </c>
      <c r="AM72" s="124" t="s">
        <v>129</v>
      </c>
      <c r="AN72" s="124" t="s">
        <v>242</v>
      </c>
      <c r="AO72" s="124" t="s">
        <v>156</v>
      </c>
      <c r="AP72" s="124"/>
    </row>
    <row r="73">
      <c r="A73" s="124" t="s">
        <v>1328</v>
      </c>
      <c r="B73" s="124" t="s">
        <v>1330</v>
      </c>
      <c r="C73" s="124" t="s">
        <v>1331</v>
      </c>
      <c r="D73" s="127">
        <v>40046.0</v>
      </c>
      <c r="E73" s="124" t="s">
        <v>98</v>
      </c>
      <c r="F73" s="124">
        <v>5.577109241E9</v>
      </c>
      <c r="G73" s="124" t="s">
        <v>1333</v>
      </c>
      <c r="H73" s="124" t="s">
        <v>140</v>
      </c>
      <c r="I73" s="124" t="s">
        <v>135</v>
      </c>
      <c r="J73" s="124" t="s">
        <v>1336</v>
      </c>
      <c r="K73" s="124" t="s">
        <v>1338</v>
      </c>
      <c r="L73" s="124">
        <v>5.585591381E9</v>
      </c>
      <c r="M73" s="128"/>
      <c r="N73" s="128"/>
      <c r="O73" s="128"/>
      <c r="P73" s="129">
        <v>16.0</v>
      </c>
      <c r="Q73" s="130">
        <v>46033.80489583333</v>
      </c>
      <c r="R73" s="124" t="s">
        <v>107</v>
      </c>
      <c r="S73" s="124" t="s">
        <v>109</v>
      </c>
      <c r="T73" s="124" t="s">
        <v>160</v>
      </c>
      <c r="U73" s="124" t="s">
        <v>279</v>
      </c>
      <c r="V73" s="124" t="s">
        <v>280</v>
      </c>
      <c r="W73" s="124" t="s">
        <v>282</v>
      </c>
      <c r="X73" s="124" t="s">
        <v>120</v>
      </c>
      <c r="Y73" s="128"/>
      <c r="Z73" s="124" t="s">
        <v>120</v>
      </c>
      <c r="AA73" s="128"/>
      <c r="AB73" s="124" t="s">
        <v>120</v>
      </c>
      <c r="AC73" s="124" t="s">
        <v>120</v>
      </c>
      <c r="AD73" s="128"/>
      <c r="AE73" s="124" t="s">
        <v>120</v>
      </c>
      <c r="AF73" s="128"/>
      <c r="AG73" s="124" t="s">
        <v>120</v>
      </c>
      <c r="AH73" s="128"/>
      <c r="AI73" s="124" t="s">
        <v>117</v>
      </c>
      <c r="AJ73" s="124" t="s">
        <v>1360</v>
      </c>
      <c r="AK73" s="124" t="s">
        <v>1362</v>
      </c>
      <c r="AL73" s="124" t="s">
        <v>216</v>
      </c>
      <c r="AM73" s="124" t="s">
        <v>240</v>
      </c>
      <c r="AN73" s="124" t="s">
        <v>126</v>
      </c>
      <c r="AO73" s="124" t="s">
        <v>156</v>
      </c>
      <c r="AP73" s="124"/>
    </row>
    <row r="74">
      <c r="A74" s="124" t="s">
        <v>2722</v>
      </c>
      <c r="B74" s="124" t="s">
        <v>2723</v>
      </c>
      <c r="C74" s="124" t="s">
        <v>2725</v>
      </c>
      <c r="D74" s="127">
        <v>40923.0</v>
      </c>
      <c r="E74" s="124" t="s">
        <v>177</v>
      </c>
      <c r="F74" s="124">
        <v>5.542410554E9</v>
      </c>
      <c r="G74" s="124" t="s">
        <v>2730</v>
      </c>
      <c r="H74" s="124" t="s">
        <v>382</v>
      </c>
      <c r="I74" s="128"/>
      <c r="J74" s="124" t="s">
        <v>2607</v>
      </c>
      <c r="K74" s="124" t="s">
        <v>2732</v>
      </c>
      <c r="L74" s="124">
        <v>5.633625614E9</v>
      </c>
      <c r="M74" s="128"/>
      <c r="N74" s="128"/>
      <c r="O74" s="128"/>
      <c r="P74" s="129">
        <v>14.0</v>
      </c>
      <c r="Q74" s="130">
        <v>46039.94428240741</v>
      </c>
      <c r="R74" s="124" t="s">
        <v>107</v>
      </c>
      <c r="S74" s="124" t="s">
        <v>109</v>
      </c>
      <c r="T74" s="124" t="s">
        <v>208</v>
      </c>
      <c r="U74" s="124" t="s">
        <v>1599</v>
      </c>
      <c r="V74" s="124" t="s">
        <v>1600</v>
      </c>
      <c r="W74" s="124" t="s">
        <v>1602</v>
      </c>
      <c r="X74" s="124" t="s">
        <v>120</v>
      </c>
      <c r="Y74" s="128"/>
      <c r="Z74" s="124" t="s">
        <v>120</v>
      </c>
      <c r="AA74" s="128"/>
      <c r="AB74" s="124" t="s">
        <v>120</v>
      </c>
      <c r="AC74" s="124" t="s">
        <v>120</v>
      </c>
      <c r="AD74" s="128"/>
      <c r="AE74" s="124" t="s">
        <v>120</v>
      </c>
      <c r="AF74" s="128"/>
      <c r="AG74" s="124" t="s">
        <v>120</v>
      </c>
      <c r="AH74" s="128"/>
      <c r="AI74" s="124" t="s">
        <v>120</v>
      </c>
      <c r="AJ74" s="128"/>
      <c r="AK74" s="128"/>
      <c r="AL74" s="124" t="s">
        <v>129</v>
      </c>
      <c r="AM74" s="124" t="s">
        <v>185</v>
      </c>
      <c r="AN74" s="124" t="s">
        <v>156</v>
      </c>
      <c r="AO74" s="124" t="s">
        <v>242</v>
      </c>
      <c r="AP74" s="124"/>
    </row>
    <row r="75">
      <c r="A75" s="124" t="s">
        <v>2739</v>
      </c>
      <c r="B75" s="124" t="s">
        <v>2740</v>
      </c>
      <c r="C75" s="124" t="s">
        <v>2741</v>
      </c>
      <c r="D75" s="127">
        <v>39488.0</v>
      </c>
      <c r="E75" s="124" t="s">
        <v>98</v>
      </c>
      <c r="F75" s="124">
        <v>5.528562045E9</v>
      </c>
      <c r="G75" s="124" t="s">
        <v>2747</v>
      </c>
      <c r="H75" s="124" t="s">
        <v>101</v>
      </c>
      <c r="I75" s="128"/>
      <c r="J75" s="124" t="s">
        <v>2750</v>
      </c>
      <c r="K75" s="124" t="s">
        <v>2751</v>
      </c>
      <c r="L75" s="124">
        <v>5.631139685E9</v>
      </c>
      <c r="M75" s="128"/>
      <c r="N75" s="128"/>
      <c r="O75" s="128"/>
      <c r="P75" s="129">
        <v>18.0</v>
      </c>
      <c r="Q75" s="130">
        <v>46033.47006944445</v>
      </c>
      <c r="R75" s="124" t="s">
        <v>107</v>
      </c>
      <c r="S75" s="124" t="s">
        <v>109</v>
      </c>
      <c r="T75" s="124" t="s">
        <v>160</v>
      </c>
      <c r="U75" s="124" t="s">
        <v>329</v>
      </c>
      <c r="V75" s="124" t="s">
        <v>331</v>
      </c>
      <c r="W75" s="124" t="s">
        <v>332</v>
      </c>
      <c r="X75" s="124" t="s">
        <v>120</v>
      </c>
      <c r="Y75" s="128"/>
      <c r="Z75" s="124" t="s">
        <v>120</v>
      </c>
      <c r="AA75" s="128"/>
      <c r="AB75" s="124" t="s">
        <v>120</v>
      </c>
      <c r="AC75" s="128"/>
      <c r="AD75" s="128"/>
      <c r="AE75" s="124" t="s">
        <v>120</v>
      </c>
      <c r="AF75" s="128"/>
      <c r="AG75" s="124" t="s">
        <v>120</v>
      </c>
      <c r="AH75" s="128"/>
      <c r="AI75" s="124" t="s">
        <v>120</v>
      </c>
      <c r="AJ75" s="128"/>
      <c r="AK75" s="128"/>
      <c r="AL75" s="124" t="s">
        <v>138</v>
      </c>
      <c r="AM75" s="124" t="s">
        <v>129</v>
      </c>
      <c r="AN75" s="124" t="s">
        <v>141</v>
      </c>
      <c r="AO75" s="124" t="s">
        <v>156</v>
      </c>
      <c r="AP75" s="124"/>
    </row>
    <row r="76">
      <c r="A76" s="124" t="s">
        <v>2880</v>
      </c>
      <c r="B76" s="124" t="s">
        <v>1696</v>
      </c>
      <c r="C76" s="124" t="s">
        <v>2884</v>
      </c>
      <c r="D76" s="127">
        <v>40772.0</v>
      </c>
      <c r="E76" s="124" t="s">
        <v>98</v>
      </c>
      <c r="F76" s="124">
        <v>5.64829996E9</v>
      </c>
      <c r="G76" s="124" t="s">
        <v>2886</v>
      </c>
      <c r="H76" s="124" t="s">
        <v>101</v>
      </c>
      <c r="I76" s="128"/>
      <c r="J76" s="124" t="s">
        <v>1702</v>
      </c>
      <c r="K76" s="124" t="s">
        <v>2889</v>
      </c>
      <c r="L76" s="124">
        <v>5.581784097E9</v>
      </c>
      <c r="M76" s="128"/>
      <c r="N76" s="128"/>
      <c r="O76" s="128"/>
      <c r="P76" s="129">
        <v>14.0</v>
      </c>
      <c r="Q76" s="130">
        <v>46033.55341435185</v>
      </c>
      <c r="R76" s="124" t="s">
        <v>107</v>
      </c>
      <c r="S76" s="124" t="s">
        <v>109</v>
      </c>
      <c r="T76" s="124" t="s">
        <v>171</v>
      </c>
      <c r="U76" s="124" t="s">
        <v>262</v>
      </c>
      <c r="V76" s="124" t="s">
        <v>263</v>
      </c>
      <c r="W76" s="124" t="s">
        <v>264</v>
      </c>
      <c r="X76" s="124" t="s">
        <v>120</v>
      </c>
      <c r="Y76" s="128"/>
      <c r="Z76" s="124" t="s">
        <v>117</v>
      </c>
      <c r="AA76" s="124" t="s">
        <v>2891</v>
      </c>
      <c r="AB76" s="124" t="s">
        <v>120</v>
      </c>
      <c r="AC76" s="128"/>
      <c r="AD76" s="128"/>
      <c r="AE76" s="124" t="s">
        <v>120</v>
      </c>
      <c r="AF76" s="128"/>
      <c r="AG76" s="124" t="s">
        <v>120</v>
      </c>
      <c r="AH76" s="128"/>
      <c r="AI76" s="124" t="s">
        <v>120</v>
      </c>
      <c r="AJ76" s="128"/>
      <c r="AK76" s="128"/>
      <c r="AL76" s="124" t="s">
        <v>156</v>
      </c>
      <c r="AM76" s="124" t="s">
        <v>128</v>
      </c>
      <c r="AN76" s="124" t="s">
        <v>141</v>
      </c>
      <c r="AO76" s="124" t="s">
        <v>129</v>
      </c>
      <c r="AP76" s="124"/>
    </row>
    <row r="77">
      <c r="A77" s="124" t="s">
        <v>2893</v>
      </c>
      <c r="B77" s="124" t="s">
        <v>2894</v>
      </c>
      <c r="C77" s="124" t="s">
        <v>76</v>
      </c>
      <c r="D77" s="127">
        <v>41107.0</v>
      </c>
      <c r="E77" s="124" t="s">
        <v>177</v>
      </c>
      <c r="F77" s="124">
        <v>5.510064088E9</v>
      </c>
      <c r="G77" s="124" t="s">
        <v>2898</v>
      </c>
      <c r="H77" s="124" t="s">
        <v>150</v>
      </c>
      <c r="I77" s="128"/>
      <c r="J77" s="124" t="s">
        <v>2900</v>
      </c>
      <c r="K77" s="124" t="s">
        <v>2898</v>
      </c>
      <c r="L77" s="124">
        <v>5.510064088E9</v>
      </c>
      <c r="M77" s="124" t="s">
        <v>2902</v>
      </c>
      <c r="N77" s="124" t="s">
        <v>2903</v>
      </c>
      <c r="O77" s="124">
        <v>5.580135352E9</v>
      </c>
      <c r="P77" s="129">
        <v>13.0</v>
      </c>
      <c r="Q77" s="130">
        <v>46033.48180555556</v>
      </c>
      <c r="R77" s="124" t="s">
        <v>107</v>
      </c>
      <c r="S77" s="124" t="s">
        <v>109</v>
      </c>
      <c r="T77" s="124" t="s">
        <v>204</v>
      </c>
      <c r="U77" s="124" t="s">
        <v>357</v>
      </c>
      <c r="V77" s="124" t="s">
        <v>359</v>
      </c>
      <c r="W77" s="124" t="s">
        <v>362</v>
      </c>
      <c r="X77" s="124" t="s">
        <v>120</v>
      </c>
      <c r="Y77" s="128"/>
      <c r="Z77" s="124" t="s">
        <v>120</v>
      </c>
      <c r="AA77" s="128"/>
      <c r="AB77" s="124" t="s">
        <v>120</v>
      </c>
      <c r="AC77" s="128"/>
      <c r="AD77" s="128"/>
      <c r="AE77" s="124" t="s">
        <v>120</v>
      </c>
      <c r="AF77" s="128"/>
      <c r="AG77" s="124" t="s">
        <v>120</v>
      </c>
      <c r="AH77" s="128"/>
      <c r="AI77" s="124" t="s">
        <v>120</v>
      </c>
      <c r="AJ77" s="128"/>
      <c r="AK77" s="128"/>
      <c r="AL77" s="124" t="s">
        <v>156</v>
      </c>
      <c r="AM77" s="124" t="s">
        <v>185</v>
      </c>
      <c r="AN77" s="124" t="s">
        <v>240</v>
      </c>
      <c r="AO77" s="124" t="s">
        <v>126</v>
      </c>
      <c r="AP77" s="124"/>
    </row>
    <row r="78">
      <c r="A78" s="124" t="s">
        <v>2904</v>
      </c>
      <c r="B78" s="124" t="s">
        <v>939</v>
      </c>
      <c r="C78" s="124" t="s">
        <v>2908</v>
      </c>
      <c r="D78" s="127">
        <v>39470.0</v>
      </c>
      <c r="E78" s="124" t="s">
        <v>177</v>
      </c>
      <c r="F78" s="124">
        <v>5.665991501E9</v>
      </c>
      <c r="G78" s="124" t="s">
        <v>944</v>
      </c>
      <c r="H78" s="124" t="s">
        <v>101</v>
      </c>
      <c r="I78" s="124" t="s">
        <v>2910</v>
      </c>
      <c r="J78" s="124" t="s">
        <v>948</v>
      </c>
      <c r="K78" s="124" t="s">
        <v>944</v>
      </c>
      <c r="L78" s="124">
        <v>2.202344935E9</v>
      </c>
      <c r="M78" s="128"/>
      <c r="N78" s="128"/>
      <c r="O78" s="128"/>
      <c r="P78" s="129">
        <v>18.0</v>
      </c>
      <c r="Q78" s="130">
        <v>46040.80626157407</v>
      </c>
      <c r="R78" s="124" t="s">
        <v>107</v>
      </c>
      <c r="S78" s="124" t="s">
        <v>109</v>
      </c>
      <c r="T78" s="124" t="s">
        <v>192</v>
      </c>
      <c r="U78" s="124" t="s">
        <v>195</v>
      </c>
      <c r="V78" s="124" t="s">
        <v>198</v>
      </c>
      <c r="W78" s="124" t="s">
        <v>200</v>
      </c>
      <c r="X78" s="124" t="s">
        <v>120</v>
      </c>
      <c r="Y78" s="128"/>
      <c r="Z78" s="124" t="s">
        <v>120</v>
      </c>
      <c r="AA78" s="128"/>
      <c r="AB78" s="124" t="s">
        <v>120</v>
      </c>
      <c r="AC78" s="124" t="s">
        <v>120</v>
      </c>
      <c r="AD78" s="128"/>
      <c r="AE78" s="124" t="s">
        <v>120</v>
      </c>
      <c r="AF78" s="128"/>
      <c r="AG78" s="124" t="s">
        <v>120</v>
      </c>
      <c r="AH78" s="128"/>
      <c r="AI78" s="124" t="s">
        <v>120</v>
      </c>
      <c r="AJ78" s="128"/>
      <c r="AK78" s="128"/>
      <c r="AL78" s="124" t="s">
        <v>185</v>
      </c>
      <c r="AM78" s="124" t="s">
        <v>124</v>
      </c>
      <c r="AN78" s="124" t="s">
        <v>156</v>
      </c>
      <c r="AO78" s="124" t="s">
        <v>240</v>
      </c>
      <c r="AP78" s="124"/>
    </row>
    <row r="79">
      <c r="A79" s="124" t="s">
        <v>1366</v>
      </c>
      <c r="B79" s="124" t="s">
        <v>1367</v>
      </c>
      <c r="C79" s="124" t="s">
        <v>1369</v>
      </c>
      <c r="D79" s="127">
        <v>39785.0</v>
      </c>
      <c r="E79" s="124" t="s">
        <v>98</v>
      </c>
      <c r="F79" s="124">
        <v>5.620687961E9</v>
      </c>
      <c r="G79" s="124" t="s">
        <v>1380</v>
      </c>
      <c r="H79" s="124" t="s">
        <v>101</v>
      </c>
      <c r="I79" s="128"/>
      <c r="J79" s="124" t="s">
        <v>1383</v>
      </c>
      <c r="K79" s="124" t="s">
        <v>1386</v>
      </c>
      <c r="L79" s="124">
        <v>5.518388891E9</v>
      </c>
      <c r="M79" s="128"/>
      <c r="N79" s="128"/>
      <c r="O79" s="128"/>
      <c r="P79" s="129">
        <v>17.0</v>
      </c>
      <c r="Q79" s="130">
        <v>46033.51119212963</v>
      </c>
      <c r="R79" s="124" t="s">
        <v>107</v>
      </c>
      <c r="S79" s="124" t="s">
        <v>109</v>
      </c>
      <c r="T79" s="124" t="s">
        <v>160</v>
      </c>
      <c r="U79" s="124" t="s">
        <v>1265</v>
      </c>
      <c r="V79" s="124" t="s">
        <v>1267</v>
      </c>
      <c r="W79" s="124" t="s">
        <v>1268</v>
      </c>
      <c r="X79" s="124" t="s">
        <v>120</v>
      </c>
      <c r="Y79" s="128"/>
      <c r="Z79" s="124" t="s">
        <v>117</v>
      </c>
      <c r="AA79" s="124" t="s">
        <v>1398</v>
      </c>
      <c r="AB79" s="124" t="s">
        <v>120</v>
      </c>
      <c r="AC79" s="128"/>
      <c r="AD79" s="128"/>
      <c r="AE79" s="124" t="s">
        <v>120</v>
      </c>
      <c r="AF79" s="128"/>
      <c r="AG79" s="124" t="s">
        <v>120</v>
      </c>
      <c r="AH79" s="128"/>
      <c r="AI79" s="124" t="s">
        <v>117</v>
      </c>
      <c r="AJ79" s="124" t="s">
        <v>1402</v>
      </c>
      <c r="AK79" s="128"/>
      <c r="AL79" s="124" t="s">
        <v>129</v>
      </c>
      <c r="AM79" s="124" t="s">
        <v>216</v>
      </c>
      <c r="AN79" s="124" t="s">
        <v>124</v>
      </c>
      <c r="AO79" s="124" t="s">
        <v>240</v>
      </c>
      <c r="AP79" s="124"/>
    </row>
    <row r="80">
      <c r="A80" s="124" t="s">
        <v>2930</v>
      </c>
      <c r="B80" s="124" t="s">
        <v>2932</v>
      </c>
      <c r="C80" s="124" t="s">
        <v>2933</v>
      </c>
      <c r="D80" s="127">
        <v>39563.0</v>
      </c>
      <c r="E80" s="124" t="s">
        <v>177</v>
      </c>
      <c r="F80" s="124">
        <v>5.541397582E9</v>
      </c>
      <c r="G80" s="124" t="s">
        <v>2936</v>
      </c>
      <c r="H80" s="124" t="s">
        <v>101</v>
      </c>
      <c r="I80" s="128"/>
      <c r="J80" s="124" t="s">
        <v>534</v>
      </c>
      <c r="K80" s="124" t="s">
        <v>532</v>
      </c>
      <c r="L80" s="124">
        <v>5.541397582E9</v>
      </c>
      <c r="M80" s="128"/>
      <c r="N80" s="128"/>
      <c r="O80" s="128"/>
      <c r="P80" s="129">
        <v>17.0</v>
      </c>
      <c r="Q80" s="130">
        <v>46028.972453703704</v>
      </c>
      <c r="R80" s="124" t="s">
        <v>107</v>
      </c>
      <c r="S80" s="124" t="s">
        <v>109</v>
      </c>
      <c r="T80" s="124" t="s">
        <v>127</v>
      </c>
      <c r="U80" s="124" t="s">
        <v>531</v>
      </c>
      <c r="V80" s="124" t="s">
        <v>532</v>
      </c>
      <c r="W80" s="124" t="s">
        <v>534</v>
      </c>
      <c r="X80" s="124" t="s">
        <v>120</v>
      </c>
      <c r="Y80" s="128"/>
      <c r="Z80" s="124" t="s">
        <v>120</v>
      </c>
      <c r="AA80" s="128"/>
      <c r="AB80" s="124" t="s">
        <v>120</v>
      </c>
      <c r="AC80" s="128"/>
      <c r="AD80" s="128"/>
      <c r="AE80" s="124" t="s">
        <v>120</v>
      </c>
      <c r="AF80" s="128"/>
      <c r="AG80" s="124" t="s">
        <v>120</v>
      </c>
      <c r="AH80" s="128"/>
      <c r="AI80" s="124" t="s">
        <v>120</v>
      </c>
      <c r="AJ80" s="128"/>
      <c r="AK80" s="128"/>
      <c r="AL80" s="124" t="s">
        <v>126</v>
      </c>
      <c r="AM80" s="124" t="s">
        <v>185</v>
      </c>
      <c r="AN80" s="124" t="s">
        <v>128</v>
      </c>
      <c r="AO80" s="124" t="s">
        <v>242</v>
      </c>
      <c r="AP80" s="124"/>
    </row>
    <row r="81">
      <c r="A81" s="124" t="s">
        <v>1342</v>
      </c>
      <c r="B81" s="124" t="s">
        <v>1344</v>
      </c>
      <c r="C81" s="124" t="s">
        <v>1345</v>
      </c>
      <c r="D81" s="127">
        <v>39539.0</v>
      </c>
      <c r="E81" s="124" t="s">
        <v>98</v>
      </c>
      <c r="F81" s="124">
        <v>5.59108627E9</v>
      </c>
      <c r="G81" s="124" t="s">
        <v>1348</v>
      </c>
      <c r="H81" s="124" t="s">
        <v>140</v>
      </c>
      <c r="I81" s="124" t="s">
        <v>1349</v>
      </c>
      <c r="J81" s="124" t="s">
        <v>1351</v>
      </c>
      <c r="K81" s="124" t="s">
        <v>1353</v>
      </c>
      <c r="L81" s="124">
        <v>5.511329118E9</v>
      </c>
      <c r="M81" s="128"/>
      <c r="N81" s="128"/>
      <c r="O81" s="128"/>
      <c r="P81" s="129">
        <v>17.0</v>
      </c>
      <c r="Q81" s="130">
        <v>46039.8621875</v>
      </c>
      <c r="R81" s="124" t="s">
        <v>107</v>
      </c>
      <c r="S81" s="124" t="s">
        <v>109</v>
      </c>
      <c r="T81" s="124" t="s">
        <v>127</v>
      </c>
      <c r="U81" s="124" t="s">
        <v>531</v>
      </c>
      <c r="V81" s="124" t="s">
        <v>532</v>
      </c>
      <c r="W81" s="124" t="s">
        <v>534</v>
      </c>
      <c r="X81" s="124" t="s">
        <v>120</v>
      </c>
      <c r="Y81" s="128"/>
      <c r="Z81" s="124" t="s">
        <v>117</v>
      </c>
      <c r="AA81" s="124" t="s">
        <v>1349</v>
      </c>
      <c r="AB81" s="124" t="s">
        <v>120</v>
      </c>
      <c r="AC81" s="128"/>
      <c r="AD81" s="128"/>
      <c r="AE81" s="124" t="s">
        <v>120</v>
      </c>
      <c r="AF81" s="128"/>
      <c r="AG81" s="124" t="s">
        <v>120</v>
      </c>
      <c r="AH81" s="128"/>
      <c r="AI81" s="124" t="s">
        <v>120</v>
      </c>
      <c r="AJ81" s="128"/>
      <c r="AK81" s="128"/>
      <c r="AL81" s="124" t="s">
        <v>138</v>
      </c>
      <c r="AM81" s="124" t="s">
        <v>124</v>
      </c>
      <c r="AN81" s="124" t="s">
        <v>240</v>
      </c>
      <c r="AO81" s="124" t="s">
        <v>156</v>
      </c>
      <c r="AP81" s="124"/>
    </row>
    <row r="82">
      <c r="A82" s="124" t="s">
        <v>2944</v>
      </c>
      <c r="B82" s="124" t="s">
        <v>2945</v>
      </c>
      <c r="C82" s="124" t="s">
        <v>2947</v>
      </c>
      <c r="D82" s="127">
        <v>40812.0</v>
      </c>
      <c r="E82" s="124" t="s">
        <v>98</v>
      </c>
      <c r="F82" s="124" t="s">
        <v>2948</v>
      </c>
      <c r="G82" s="124" t="s">
        <v>2949</v>
      </c>
      <c r="H82" s="124" t="s">
        <v>101</v>
      </c>
      <c r="I82" s="124" t="s">
        <v>135</v>
      </c>
      <c r="J82" s="124" t="s">
        <v>2950</v>
      </c>
      <c r="K82" s="124" t="s">
        <v>2951</v>
      </c>
      <c r="L82" s="124">
        <v>5.543952296E9</v>
      </c>
      <c r="M82" s="128"/>
      <c r="N82" s="128"/>
      <c r="O82" s="128"/>
      <c r="P82" s="129">
        <v>14.0</v>
      </c>
      <c r="Q82" s="130">
        <v>46024.80842592593</v>
      </c>
      <c r="R82" s="124" t="s">
        <v>107</v>
      </c>
      <c r="S82" s="124" t="s">
        <v>109</v>
      </c>
      <c r="T82" s="124" t="s">
        <v>204</v>
      </c>
      <c r="U82" s="124" t="s">
        <v>699</v>
      </c>
      <c r="V82" s="124" t="s">
        <v>700</v>
      </c>
      <c r="W82" s="124" t="s">
        <v>702</v>
      </c>
      <c r="X82" s="124" t="s">
        <v>120</v>
      </c>
      <c r="Y82" s="124" t="s">
        <v>120</v>
      </c>
      <c r="Z82" s="124" t="s">
        <v>120</v>
      </c>
      <c r="AA82" s="124" t="s">
        <v>120</v>
      </c>
      <c r="AB82" s="124" t="s">
        <v>120</v>
      </c>
      <c r="AC82" s="124" t="s">
        <v>120</v>
      </c>
      <c r="AD82" s="124" t="s">
        <v>120</v>
      </c>
      <c r="AE82" s="124" t="s">
        <v>120</v>
      </c>
      <c r="AF82" s="124" t="s">
        <v>120</v>
      </c>
      <c r="AG82" s="124" t="s">
        <v>120</v>
      </c>
      <c r="AH82" s="124" t="s">
        <v>120</v>
      </c>
      <c r="AI82" s="124" t="s">
        <v>120</v>
      </c>
      <c r="AJ82" s="124" t="s">
        <v>120</v>
      </c>
      <c r="AK82" s="124" t="s">
        <v>120</v>
      </c>
      <c r="AL82" s="124" t="s">
        <v>138</v>
      </c>
      <c r="AM82" s="124" t="s">
        <v>126</v>
      </c>
      <c r="AN82" s="124" t="s">
        <v>242</v>
      </c>
      <c r="AO82" s="124" t="s">
        <v>156</v>
      </c>
      <c r="AP82" s="124"/>
    </row>
    <row r="83">
      <c r="A83" s="124" t="s">
        <v>955</v>
      </c>
      <c r="B83" s="124" t="s">
        <v>959</v>
      </c>
      <c r="C83" s="124" t="s">
        <v>960</v>
      </c>
      <c r="D83" s="127">
        <v>40113.0</v>
      </c>
      <c r="E83" s="124" t="s">
        <v>177</v>
      </c>
      <c r="F83" s="124">
        <v>5.645755195E9</v>
      </c>
      <c r="G83" s="124" t="s">
        <v>963</v>
      </c>
      <c r="H83" s="124" t="s">
        <v>101</v>
      </c>
      <c r="I83" s="124" t="s">
        <v>964</v>
      </c>
      <c r="J83" s="124" t="s">
        <v>965</v>
      </c>
      <c r="K83" s="124" t="s">
        <v>966</v>
      </c>
      <c r="L83" s="124">
        <v>5.56611599E9</v>
      </c>
      <c r="M83" s="128"/>
      <c r="N83" s="128"/>
      <c r="O83" s="128"/>
      <c r="P83" s="129">
        <v>16.0</v>
      </c>
      <c r="Q83" s="130">
        <v>46040.4921412037</v>
      </c>
      <c r="R83" s="124" t="s">
        <v>107</v>
      </c>
      <c r="S83" s="124" t="s">
        <v>109</v>
      </c>
      <c r="T83" s="124" t="s">
        <v>111</v>
      </c>
      <c r="U83" s="124" t="s">
        <v>657</v>
      </c>
      <c r="V83" s="124" t="s">
        <v>659</v>
      </c>
      <c r="W83" s="124" t="s">
        <v>662</v>
      </c>
      <c r="X83" s="124" t="s">
        <v>120</v>
      </c>
      <c r="Y83" s="128"/>
      <c r="Z83" s="124" t="s">
        <v>120</v>
      </c>
      <c r="AA83" s="128"/>
      <c r="AB83" s="124" t="s">
        <v>117</v>
      </c>
      <c r="AC83" s="124" t="s">
        <v>117</v>
      </c>
      <c r="AD83" s="124" t="s">
        <v>990</v>
      </c>
      <c r="AE83" s="124" t="s">
        <v>120</v>
      </c>
      <c r="AF83" s="128"/>
      <c r="AG83" s="124" t="s">
        <v>120</v>
      </c>
      <c r="AH83" s="128"/>
      <c r="AI83" s="124" t="s">
        <v>117</v>
      </c>
      <c r="AJ83" s="124" t="s">
        <v>992</v>
      </c>
      <c r="AK83" s="128"/>
      <c r="AL83" s="124" t="s">
        <v>216</v>
      </c>
      <c r="AM83" s="124" t="s">
        <v>138</v>
      </c>
      <c r="AN83" s="124" t="s">
        <v>129</v>
      </c>
      <c r="AO83" s="124" t="s">
        <v>124</v>
      </c>
      <c r="AP83" s="124"/>
    </row>
    <row r="84">
      <c r="A84" s="124" t="s">
        <v>451</v>
      </c>
      <c r="B84" s="124" t="s">
        <v>188</v>
      </c>
      <c r="C84" s="124" t="s">
        <v>556</v>
      </c>
      <c r="D84" s="127">
        <v>39984.0</v>
      </c>
      <c r="E84" s="124" t="s">
        <v>98</v>
      </c>
      <c r="F84" s="124">
        <v>5.62127044E9</v>
      </c>
      <c r="G84" s="124" t="s">
        <v>558</v>
      </c>
      <c r="H84" s="124" t="s">
        <v>140</v>
      </c>
      <c r="I84" s="128"/>
      <c r="J84" s="124" t="s">
        <v>560</v>
      </c>
      <c r="K84" s="124" t="s">
        <v>203</v>
      </c>
      <c r="L84" s="124">
        <v>5.584775869E9</v>
      </c>
      <c r="M84" s="128"/>
      <c r="N84" s="128"/>
      <c r="O84" s="128"/>
      <c r="P84" s="129">
        <v>16.0</v>
      </c>
      <c r="Q84" s="130">
        <v>46026.005428240744</v>
      </c>
      <c r="R84" s="124" t="s">
        <v>107</v>
      </c>
      <c r="S84" s="124" t="s">
        <v>109</v>
      </c>
      <c r="T84" s="124" t="s">
        <v>208</v>
      </c>
      <c r="U84" s="124" t="s">
        <v>209</v>
      </c>
      <c r="V84" s="124" t="s">
        <v>210</v>
      </c>
      <c r="W84" s="124" t="s">
        <v>211</v>
      </c>
      <c r="X84" s="124" t="s">
        <v>117</v>
      </c>
      <c r="Y84" s="124" t="s">
        <v>559</v>
      </c>
      <c r="Z84" s="124" t="s">
        <v>117</v>
      </c>
      <c r="AA84" s="124" t="s">
        <v>570</v>
      </c>
      <c r="AB84" s="124" t="s">
        <v>120</v>
      </c>
      <c r="AC84" s="124" t="s">
        <v>120</v>
      </c>
      <c r="AD84" s="128"/>
      <c r="AE84" s="124" t="s">
        <v>120</v>
      </c>
      <c r="AF84" s="128"/>
      <c r="AG84" s="124" t="s">
        <v>120</v>
      </c>
      <c r="AH84" s="128"/>
      <c r="AI84" s="124" t="s">
        <v>117</v>
      </c>
      <c r="AJ84" s="124" t="s">
        <v>575</v>
      </c>
      <c r="AK84" s="124" t="s">
        <v>120</v>
      </c>
      <c r="AL84" s="124" t="s">
        <v>126</v>
      </c>
      <c r="AM84" s="124" t="s">
        <v>216</v>
      </c>
      <c r="AN84" s="124" t="s">
        <v>242</v>
      </c>
      <c r="AO84" s="124" t="s">
        <v>156</v>
      </c>
      <c r="AP84" s="124"/>
    </row>
    <row r="85">
      <c r="A85" s="124" t="s">
        <v>1591</v>
      </c>
      <c r="B85" s="124" t="s">
        <v>1592</v>
      </c>
      <c r="C85" s="124" t="s">
        <v>1593</v>
      </c>
      <c r="D85" s="127">
        <v>38697.0</v>
      </c>
      <c r="E85" s="124" t="s">
        <v>98</v>
      </c>
      <c r="F85" s="124" t="s">
        <v>1594</v>
      </c>
      <c r="G85" s="124" t="s">
        <v>1595</v>
      </c>
      <c r="H85" s="124" t="s">
        <v>101</v>
      </c>
      <c r="I85" s="128"/>
      <c r="J85" s="124" t="s">
        <v>1596</v>
      </c>
      <c r="K85" s="124" t="s">
        <v>1597</v>
      </c>
      <c r="L85" s="124">
        <v>9.995012304E9</v>
      </c>
      <c r="M85" s="128"/>
      <c r="N85" s="128"/>
      <c r="O85" s="128"/>
      <c r="P85" s="129">
        <v>20.0</v>
      </c>
      <c r="Q85" s="130">
        <v>46040.90099537037</v>
      </c>
      <c r="R85" s="124" t="s">
        <v>231</v>
      </c>
      <c r="S85" s="124" t="s">
        <v>125</v>
      </c>
      <c r="T85" s="124" t="s">
        <v>208</v>
      </c>
      <c r="U85" s="124" t="s">
        <v>1599</v>
      </c>
      <c r="V85" s="124" t="s">
        <v>1600</v>
      </c>
      <c r="W85" s="124" t="s">
        <v>1602</v>
      </c>
      <c r="X85" s="124" t="s">
        <v>120</v>
      </c>
      <c r="Y85" s="124" t="s">
        <v>525</v>
      </c>
      <c r="Z85" s="124" t="s">
        <v>120</v>
      </c>
      <c r="AA85" s="124" t="s">
        <v>525</v>
      </c>
      <c r="AB85" s="124" t="s">
        <v>120</v>
      </c>
      <c r="AC85" s="124" t="s">
        <v>120</v>
      </c>
      <c r="AD85" s="124" t="s">
        <v>525</v>
      </c>
      <c r="AE85" s="124" t="s">
        <v>120</v>
      </c>
      <c r="AF85" s="124" t="s">
        <v>525</v>
      </c>
      <c r="AG85" s="124" t="s">
        <v>120</v>
      </c>
      <c r="AH85" s="124" t="s">
        <v>525</v>
      </c>
      <c r="AI85" s="124" t="s">
        <v>120</v>
      </c>
      <c r="AJ85" s="124" t="s">
        <v>525</v>
      </c>
      <c r="AK85" s="124" t="s">
        <v>525</v>
      </c>
      <c r="AL85" s="124" t="s">
        <v>138</v>
      </c>
      <c r="AM85" s="124" t="s">
        <v>242</v>
      </c>
      <c r="AN85" s="124" t="s">
        <v>129</v>
      </c>
      <c r="AO85" s="124" t="s">
        <v>128</v>
      </c>
      <c r="AP85" s="124"/>
    </row>
    <row r="86">
      <c r="A86" s="124" t="s">
        <v>2956</v>
      </c>
      <c r="B86" s="124" t="s">
        <v>2957</v>
      </c>
      <c r="C86" s="124" t="s">
        <v>2958</v>
      </c>
      <c r="D86" s="127">
        <v>40813.0</v>
      </c>
      <c r="E86" s="124" t="s">
        <v>98</v>
      </c>
      <c r="F86" s="124">
        <v>5.514435949E9</v>
      </c>
      <c r="G86" s="124" t="s">
        <v>2961</v>
      </c>
      <c r="H86" s="124" t="s">
        <v>101</v>
      </c>
      <c r="I86" s="128"/>
      <c r="J86" s="124" t="s">
        <v>2963</v>
      </c>
      <c r="K86" s="124" t="s">
        <v>2964</v>
      </c>
      <c r="L86" s="124">
        <v>5.514435949E9</v>
      </c>
      <c r="M86" s="128"/>
      <c r="N86" s="128"/>
      <c r="O86" s="128"/>
      <c r="P86" s="129">
        <v>14.0</v>
      </c>
      <c r="Q86" s="130">
        <v>46038.99265046296</v>
      </c>
      <c r="R86" s="124" t="s">
        <v>107</v>
      </c>
      <c r="S86" s="124" t="s">
        <v>109</v>
      </c>
      <c r="T86" s="124" t="s">
        <v>204</v>
      </c>
      <c r="U86" s="124" t="s">
        <v>699</v>
      </c>
      <c r="V86" s="124" t="s">
        <v>700</v>
      </c>
      <c r="W86" s="124" t="s">
        <v>702</v>
      </c>
      <c r="X86" s="124" t="s">
        <v>120</v>
      </c>
      <c r="Y86" s="128"/>
      <c r="Z86" s="124" t="s">
        <v>120</v>
      </c>
      <c r="AA86" s="128"/>
      <c r="AB86" s="124" t="s">
        <v>120</v>
      </c>
      <c r="AC86" s="124" t="s">
        <v>120</v>
      </c>
      <c r="AD86" s="128"/>
      <c r="AE86" s="124" t="s">
        <v>120</v>
      </c>
      <c r="AF86" s="128"/>
      <c r="AG86" s="124" t="s">
        <v>120</v>
      </c>
      <c r="AH86" s="128"/>
      <c r="AI86" s="124" t="s">
        <v>120</v>
      </c>
      <c r="AJ86" s="128"/>
      <c r="AK86" s="124" t="s">
        <v>135</v>
      </c>
      <c r="AL86" s="124" t="s">
        <v>138</v>
      </c>
      <c r="AM86" s="124" t="s">
        <v>128</v>
      </c>
      <c r="AN86" s="124" t="s">
        <v>242</v>
      </c>
      <c r="AO86" s="124" t="s">
        <v>156</v>
      </c>
      <c r="AP86" s="124"/>
    </row>
    <row r="87">
      <c r="A87" s="124" t="s">
        <v>2971</v>
      </c>
      <c r="B87" s="124" t="s">
        <v>2058</v>
      </c>
      <c r="C87" s="124" t="s">
        <v>2973</v>
      </c>
      <c r="D87" s="127">
        <v>40847.0</v>
      </c>
      <c r="E87" s="124" t="s">
        <v>98</v>
      </c>
      <c r="F87" s="124">
        <v>5.57286959E9</v>
      </c>
      <c r="G87" s="124" t="s">
        <v>2976</v>
      </c>
      <c r="H87" s="124" t="s">
        <v>140</v>
      </c>
      <c r="I87" s="128"/>
      <c r="J87" s="124" t="s">
        <v>2066</v>
      </c>
      <c r="K87" s="124" t="s">
        <v>2067</v>
      </c>
      <c r="L87" s="124">
        <v>5.561477191E9</v>
      </c>
      <c r="M87" s="128"/>
      <c r="N87" s="128"/>
      <c r="O87" s="128"/>
      <c r="P87" s="129">
        <v>14.0</v>
      </c>
      <c r="Q87" s="130">
        <v>46033.62173611111</v>
      </c>
      <c r="R87" s="124" t="s">
        <v>107</v>
      </c>
      <c r="S87" s="124" t="s">
        <v>109</v>
      </c>
      <c r="T87" s="124" t="s">
        <v>171</v>
      </c>
      <c r="U87" s="124" t="s">
        <v>1048</v>
      </c>
      <c r="V87" s="124" t="s">
        <v>1050</v>
      </c>
      <c r="W87" s="124" t="s">
        <v>1051</v>
      </c>
      <c r="X87" s="124" t="s">
        <v>120</v>
      </c>
      <c r="Y87" s="128"/>
      <c r="Z87" s="124" t="s">
        <v>120</v>
      </c>
      <c r="AA87" s="128"/>
      <c r="AB87" s="124" t="s">
        <v>120</v>
      </c>
      <c r="AC87" s="124" t="s">
        <v>120</v>
      </c>
      <c r="AD87" s="128"/>
      <c r="AE87" s="124" t="s">
        <v>120</v>
      </c>
      <c r="AF87" s="128"/>
      <c r="AG87" s="124" t="s">
        <v>120</v>
      </c>
      <c r="AH87" s="128"/>
      <c r="AI87" s="124" t="s">
        <v>120</v>
      </c>
      <c r="AJ87" s="128"/>
      <c r="AK87" s="128"/>
      <c r="AL87" s="124" t="s">
        <v>185</v>
      </c>
      <c r="AM87" s="124" t="s">
        <v>128</v>
      </c>
      <c r="AN87" s="124" t="s">
        <v>156</v>
      </c>
      <c r="AO87" s="124" t="s">
        <v>240</v>
      </c>
      <c r="AP87" s="124"/>
    </row>
    <row r="88">
      <c r="A88" s="124" t="s">
        <v>1611</v>
      </c>
      <c r="B88" s="124" t="s">
        <v>1612</v>
      </c>
      <c r="C88" s="124" t="s">
        <v>1614</v>
      </c>
      <c r="D88" s="127">
        <v>38229.0</v>
      </c>
      <c r="E88" s="124" t="s">
        <v>98</v>
      </c>
      <c r="F88" s="124" t="s">
        <v>1615</v>
      </c>
      <c r="G88" s="124" t="s">
        <v>1617</v>
      </c>
      <c r="H88" s="124" t="s">
        <v>382</v>
      </c>
      <c r="I88" s="128"/>
      <c r="J88" s="124" t="s">
        <v>1618</v>
      </c>
      <c r="K88" s="124" t="s">
        <v>1619</v>
      </c>
      <c r="L88" s="124">
        <v>5.548164759E9</v>
      </c>
      <c r="M88" s="128"/>
      <c r="N88" s="128"/>
      <c r="O88" s="128"/>
      <c r="P88" s="129">
        <v>21.0</v>
      </c>
      <c r="Q88" s="130">
        <v>46026.40175925926</v>
      </c>
      <c r="R88" s="124" t="s">
        <v>107</v>
      </c>
      <c r="S88" s="124" t="s">
        <v>125</v>
      </c>
      <c r="T88" s="124" t="s">
        <v>127</v>
      </c>
      <c r="U88" s="124" t="s">
        <v>531</v>
      </c>
      <c r="V88" s="124" t="s">
        <v>532</v>
      </c>
      <c r="W88" s="124" t="s">
        <v>534</v>
      </c>
      <c r="X88" s="124" t="s">
        <v>120</v>
      </c>
      <c r="Y88" s="128"/>
      <c r="Z88" s="124" t="s">
        <v>117</v>
      </c>
      <c r="AA88" s="124" t="s">
        <v>1624</v>
      </c>
      <c r="AB88" s="124" t="s">
        <v>120</v>
      </c>
      <c r="AC88" s="124" t="s">
        <v>120</v>
      </c>
      <c r="AD88" s="128"/>
      <c r="AE88" s="124" t="s">
        <v>120</v>
      </c>
      <c r="AF88" s="128"/>
      <c r="AG88" s="124" t="s">
        <v>120</v>
      </c>
      <c r="AH88" s="128"/>
      <c r="AI88" s="124" t="s">
        <v>120</v>
      </c>
      <c r="AJ88" s="128"/>
      <c r="AK88" s="128"/>
      <c r="AL88" s="124" t="s">
        <v>128</v>
      </c>
      <c r="AM88" s="124" t="s">
        <v>216</v>
      </c>
      <c r="AN88" s="124" t="s">
        <v>185</v>
      </c>
      <c r="AO88" s="124" t="s">
        <v>242</v>
      </c>
      <c r="AP88" s="124"/>
    </row>
    <row r="89">
      <c r="A89" s="124" t="s">
        <v>1434</v>
      </c>
      <c r="B89" s="124" t="s">
        <v>1436</v>
      </c>
      <c r="C89" s="124" t="s">
        <v>1439</v>
      </c>
      <c r="D89" s="127">
        <v>41204.0</v>
      </c>
      <c r="E89" s="124" t="s">
        <v>177</v>
      </c>
      <c r="F89" s="124">
        <v>5.55108371E9</v>
      </c>
      <c r="G89" s="124" t="s">
        <v>1441</v>
      </c>
      <c r="H89" s="124" t="s">
        <v>150</v>
      </c>
      <c r="I89" s="124" t="s">
        <v>1442</v>
      </c>
      <c r="J89" s="124" t="s">
        <v>1443</v>
      </c>
      <c r="K89" s="124" t="s">
        <v>1441</v>
      </c>
      <c r="L89" s="124">
        <v>5.55108371E9</v>
      </c>
      <c r="M89" s="128"/>
      <c r="N89" s="128"/>
      <c r="O89" s="128"/>
      <c r="P89" s="129">
        <v>13.0</v>
      </c>
      <c r="Q89" s="130">
        <v>46033.48875</v>
      </c>
      <c r="R89" s="124" t="s">
        <v>107</v>
      </c>
      <c r="S89" s="124" t="s">
        <v>109</v>
      </c>
      <c r="T89" s="124" t="s">
        <v>204</v>
      </c>
      <c r="U89" s="124" t="s">
        <v>357</v>
      </c>
      <c r="V89" s="124" t="s">
        <v>359</v>
      </c>
      <c r="W89" s="124" t="s">
        <v>362</v>
      </c>
      <c r="X89" s="124" t="s">
        <v>120</v>
      </c>
      <c r="Y89" s="128"/>
      <c r="Z89" s="124" t="s">
        <v>117</v>
      </c>
      <c r="AA89" s="124" t="s">
        <v>1453</v>
      </c>
      <c r="AB89" s="124" t="s">
        <v>120</v>
      </c>
      <c r="AC89" s="124" t="s">
        <v>120</v>
      </c>
      <c r="AD89" s="128"/>
      <c r="AE89" s="124" t="s">
        <v>120</v>
      </c>
      <c r="AF89" s="128"/>
      <c r="AG89" s="124" t="s">
        <v>120</v>
      </c>
      <c r="AH89" s="128"/>
      <c r="AI89" s="124" t="s">
        <v>120</v>
      </c>
      <c r="AJ89" s="128"/>
      <c r="AK89" s="128"/>
      <c r="AL89" s="124" t="s">
        <v>185</v>
      </c>
      <c r="AM89" s="124" t="s">
        <v>216</v>
      </c>
      <c r="AN89" s="124" t="s">
        <v>138</v>
      </c>
      <c r="AO89" s="124" t="s">
        <v>242</v>
      </c>
      <c r="AP89" s="124"/>
    </row>
    <row r="90">
      <c r="A90" s="124" t="s">
        <v>2981</v>
      </c>
      <c r="B90" s="124" t="s">
        <v>2982</v>
      </c>
      <c r="C90" s="124" t="s">
        <v>2984</v>
      </c>
      <c r="D90" s="127">
        <v>40615.0</v>
      </c>
      <c r="E90" s="124" t="s">
        <v>177</v>
      </c>
      <c r="F90" s="124">
        <v>5.574708778E9</v>
      </c>
      <c r="G90" s="124" t="s">
        <v>2986</v>
      </c>
      <c r="H90" s="124" t="s">
        <v>140</v>
      </c>
      <c r="I90" s="128"/>
      <c r="J90" s="124" t="s">
        <v>2987</v>
      </c>
      <c r="K90" s="124" t="s">
        <v>2988</v>
      </c>
      <c r="L90" s="124">
        <v>5.540748263E9</v>
      </c>
      <c r="M90" s="128"/>
      <c r="N90" s="128"/>
      <c r="O90" s="128"/>
      <c r="P90" s="129">
        <v>14.0</v>
      </c>
      <c r="Q90" s="130">
        <v>46040.4841087963</v>
      </c>
      <c r="R90" s="124" t="s">
        <v>107</v>
      </c>
      <c r="S90" s="124" t="s">
        <v>109</v>
      </c>
      <c r="T90" s="124" t="s">
        <v>192</v>
      </c>
      <c r="U90" s="124" t="s">
        <v>505</v>
      </c>
      <c r="V90" s="124" t="s">
        <v>506</v>
      </c>
      <c r="W90" s="124" t="s">
        <v>507</v>
      </c>
      <c r="X90" s="124" t="s">
        <v>120</v>
      </c>
      <c r="Y90" s="128"/>
      <c r="Z90" s="124" t="s">
        <v>120</v>
      </c>
      <c r="AA90" s="128"/>
      <c r="AB90" s="124" t="s">
        <v>120</v>
      </c>
      <c r="AC90" s="128"/>
      <c r="AD90" s="128"/>
      <c r="AE90" s="124" t="s">
        <v>120</v>
      </c>
      <c r="AF90" s="128"/>
      <c r="AG90" s="124" t="s">
        <v>120</v>
      </c>
      <c r="AH90" s="128"/>
      <c r="AI90" s="124" t="s">
        <v>120</v>
      </c>
      <c r="AJ90" s="128"/>
      <c r="AK90" s="128"/>
      <c r="AL90" s="124" t="s">
        <v>240</v>
      </c>
      <c r="AM90" s="124" t="s">
        <v>242</v>
      </c>
      <c r="AN90" s="124" t="s">
        <v>185</v>
      </c>
      <c r="AO90" s="124" t="s">
        <v>126</v>
      </c>
      <c r="AP90" s="124"/>
    </row>
    <row r="91">
      <c r="A91" s="124" t="s">
        <v>2992</v>
      </c>
      <c r="B91" s="124" t="s">
        <v>2993</v>
      </c>
      <c r="C91" s="124" t="s">
        <v>2994</v>
      </c>
      <c r="D91" s="127">
        <v>40091.0</v>
      </c>
      <c r="E91" s="124" t="s">
        <v>177</v>
      </c>
      <c r="F91" s="124">
        <v>5.513797836E9</v>
      </c>
      <c r="G91" s="124" t="s">
        <v>2996</v>
      </c>
      <c r="H91" s="124" t="s">
        <v>150</v>
      </c>
      <c r="I91" s="128"/>
      <c r="J91" s="124" t="s">
        <v>2997</v>
      </c>
      <c r="K91" s="124" t="s">
        <v>2996</v>
      </c>
      <c r="L91" s="124">
        <v>5.561796067E9</v>
      </c>
      <c r="M91" s="128"/>
      <c r="N91" s="128"/>
      <c r="O91" s="128"/>
      <c r="P91" s="129">
        <v>16.0</v>
      </c>
      <c r="Q91" s="130">
        <v>46037.809641203705</v>
      </c>
      <c r="R91" s="124" t="s">
        <v>107</v>
      </c>
      <c r="S91" s="124" t="s">
        <v>109</v>
      </c>
      <c r="T91" s="124" t="s">
        <v>160</v>
      </c>
      <c r="U91" s="124" t="s">
        <v>161</v>
      </c>
      <c r="V91" s="124" t="s">
        <v>163</v>
      </c>
      <c r="W91" s="124" t="s">
        <v>165</v>
      </c>
      <c r="X91" s="124" t="s">
        <v>120</v>
      </c>
      <c r="Y91" s="128"/>
      <c r="Z91" s="124" t="s">
        <v>120</v>
      </c>
      <c r="AA91" s="128"/>
      <c r="AB91" s="124" t="s">
        <v>120</v>
      </c>
      <c r="AC91" s="124" t="s">
        <v>120</v>
      </c>
      <c r="AD91" s="128"/>
      <c r="AE91" s="124" t="s">
        <v>120</v>
      </c>
      <c r="AF91" s="128"/>
      <c r="AG91" s="124" t="s">
        <v>120</v>
      </c>
      <c r="AH91" s="128"/>
      <c r="AI91" s="124" t="s">
        <v>120</v>
      </c>
      <c r="AJ91" s="128"/>
      <c r="AK91" s="128"/>
      <c r="AL91" s="124" t="s">
        <v>240</v>
      </c>
      <c r="AM91" s="124" t="s">
        <v>185</v>
      </c>
      <c r="AN91" s="124" t="s">
        <v>216</v>
      </c>
      <c r="AO91" s="124" t="s">
        <v>185</v>
      </c>
      <c r="AP91" s="124"/>
    </row>
    <row r="92">
      <c r="A92" s="124" t="s">
        <v>451</v>
      </c>
      <c r="B92" s="124" t="s">
        <v>452</v>
      </c>
      <c r="C92" s="124" t="s">
        <v>453</v>
      </c>
      <c r="D92" s="127">
        <v>37476.0</v>
      </c>
      <c r="E92" s="124" t="s">
        <v>98</v>
      </c>
      <c r="F92" s="124">
        <v>5.525225006E9</v>
      </c>
      <c r="G92" s="124" t="s">
        <v>455</v>
      </c>
      <c r="H92" s="124" t="s">
        <v>101</v>
      </c>
      <c r="I92" s="128"/>
      <c r="J92" s="124" t="s">
        <v>456</v>
      </c>
      <c r="K92" s="124" t="s">
        <v>457</v>
      </c>
      <c r="L92" s="124">
        <v>5.532320385E9</v>
      </c>
      <c r="M92" s="128"/>
      <c r="N92" s="128"/>
      <c r="O92" s="128"/>
      <c r="P92" s="129">
        <v>23.0</v>
      </c>
      <c r="Q92" s="130">
        <v>46039.755833333336</v>
      </c>
      <c r="R92" s="124" t="s">
        <v>107</v>
      </c>
      <c r="S92" s="124" t="s">
        <v>125</v>
      </c>
      <c r="T92" s="124" t="s">
        <v>127</v>
      </c>
      <c r="U92" s="124" t="s">
        <v>130</v>
      </c>
      <c r="V92" s="124" t="s">
        <v>131</v>
      </c>
      <c r="W92" s="124" t="s">
        <v>132</v>
      </c>
      <c r="X92" s="124" t="s">
        <v>117</v>
      </c>
      <c r="Y92" s="128"/>
      <c r="Z92" s="124" t="s">
        <v>117</v>
      </c>
      <c r="AA92" s="128"/>
      <c r="AB92" s="124" t="s">
        <v>117</v>
      </c>
      <c r="AC92" s="124" t="s">
        <v>117</v>
      </c>
      <c r="AD92" s="128"/>
      <c r="AE92" s="124" t="s">
        <v>117</v>
      </c>
      <c r="AF92" s="128"/>
      <c r="AG92" s="124" t="s">
        <v>117</v>
      </c>
      <c r="AH92" s="128"/>
      <c r="AI92" s="124" t="s">
        <v>117</v>
      </c>
      <c r="AJ92" s="128"/>
      <c r="AK92" s="128"/>
      <c r="AL92" s="124" t="s">
        <v>138</v>
      </c>
      <c r="AM92" s="124" t="s">
        <v>156</v>
      </c>
      <c r="AN92" s="124" t="s">
        <v>124</v>
      </c>
      <c r="AO92" s="124" t="s">
        <v>129</v>
      </c>
      <c r="AP92" s="124"/>
    </row>
    <row r="93">
      <c r="A93" s="124" t="s">
        <v>3002</v>
      </c>
      <c r="B93" s="124" t="s">
        <v>1231</v>
      </c>
      <c r="C93" s="124" t="s">
        <v>3003</v>
      </c>
      <c r="D93" s="127">
        <v>39812.0</v>
      </c>
      <c r="E93" s="124" t="s">
        <v>98</v>
      </c>
      <c r="F93" s="124">
        <v>9.511910926E9</v>
      </c>
      <c r="G93" s="124" t="s">
        <v>3004</v>
      </c>
      <c r="H93" s="124" t="s">
        <v>101</v>
      </c>
      <c r="I93" s="124" t="s">
        <v>3005</v>
      </c>
      <c r="J93" s="124" t="s">
        <v>3006</v>
      </c>
      <c r="K93" s="124" t="s">
        <v>3004</v>
      </c>
      <c r="L93" s="124">
        <v>9.511910926E9</v>
      </c>
      <c r="M93" s="128"/>
      <c r="N93" s="128"/>
      <c r="O93" s="128"/>
      <c r="P93" s="129">
        <v>17.0</v>
      </c>
      <c r="Q93" s="130">
        <v>46040.61274305556</v>
      </c>
      <c r="R93" s="124" t="s">
        <v>107</v>
      </c>
      <c r="S93" s="124" t="s">
        <v>109</v>
      </c>
      <c r="T93" s="124" t="s">
        <v>127</v>
      </c>
      <c r="U93" s="124" t="s">
        <v>234</v>
      </c>
      <c r="V93" s="124" t="s">
        <v>227</v>
      </c>
      <c r="W93" s="124" t="s">
        <v>236</v>
      </c>
      <c r="X93" s="124" t="s">
        <v>120</v>
      </c>
      <c r="Y93" s="128"/>
      <c r="Z93" s="124" t="s">
        <v>120</v>
      </c>
      <c r="AA93" s="128"/>
      <c r="AB93" s="124" t="s">
        <v>120</v>
      </c>
      <c r="AC93" s="128"/>
      <c r="AD93" s="128"/>
      <c r="AE93" s="124" t="s">
        <v>120</v>
      </c>
      <c r="AF93" s="128"/>
      <c r="AG93" s="124" t="s">
        <v>120</v>
      </c>
      <c r="AH93" s="128"/>
      <c r="AI93" s="124" t="s">
        <v>120</v>
      </c>
      <c r="AJ93" s="128"/>
      <c r="AK93" s="128"/>
      <c r="AL93" s="124" t="s">
        <v>185</v>
      </c>
      <c r="AM93" s="124" t="s">
        <v>126</v>
      </c>
      <c r="AN93" s="124" t="s">
        <v>242</v>
      </c>
      <c r="AO93" s="124" t="s">
        <v>138</v>
      </c>
      <c r="AP93" s="124"/>
    </row>
    <row r="94">
      <c r="A94" s="124" t="s">
        <v>2403</v>
      </c>
      <c r="B94" s="124" t="s">
        <v>2406</v>
      </c>
      <c r="C94" s="124" t="s">
        <v>2407</v>
      </c>
      <c r="D94" s="127">
        <v>39948.0</v>
      </c>
      <c r="E94" s="124" t="s">
        <v>98</v>
      </c>
      <c r="F94" s="124">
        <v>5.615632529E9</v>
      </c>
      <c r="G94" s="124" t="s">
        <v>2409</v>
      </c>
      <c r="H94" s="124" t="s">
        <v>101</v>
      </c>
      <c r="I94" s="128"/>
      <c r="J94" s="124" t="s">
        <v>2411</v>
      </c>
      <c r="K94" s="124" t="s">
        <v>2412</v>
      </c>
      <c r="L94" s="124">
        <v>5.511234392E9</v>
      </c>
      <c r="M94" s="128"/>
      <c r="N94" s="128"/>
      <c r="O94" s="128"/>
      <c r="P94" s="129">
        <v>16.0</v>
      </c>
      <c r="Q94" s="130">
        <v>46033.46265046296</v>
      </c>
      <c r="R94" s="124" t="s">
        <v>107</v>
      </c>
      <c r="S94" s="124" t="s">
        <v>109</v>
      </c>
      <c r="T94" s="124" t="s">
        <v>160</v>
      </c>
      <c r="U94" s="124" t="s">
        <v>329</v>
      </c>
      <c r="V94" s="124" t="s">
        <v>331</v>
      </c>
      <c r="W94" s="124" t="s">
        <v>332</v>
      </c>
      <c r="X94" s="124" t="s">
        <v>120</v>
      </c>
      <c r="Y94" s="128"/>
      <c r="Z94" s="124" t="s">
        <v>120</v>
      </c>
      <c r="AA94" s="128"/>
      <c r="AB94" s="124" t="s">
        <v>120</v>
      </c>
      <c r="AC94" s="128"/>
      <c r="AD94" s="128"/>
      <c r="AE94" s="124" t="s">
        <v>117</v>
      </c>
      <c r="AF94" s="124" t="s">
        <v>2419</v>
      </c>
      <c r="AG94" s="124" t="s">
        <v>120</v>
      </c>
      <c r="AH94" s="128"/>
      <c r="AI94" s="124" t="s">
        <v>120</v>
      </c>
      <c r="AJ94" s="128"/>
      <c r="AK94" s="128"/>
      <c r="AL94" s="124" t="s">
        <v>129</v>
      </c>
      <c r="AM94" s="124" t="s">
        <v>156</v>
      </c>
      <c r="AN94" s="124" t="s">
        <v>138</v>
      </c>
      <c r="AO94" s="124" t="s">
        <v>185</v>
      </c>
      <c r="AP94" s="124"/>
    </row>
    <row r="95">
      <c r="A95" s="124" t="s">
        <v>3007</v>
      </c>
      <c r="B95" s="124" t="s">
        <v>3008</v>
      </c>
      <c r="C95" s="124" t="s">
        <v>3009</v>
      </c>
      <c r="D95" s="127">
        <v>39947.0</v>
      </c>
      <c r="E95" s="124" t="s">
        <v>177</v>
      </c>
      <c r="F95" s="124">
        <v>5.625550885E9</v>
      </c>
      <c r="G95" s="124" t="s">
        <v>3010</v>
      </c>
      <c r="H95" s="124" t="s">
        <v>101</v>
      </c>
      <c r="I95" s="128"/>
      <c r="J95" s="124" t="s">
        <v>3011</v>
      </c>
      <c r="K95" s="124" t="s">
        <v>3012</v>
      </c>
      <c r="L95" s="124">
        <v>5.532222684E9</v>
      </c>
      <c r="M95" s="124" t="s">
        <v>3013</v>
      </c>
      <c r="N95" s="124" t="s">
        <v>3014</v>
      </c>
      <c r="O95" s="124">
        <v>5.543554131E9</v>
      </c>
      <c r="P95" s="129">
        <v>16.0</v>
      </c>
      <c r="Q95" s="130">
        <v>46019.511030092595</v>
      </c>
      <c r="R95" s="124" t="s">
        <v>107</v>
      </c>
      <c r="S95" s="124" t="s">
        <v>109</v>
      </c>
      <c r="T95" s="124" t="s">
        <v>171</v>
      </c>
      <c r="U95" s="124" t="s">
        <v>388</v>
      </c>
      <c r="V95" s="124" t="s">
        <v>389</v>
      </c>
      <c r="W95" s="124" t="s">
        <v>392</v>
      </c>
      <c r="X95" s="124" t="s">
        <v>120</v>
      </c>
      <c r="Y95" s="128"/>
      <c r="Z95" s="124" t="s">
        <v>120</v>
      </c>
      <c r="AA95" s="128"/>
      <c r="AB95" s="124" t="s">
        <v>120</v>
      </c>
      <c r="AC95" s="128"/>
      <c r="AD95" s="128"/>
      <c r="AE95" s="124" t="s">
        <v>120</v>
      </c>
      <c r="AF95" s="128"/>
      <c r="AG95" s="124" t="s">
        <v>120</v>
      </c>
      <c r="AH95" s="128"/>
      <c r="AI95" s="124" t="s">
        <v>120</v>
      </c>
      <c r="AJ95" s="128"/>
      <c r="AK95" s="128"/>
      <c r="AL95" s="124" t="s">
        <v>126</v>
      </c>
      <c r="AM95" s="124" t="s">
        <v>128</v>
      </c>
      <c r="AN95" s="124" t="s">
        <v>124</v>
      </c>
      <c r="AO95" s="124" t="s">
        <v>141</v>
      </c>
      <c r="AP95" s="124"/>
    </row>
    <row r="96">
      <c r="A96" s="124" t="s">
        <v>3015</v>
      </c>
      <c r="B96" s="124" t="s">
        <v>3016</v>
      </c>
      <c r="C96" s="124" t="s">
        <v>3017</v>
      </c>
      <c r="D96" s="127">
        <v>39881.0</v>
      </c>
      <c r="E96" s="124" t="s">
        <v>177</v>
      </c>
      <c r="F96" s="124">
        <v>5.514586519E9</v>
      </c>
      <c r="G96" s="124" t="s">
        <v>3018</v>
      </c>
      <c r="H96" s="124" t="s">
        <v>110</v>
      </c>
      <c r="I96" s="124" t="s">
        <v>1636</v>
      </c>
      <c r="J96" s="124" t="s">
        <v>3019</v>
      </c>
      <c r="K96" s="124" t="s">
        <v>3018</v>
      </c>
      <c r="L96" s="124">
        <v>5.625837749E9</v>
      </c>
      <c r="M96" s="128"/>
      <c r="N96" s="128"/>
      <c r="O96" s="128"/>
      <c r="P96" s="129">
        <v>16.0</v>
      </c>
      <c r="Q96" s="130">
        <v>46033.50506944444</v>
      </c>
      <c r="R96" s="124" t="s">
        <v>107</v>
      </c>
      <c r="S96" s="124" t="s">
        <v>109</v>
      </c>
      <c r="T96" s="124" t="s">
        <v>111</v>
      </c>
      <c r="U96" s="124" t="s">
        <v>657</v>
      </c>
      <c r="V96" s="124" t="s">
        <v>659</v>
      </c>
      <c r="W96" s="124" t="s">
        <v>662</v>
      </c>
      <c r="X96" s="124" t="s">
        <v>120</v>
      </c>
      <c r="Y96" s="124" t="s">
        <v>667</v>
      </c>
      <c r="Z96" s="124" t="s">
        <v>120</v>
      </c>
      <c r="AA96" s="124" t="s">
        <v>667</v>
      </c>
      <c r="AB96" s="124" t="s">
        <v>120</v>
      </c>
      <c r="AC96" s="124" t="s">
        <v>120</v>
      </c>
      <c r="AD96" s="124" t="s">
        <v>667</v>
      </c>
      <c r="AE96" s="124" t="s">
        <v>120</v>
      </c>
      <c r="AF96" s="124" t="s">
        <v>667</v>
      </c>
      <c r="AG96" s="124" t="s">
        <v>120</v>
      </c>
      <c r="AH96" s="124" t="s">
        <v>667</v>
      </c>
      <c r="AI96" s="124" t="s">
        <v>120</v>
      </c>
      <c r="AJ96" s="124" t="s">
        <v>667</v>
      </c>
      <c r="AK96" s="124" t="s">
        <v>1325</v>
      </c>
      <c r="AL96" s="124" t="s">
        <v>129</v>
      </c>
      <c r="AM96" s="124" t="s">
        <v>141</v>
      </c>
      <c r="AN96" s="124" t="s">
        <v>185</v>
      </c>
      <c r="AO96" s="124" t="s">
        <v>156</v>
      </c>
      <c r="AP96" s="124"/>
    </row>
    <row r="97">
      <c r="A97" s="124" t="s">
        <v>1056</v>
      </c>
      <c r="B97" s="124" t="s">
        <v>1057</v>
      </c>
      <c r="C97" s="124" t="s">
        <v>1058</v>
      </c>
      <c r="D97" s="127">
        <v>37733.0</v>
      </c>
      <c r="E97" s="124" t="s">
        <v>177</v>
      </c>
      <c r="F97" s="124">
        <v>5.551063781E9</v>
      </c>
      <c r="G97" s="124" t="s">
        <v>1064</v>
      </c>
      <c r="H97" s="124" t="s">
        <v>110</v>
      </c>
      <c r="I97" s="128"/>
      <c r="J97" s="124" t="s">
        <v>1068</v>
      </c>
      <c r="K97" s="124" t="s">
        <v>1070</v>
      </c>
      <c r="L97" s="124">
        <v>5.540537217E9</v>
      </c>
      <c r="M97" s="128"/>
      <c r="N97" s="128"/>
      <c r="O97" s="128"/>
      <c r="P97" s="129">
        <v>22.0</v>
      </c>
      <c r="Q97" s="130">
        <v>46026.496030092596</v>
      </c>
      <c r="R97" s="124" t="s">
        <v>107</v>
      </c>
      <c r="S97" s="124" t="s">
        <v>125</v>
      </c>
      <c r="T97" s="124" t="s">
        <v>160</v>
      </c>
      <c r="U97" s="124" t="s">
        <v>279</v>
      </c>
      <c r="V97" s="124" t="s">
        <v>280</v>
      </c>
      <c r="W97" s="124" t="s">
        <v>282</v>
      </c>
      <c r="X97" s="124" t="s">
        <v>120</v>
      </c>
      <c r="Y97" s="128"/>
      <c r="Z97" s="124" t="s">
        <v>120</v>
      </c>
      <c r="AA97" s="128"/>
      <c r="AB97" s="124" t="s">
        <v>120</v>
      </c>
      <c r="AC97" s="124" t="s">
        <v>120</v>
      </c>
      <c r="AD97" s="128"/>
      <c r="AE97" s="124" t="s">
        <v>120</v>
      </c>
      <c r="AF97" s="128"/>
      <c r="AG97" s="124" t="s">
        <v>120</v>
      </c>
      <c r="AH97" s="128"/>
      <c r="AI97" s="124" t="s">
        <v>120</v>
      </c>
      <c r="AJ97" s="128"/>
      <c r="AK97" s="128"/>
      <c r="AL97" s="124" t="s">
        <v>156</v>
      </c>
      <c r="AM97" s="124" t="s">
        <v>185</v>
      </c>
      <c r="AN97" s="124" t="s">
        <v>128</v>
      </c>
      <c r="AO97" s="124" t="s">
        <v>129</v>
      </c>
      <c r="AP97" s="124"/>
    </row>
    <row r="98">
      <c r="A98" s="124" t="s">
        <v>1632</v>
      </c>
      <c r="B98" s="124" t="s">
        <v>1633</v>
      </c>
      <c r="C98" s="124" t="s">
        <v>1635</v>
      </c>
      <c r="D98" s="127">
        <v>35692.0</v>
      </c>
      <c r="E98" s="124" t="s">
        <v>177</v>
      </c>
      <c r="F98" s="124">
        <v>5.625165064E9</v>
      </c>
      <c r="G98" s="124" t="s">
        <v>1467</v>
      </c>
      <c r="H98" s="124" t="s">
        <v>150</v>
      </c>
      <c r="I98" s="124" t="s">
        <v>1636</v>
      </c>
      <c r="J98" s="124" t="s">
        <v>1637</v>
      </c>
      <c r="K98" s="124" t="s">
        <v>1470</v>
      </c>
      <c r="L98" s="124">
        <v>5.514126075E9</v>
      </c>
      <c r="M98" s="128"/>
      <c r="N98" s="128"/>
      <c r="O98" s="128"/>
      <c r="P98" s="129">
        <v>28.0</v>
      </c>
      <c r="Q98" s="130">
        <v>46040.51008101852</v>
      </c>
      <c r="R98" s="124" t="s">
        <v>107</v>
      </c>
      <c r="S98" s="124" t="s">
        <v>125</v>
      </c>
      <c r="T98" s="124" t="s">
        <v>111</v>
      </c>
      <c r="U98" s="124" t="s">
        <v>657</v>
      </c>
      <c r="V98" s="124" t="s">
        <v>659</v>
      </c>
      <c r="W98" s="124" t="s">
        <v>662</v>
      </c>
      <c r="X98" s="124" t="s">
        <v>120</v>
      </c>
      <c r="Y98" s="128"/>
      <c r="Z98" s="124" t="s">
        <v>117</v>
      </c>
      <c r="AA98" s="124" t="s">
        <v>1641</v>
      </c>
      <c r="AB98" s="124" t="s">
        <v>117</v>
      </c>
      <c r="AC98" s="124" t="s">
        <v>117</v>
      </c>
      <c r="AD98" s="124" t="s">
        <v>1644</v>
      </c>
      <c r="AE98" s="124" t="s">
        <v>117</v>
      </c>
      <c r="AF98" s="124" t="s">
        <v>366</v>
      </c>
      <c r="AG98" s="124" t="s">
        <v>120</v>
      </c>
      <c r="AH98" s="128"/>
      <c r="AI98" s="124" t="s">
        <v>120</v>
      </c>
      <c r="AJ98" s="128"/>
      <c r="AK98" s="128"/>
      <c r="AL98" s="124" t="s">
        <v>141</v>
      </c>
      <c r="AM98" s="124" t="s">
        <v>138</v>
      </c>
      <c r="AN98" s="124" t="s">
        <v>129</v>
      </c>
      <c r="AO98" s="124" t="s">
        <v>124</v>
      </c>
      <c r="AP98" s="124"/>
    </row>
    <row r="99">
      <c r="A99" s="124" t="s">
        <v>1650</v>
      </c>
      <c r="B99" s="124" t="s">
        <v>1651</v>
      </c>
      <c r="C99" s="124" t="s">
        <v>1653</v>
      </c>
      <c r="D99" s="127">
        <v>35211.0</v>
      </c>
      <c r="E99" s="124" t="s">
        <v>98</v>
      </c>
      <c r="F99" s="124">
        <v>5.577562938E9</v>
      </c>
      <c r="G99" s="124" t="s">
        <v>1656</v>
      </c>
      <c r="H99" s="124" t="s">
        <v>140</v>
      </c>
      <c r="I99" s="128"/>
      <c r="J99" s="124" t="s">
        <v>1659</v>
      </c>
      <c r="K99" s="124" t="s">
        <v>1660</v>
      </c>
      <c r="L99" s="124">
        <v>5.57544131E9</v>
      </c>
      <c r="M99" s="128"/>
      <c r="N99" s="128"/>
      <c r="O99" s="128"/>
      <c r="P99" s="129">
        <v>29.0</v>
      </c>
      <c r="Q99" s="130">
        <v>46033.58751157407</v>
      </c>
      <c r="R99" s="124" t="s">
        <v>107</v>
      </c>
      <c r="S99" s="124" t="s">
        <v>125</v>
      </c>
      <c r="T99" s="124" t="s">
        <v>127</v>
      </c>
      <c r="U99" s="124" t="s">
        <v>531</v>
      </c>
      <c r="V99" s="124" t="s">
        <v>532</v>
      </c>
      <c r="W99" s="124" t="s">
        <v>534</v>
      </c>
      <c r="X99" s="124" t="s">
        <v>120</v>
      </c>
      <c r="Y99" s="128"/>
      <c r="Z99" s="124" t="s">
        <v>117</v>
      </c>
      <c r="AA99" s="124" t="s">
        <v>1582</v>
      </c>
      <c r="AB99" s="124" t="s">
        <v>117</v>
      </c>
      <c r="AC99" s="124" t="s">
        <v>117</v>
      </c>
      <c r="AD99" s="124" t="s">
        <v>1053</v>
      </c>
      <c r="AE99" s="124" t="s">
        <v>117</v>
      </c>
      <c r="AF99" s="124" t="s">
        <v>1665</v>
      </c>
      <c r="AG99" s="124" t="s">
        <v>117</v>
      </c>
      <c r="AH99" s="124" t="s">
        <v>1667</v>
      </c>
      <c r="AI99" s="124" t="s">
        <v>120</v>
      </c>
      <c r="AJ99" s="128"/>
      <c r="AK99" s="128"/>
      <c r="AL99" s="124" t="s">
        <v>129</v>
      </c>
      <c r="AM99" s="124" t="s">
        <v>138</v>
      </c>
      <c r="AN99" s="124" t="s">
        <v>242</v>
      </c>
      <c r="AO99" s="124" t="s">
        <v>216</v>
      </c>
      <c r="AP99" s="124"/>
    </row>
    <row r="100">
      <c r="A100" s="124" t="s">
        <v>1672</v>
      </c>
      <c r="B100" s="124" t="s">
        <v>1674</v>
      </c>
      <c r="C100" s="124" t="s">
        <v>1675</v>
      </c>
      <c r="D100" s="127">
        <v>36147.0</v>
      </c>
      <c r="E100" s="124" t="s">
        <v>177</v>
      </c>
      <c r="F100" s="124">
        <v>5.633326209E9</v>
      </c>
      <c r="G100" s="124" t="s">
        <v>1681</v>
      </c>
      <c r="H100" s="124" t="s">
        <v>150</v>
      </c>
      <c r="I100" s="128"/>
      <c r="J100" s="124" t="s">
        <v>1683</v>
      </c>
      <c r="K100" s="124" t="s">
        <v>1686</v>
      </c>
      <c r="L100" s="128" t="str">
        <f>+52 55 1070 9578</f>
        <v>#ERROR!</v>
      </c>
      <c r="M100" s="128"/>
      <c r="N100" s="128"/>
      <c r="O100" s="128"/>
      <c r="P100" s="129">
        <v>27.0</v>
      </c>
      <c r="Q100" s="130">
        <v>46041.86274305556</v>
      </c>
      <c r="R100" s="124" t="s">
        <v>260</v>
      </c>
      <c r="S100" s="124" t="s">
        <v>125</v>
      </c>
      <c r="T100" s="124" t="s">
        <v>171</v>
      </c>
      <c r="U100" s="124" t="s">
        <v>262</v>
      </c>
      <c r="V100" s="124" t="s">
        <v>263</v>
      </c>
      <c r="W100" s="124" t="s">
        <v>264</v>
      </c>
      <c r="X100" s="124" t="s">
        <v>120</v>
      </c>
      <c r="Y100" s="128"/>
      <c r="Z100" s="124" t="s">
        <v>120</v>
      </c>
      <c r="AA100" s="128"/>
      <c r="AB100" s="124" t="s">
        <v>120</v>
      </c>
      <c r="AC100" s="128"/>
      <c r="AD100" s="128"/>
      <c r="AE100" s="124" t="s">
        <v>120</v>
      </c>
      <c r="AF100" s="128"/>
      <c r="AG100" s="124" t="s">
        <v>120</v>
      </c>
      <c r="AH100" s="128"/>
      <c r="AI100" s="124" t="s">
        <v>120</v>
      </c>
      <c r="AJ100" s="128"/>
      <c r="AK100" s="128"/>
      <c r="AL100" s="124" t="s">
        <v>138</v>
      </c>
      <c r="AM100" s="124" t="s">
        <v>128</v>
      </c>
      <c r="AN100" s="124" t="s">
        <v>242</v>
      </c>
      <c r="AO100" s="124" t="s">
        <v>156</v>
      </c>
      <c r="AP100" s="124"/>
    </row>
    <row r="101">
      <c r="A101" s="124" t="s">
        <v>1704</v>
      </c>
      <c r="B101" s="124" t="s">
        <v>1705</v>
      </c>
      <c r="C101" s="124" t="s">
        <v>1706</v>
      </c>
      <c r="D101" s="127">
        <v>36981.0</v>
      </c>
      <c r="E101" s="124" t="s">
        <v>98</v>
      </c>
      <c r="F101" s="124">
        <v>5.549377108E9</v>
      </c>
      <c r="G101" s="124" t="s">
        <v>1707</v>
      </c>
      <c r="H101" s="124" t="s">
        <v>101</v>
      </c>
      <c r="I101" s="128"/>
      <c r="J101" s="124" t="s">
        <v>1709</v>
      </c>
      <c r="K101" s="124" t="s">
        <v>532</v>
      </c>
      <c r="L101" s="124" t="s">
        <v>1710</v>
      </c>
      <c r="M101" s="128"/>
      <c r="N101" s="128"/>
      <c r="O101" s="128"/>
      <c r="P101" s="129">
        <v>24.0</v>
      </c>
      <c r="Q101" s="130">
        <v>46033.818032407406</v>
      </c>
      <c r="R101" s="124" t="s">
        <v>107</v>
      </c>
      <c r="S101" s="124" t="s">
        <v>125</v>
      </c>
      <c r="T101" s="124" t="s">
        <v>127</v>
      </c>
      <c r="U101" s="124" t="s">
        <v>531</v>
      </c>
      <c r="V101" s="124" t="s">
        <v>532</v>
      </c>
      <c r="W101" s="124" t="s">
        <v>534</v>
      </c>
      <c r="X101" s="124" t="s">
        <v>120</v>
      </c>
      <c r="Y101" s="128"/>
      <c r="Z101" s="124" t="s">
        <v>120</v>
      </c>
      <c r="AA101" s="128"/>
      <c r="AB101" s="124" t="s">
        <v>120</v>
      </c>
      <c r="AC101" s="128"/>
      <c r="AD101" s="128"/>
      <c r="AE101" s="124" t="s">
        <v>120</v>
      </c>
      <c r="AF101" s="128"/>
      <c r="AG101" s="124" t="s">
        <v>120</v>
      </c>
      <c r="AH101" s="128"/>
      <c r="AI101" s="124" t="s">
        <v>120</v>
      </c>
      <c r="AJ101" s="128"/>
      <c r="AK101" s="128"/>
      <c r="AL101" s="124" t="s">
        <v>126</v>
      </c>
      <c r="AM101" s="124" t="s">
        <v>128</v>
      </c>
      <c r="AN101" s="124" t="s">
        <v>242</v>
      </c>
      <c r="AO101" s="124" t="s">
        <v>216</v>
      </c>
      <c r="AP101" s="124"/>
    </row>
    <row r="102">
      <c r="A102" s="124" t="s">
        <v>3026</v>
      </c>
      <c r="B102" s="124" t="s">
        <v>3027</v>
      </c>
      <c r="C102" s="124" t="s">
        <v>3028</v>
      </c>
      <c r="D102" s="127">
        <v>41125.0</v>
      </c>
      <c r="E102" s="124" t="s">
        <v>98</v>
      </c>
      <c r="F102" s="124">
        <v>5.533310371E9</v>
      </c>
      <c r="G102" s="124" t="s">
        <v>3029</v>
      </c>
      <c r="H102" s="124" t="s">
        <v>140</v>
      </c>
      <c r="I102" s="128"/>
      <c r="J102" s="124" t="s">
        <v>3030</v>
      </c>
      <c r="K102" s="124" t="s">
        <v>3029</v>
      </c>
      <c r="L102" s="124">
        <v>5.533310371E9</v>
      </c>
      <c r="M102" s="128"/>
      <c r="N102" s="128"/>
      <c r="O102" s="128"/>
      <c r="P102" s="129">
        <v>13.0</v>
      </c>
      <c r="Q102" s="130">
        <v>46026.72994212963</v>
      </c>
      <c r="R102" s="124" t="s">
        <v>107</v>
      </c>
      <c r="S102" s="124" t="s">
        <v>109</v>
      </c>
      <c r="T102" s="124" t="s">
        <v>208</v>
      </c>
      <c r="U102" s="124" t="s">
        <v>228</v>
      </c>
      <c r="V102" s="124" t="s">
        <v>229</v>
      </c>
      <c r="W102" s="124" t="s">
        <v>230</v>
      </c>
      <c r="X102" s="124" t="s">
        <v>120</v>
      </c>
      <c r="Y102" s="128"/>
      <c r="Z102" s="124" t="s">
        <v>117</v>
      </c>
      <c r="AA102" s="124" t="s">
        <v>3031</v>
      </c>
      <c r="AB102" s="124" t="s">
        <v>120</v>
      </c>
      <c r="AC102" s="124" t="s">
        <v>120</v>
      </c>
      <c r="AD102" s="128"/>
      <c r="AE102" s="124" t="s">
        <v>120</v>
      </c>
      <c r="AF102" s="128"/>
      <c r="AG102" s="124" t="s">
        <v>120</v>
      </c>
      <c r="AH102" s="128"/>
      <c r="AI102" s="124" t="s">
        <v>120</v>
      </c>
      <c r="AJ102" s="128"/>
      <c r="AK102" s="128"/>
      <c r="AL102" s="124" t="s">
        <v>242</v>
      </c>
      <c r="AM102" s="124" t="s">
        <v>156</v>
      </c>
      <c r="AN102" s="124" t="s">
        <v>216</v>
      </c>
      <c r="AO102" s="124" t="s">
        <v>185</v>
      </c>
      <c r="AP102" s="124"/>
    </row>
    <row r="103">
      <c r="A103" s="124" t="s">
        <v>3032</v>
      </c>
      <c r="B103" s="124" t="s">
        <v>3033</v>
      </c>
      <c r="C103" s="124" t="s">
        <v>3034</v>
      </c>
      <c r="D103" s="127">
        <v>40101.0</v>
      </c>
      <c r="E103" s="124" t="s">
        <v>177</v>
      </c>
      <c r="F103" s="124">
        <v>5.531614338E9</v>
      </c>
      <c r="G103" s="124" t="s">
        <v>3035</v>
      </c>
      <c r="H103" s="124" t="s">
        <v>150</v>
      </c>
      <c r="I103" s="128"/>
      <c r="J103" s="124" t="s">
        <v>3036</v>
      </c>
      <c r="K103" s="124" t="s">
        <v>3037</v>
      </c>
      <c r="L103" s="124">
        <v>5.531614338E9</v>
      </c>
      <c r="M103" s="128"/>
      <c r="N103" s="128"/>
      <c r="O103" s="128"/>
      <c r="P103" s="129">
        <v>16.0</v>
      </c>
      <c r="Q103" s="130">
        <v>46033.497349537036</v>
      </c>
      <c r="R103" s="124" t="s">
        <v>107</v>
      </c>
      <c r="S103" s="124" t="s">
        <v>109</v>
      </c>
      <c r="T103" s="124" t="s">
        <v>160</v>
      </c>
      <c r="U103" s="124" t="s">
        <v>329</v>
      </c>
      <c r="V103" s="124" t="s">
        <v>331</v>
      </c>
      <c r="W103" s="124" t="s">
        <v>332</v>
      </c>
      <c r="X103" s="124" t="s">
        <v>120</v>
      </c>
      <c r="Y103" s="128"/>
      <c r="Z103" s="124" t="s">
        <v>117</v>
      </c>
      <c r="AA103" s="124" t="s">
        <v>3038</v>
      </c>
      <c r="AB103" s="124" t="s">
        <v>120</v>
      </c>
      <c r="AC103" s="128"/>
      <c r="AD103" s="128"/>
      <c r="AE103" s="124" t="s">
        <v>120</v>
      </c>
      <c r="AF103" s="128"/>
      <c r="AG103" s="124" t="s">
        <v>120</v>
      </c>
      <c r="AH103" s="128"/>
      <c r="AI103" s="124" t="s">
        <v>120</v>
      </c>
      <c r="AJ103" s="128"/>
      <c r="AK103" s="128"/>
      <c r="AL103" s="124" t="s">
        <v>128</v>
      </c>
      <c r="AM103" s="124" t="s">
        <v>185</v>
      </c>
      <c r="AN103" s="124" t="s">
        <v>240</v>
      </c>
      <c r="AO103" s="124" t="s">
        <v>156</v>
      </c>
      <c r="AP103" s="124"/>
    </row>
    <row r="104">
      <c r="A104" s="124" t="s">
        <v>1577</v>
      </c>
      <c r="B104" s="124" t="s">
        <v>1579</v>
      </c>
      <c r="C104" s="124" t="s">
        <v>1581</v>
      </c>
      <c r="D104" s="127">
        <v>40022.0</v>
      </c>
      <c r="E104" s="124" t="s">
        <v>98</v>
      </c>
      <c r="F104" s="124">
        <v>2.202773459E9</v>
      </c>
      <c r="G104" s="124" t="s">
        <v>1583</v>
      </c>
      <c r="H104" s="124" t="s">
        <v>150</v>
      </c>
      <c r="I104" s="124" t="s">
        <v>135</v>
      </c>
      <c r="J104" s="124" t="s">
        <v>1585</v>
      </c>
      <c r="K104" s="124" t="s">
        <v>1587</v>
      </c>
      <c r="L104" s="124">
        <v>5.581232117E9</v>
      </c>
      <c r="M104" s="124" t="s">
        <v>1589</v>
      </c>
      <c r="N104" s="124" t="s">
        <v>1590</v>
      </c>
      <c r="O104" s="124">
        <v>5.585680312E9</v>
      </c>
      <c r="P104" s="129">
        <v>16.0</v>
      </c>
      <c r="Q104" s="130">
        <v>46025.83627314815</v>
      </c>
      <c r="R104" s="124" t="s">
        <v>107</v>
      </c>
      <c r="S104" s="124" t="s">
        <v>109</v>
      </c>
      <c r="T104" s="124" t="s">
        <v>127</v>
      </c>
      <c r="U104" s="124" t="s">
        <v>234</v>
      </c>
      <c r="V104" s="124" t="s">
        <v>227</v>
      </c>
      <c r="W104" s="124" t="s">
        <v>236</v>
      </c>
      <c r="X104" s="124" t="s">
        <v>120</v>
      </c>
      <c r="Y104" s="128"/>
      <c r="Z104" s="124" t="s">
        <v>120</v>
      </c>
      <c r="AA104" s="128"/>
      <c r="AB104" s="124" t="s">
        <v>117</v>
      </c>
      <c r="AC104" s="124" t="s">
        <v>117</v>
      </c>
      <c r="AD104" s="124" t="s">
        <v>334</v>
      </c>
      <c r="AE104" s="124" t="s">
        <v>120</v>
      </c>
      <c r="AF104" s="128"/>
      <c r="AG104" s="124" t="s">
        <v>117</v>
      </c>
      <c r="AH104" s="124" t="s">
        <v>1598</v>
      </c>
      <c r="AI104" s="124" t="s">
        <v>120</v>
      </c>
      <c r="AJ104" s="128"/>
      <c r="AK104" s="124" t="s">
        <v>135</v>
      </c>
      <c r="AL104" s="124" t="s">
        <v>185</v>
      </c>
      <c r="AM104" s="124" t="s">
        <v>124</v>
      </c>
      <c r="AN104" s="124" t="s">
        <v>240</v>
      </c>
      <c r="AO104" s="124" t="s">
        <v>128</v>
      </c>
      <c r="AP104" s="124"/>
    </row>
    <row r="105">
      <c r="A105" s="124" t="s">
        <v>3042</v>
      </c>
      <c r="B105" s="124" t="s">
        <v>3043</v>
      </c>
      <c r="C105" s="124" t="s">
        <v>3044</v>
      </c>
      <c r="D105" s="127">
        <v>39093.0</v>
      </c>
      <c r="E105" s="124" t="s">
        <v>98</v>
      </c>
      <c r="F105" s="124">
        <v>5.512918702E9</v>
      </c>
      <c r="G105" s="124" t="s">
        <v>3045</v>
      </c>
      <c r="H105" s="124" t="s">
        <v>150</v>
      </c>
      <c r="I105" s="128"/>
      <c r="J105" s="124" t="s">
        <v>3046</v>
      </c>
      <c r="K105" s="124" t="s">
        <v>3048</v>
      </c>
      <c r="L105" s="124">
        <v>5.635404775E9</v>
      </c>
      <c r="M105" s="128"/>
      <c r="N105" s="128"/>
      <c r="O105" s="128"/>
      <c r="P105" s="129">
        <v>19.0</v>
      </c>
      <c r="Q105" s="130">
        <v>46033.44280092593</v>
      </c>
      <c r="R105" s="124" t="s">
        <v>107</v>
      </c>
      <c r="S105" s="124" t="s">
        <v>125</v>
      </c>
      <c r="T105" s="124" t="s">
        <v>127</v>
      </c>
      <c r="U105" s="124" t="s">
        <v>130</v>
      </c>
      <c r="V105" s="124" t="s">
        <v>131</v>
      </c>
      <c r="W105" s="124" t="s">
        <v>132</v>
      </c>
      <c r="X105" s="124" t="s">
        <v>120</v>
      </c>
      <c r="Y105" s="128"/>
      <c r="Z105" s="124" t="s">
        <v>117</v>
      </c>
      <c r="AA105" s="124" t="s">
        <v>3049</v>
      </c>
      <c r="AB105" s="124" t="s">
        <v>120</v>
      </c>
      <c r="AC105" s="124" t="s">
        <v>120</v>
      </c>
      <c r="AD105" s="128"/>
      <c r="AE105" s="124" t="s">
        <v>120</v>
      </c>
      <c r="AF105" s="128"/>
      <c r="AG105" s="124" t="s">
        <v>120</v>
      </c>
      <c r="AH105" s="128"/>
      <c r="AI105" s="124" t="s">
        <v>120</v>
      </c>
      <c r="AJ105" s="128"/>
      <c r="AK105" s="128"/>
      <c r="AL105" s="124" t="s">
        <v>216</v>
      </c>
      <c r="AM105" s="124" t="s">
        <v>138</v>
      </c>
      <c r="AN105" s="124" t="s">
        <v>242</v>
      </c>
      <c r="AO105" s="124" t="s">
        <v>126</v>
      </c>
      <c r="AP105" s="124"/>
    </row>
    <row r="106">
      <c r="A106" s="124" t="s">
        <v>3052</v>
      </c>
      <c r="B106" s="124" t="s">
        <v>3053</v>
      </c>
      <c r="C106" s="124" t="s">
        <v>3054</v>
      </c>
      <c r="D106" s="127">
        <v>41256.0</v>
      </c>
      <c r="E106" s="124" t="s">
        <v>177</v>
      </c>
      <c r="F106" s="124">
        <v>2.203307633E9</v>
      </c>
      <c r="G106" s="124" t="s">
        <v>3055</v>
      </c>
      <c r="H106" s="124" t="s">
        <v>140</v>
      </c>
      <c r="I106" s="124" t="s">
        <v>135</v>
      </c>
      <c r="J106" s="124" t="s">
        <v>3056</v>
      </c>
      <c r="K106" s="124" t="s">
        <v>3057</v>
      </c>
      <c r="L106" s="124" t="s">
        <v>3058</v>
      </c>
      <c r="M106" s="124" t="s">
        <v>3059</v>
      </c>
      <c r="N106" s="124" t="s">
        <v>3057</v>
      </c>
      <c r="O106" s="124" t="s">
        <v>3060</v>
      </c>
      <c r="P106" s="129">
        <v>13.0</v>
      </c>
      <c r="Q106" s="130">
        <v>46035.620833333334</v>
      </c>
      <c r="R106" s="124" t="s">
        <v>107</v>
      </c>
      <c r="S106" s="124" t="s">
        <v>109</v>
      </c>
      <c r="T106" s="124" t="s">
        <v>204</v>
      </c>
      <c r="U106" s="124" t="s">
        <v>367</v>
      </c>
      <c r="V106" s="124" t="s">
        <v>368</v>
      </c>
      <c r="W106" s="124" t="s">
        <v>369</v>
      </c>
      <c r="X106" s="124" t="s">
        <v>120</v>
      </c>
      <c r="Y106" s="128"/>
      <c r="Z106" s="124" t="s">
        <v>120</v>
      </c>
      <c r="AA106" s="128"/>
      <c r="AB106" s="124" t="s">
        <v>120</v>
      </c>
      <c r="AC106" s="124" t="s">
        <v>120</v>
      </c>
      <c r="AD106" s="128"/>
      <c r="AE106" s="124" t="s">
        <v>120</v>
      </c>
      <c r="AF106" s="128"/>
      <c r="AG106" s="124" t="s">
        <v>120</v>
      </c>
      <c r="AH106" s="128"/>
      <c r="AI106" s="124" t="s">
        <v>120</v>
      </c>
      <c r="AJ106" s="128"/>
      <c r="AK106" s="128"/>
      <c r="AL106" s="124" t="s">
        <v>240</v>
      </c>
      <c r="AM106" s="124" t="s">
        <v>128</v>
      </c>
      <c r="AN106" s="124" t="s">
        <v>156</v>
      </c>
      <c r="AO106" s="124" t="s">
        <v>185</v>
      </c>
      <c r="AP106" s="124"/>
    </row>
    <row r="107">
      <c r="A107" s="124" t="s">
        <v>275</v>
      </c>
      <c r="B107" s="124" t="s">
        <v>277</v>
      </c>
      <c r="C107" s="124" t="s">
        <v>278</v>
      </c>
      <c r="D107" s="127">
        <v>41204.0</v>
      </c>
      <c r="E107" s="124" t="s">
        <v>177</v>
      </c>
      <c r="F107" s="124">
        <v>5.582261421E9</v>
      </c>
      <c r="G107" s="124" t="s">
        <v>281</v>
      </c>
      <c r="H107" s="124" t="s">
        <v>140</v>
      </c>
      <c r="I107" s="124" t="s">
        <v>284</v>
      </c>
      <c r="J107" s="124" t="s">
        <v>287</v>
      </c>
      <c r="K107" s="124" t="s">
        <v>289</v>
      </c>
      <c r="L107" s="124">
        <v>5.582261421E9</v>
      </c>
      <c r="M107" s="128"/>
      <c r="N107" s="128"/>
      <c r="O107" s="128"/>
      <c r="P107" s="129">
        <v>13.0</v>
      </c>
      <c r="Q107" s="130">
        <v>46018.59769675926</v>
      </c>
      <c r="R107" s="124" t="s">
        <v>107</v>
      </c>
      <c r="S107" s="124" t="s">
        <v>109</v>
      </c>
      <c r="T107" s="124" t="s">
        <v>204</v>
      </c>
      <c r="U107" s="124" t="s">
        <v>295</v>
      </c>
      <c r="V107" s="124" t="s">
        <v>298</v>
      </c>
      <c r="W107" s="124" t="s">
        <v>299</v>
      </c>
      <c r="X107" s="124" t="s">
        <v>117</v>
      </c>
      <c r="Y107" s="124" t="s">
        <v>301</v>
      </c>
      <c r="Z107" s="124" t="s">
        <v>117</v>
      </c>
      <c r="AA107" s="124" t="s">
        <v>285</v>
      </c>
      <c r="AB107" s="124" t="s">
        <v>117</v>
      </c>
      <c r="AC107" s="124" t="s">
        <v>117</v>
      </c>
      <c r="AD107" s="124" t="s">
        <v>307</v>
      </c>
      <c r="AE107" s="124" t="s">
        <v>120</v>
      </c>
      <c r="AF107" s="128"/>
      <c r="AG107" s="124" t="s">
        <v>120</v>
      </c>
      <c r="AH107" s="128"/>
      <c r="AI107" s="124" t="s">
        <v>120</v>
      </c>
      <c r="AJ107" s="128"/>
      <c r="AK107" s="128"/>
      <c r="AL107" s="124" t="s">
        <v>129</v>
      </c>
      <c r="AM107" s="124" t="s">
        <v>242</v>
      </c>
      <c r="AN107" s="124" t="s">
        <v>124</v>
      </c>
      <c r="AO107" s="124" t="s">
        <v>138</v>
      </c>
      <c r="AP107" s="124"/>
    </row>
    <row r="108">
      <c r="A108" s="124" t="s">
        <v>3061</v>
      </c>
      <c r="B108" s="124" t="s">
        <v>2109</v>
      </c>
      <c r="C108" s="124" t="s">
        <v>3062</v>
      </c>
      <c r="D108" s="127">
        <v>40415.0</v>
      </c>
      <c r="E108" s="124" t="s">
        <v>98</v>
      </c>
      <c r="F108" s="124">
        <v>0.0</v>
      </c>
      <c r="G108" s="124" t="s">
        <v>3063</v>
      </c>
      <c r="H108" s="124" t="s">
        <v>140</v>
      </c>
      <c r="I108" s="128"/>
      <c r="J108" s="124" t="s">
        <v>2113</v>
      </c>
      <c r="K108" s="124" t="s">
        <v>2114</v>
      </c>
      <c r="L108" s="124">
        <v>5.531576762E9</v>
      </c>
      <c r="M108" s="128"/>
      <c r="N108" s="128"/>
      <c r="O108" s="128"/>
      <c r="P108" s="129">
        <v>15.0</v>
      </c>
      <c r="Q108" s="130">
        <v>46033.534733796296</v>
      </c>
      <c r="R108" s="124" t="s">
        <v>107</v>
      </c>
      <c r="S108" s="124" t="s">
        <v>109</v>
      </c>
      <c r="T108" s="124" t="s">
        <v>127</v>
      </c>
      <c r="U108" s="124" t="s">
        <v>130</v>
      </c>
      <c r="V108" s="124" t="s">
        <v>131</v>
      </c>
      <c r="W108" s="124" t="s">
        <v>132</v>
      </c>
      <c r="X108" s="124" t="s">
        <v>120</v>
      </c>
      <c r="Y108" s="128"/>
      <c r="Z108" s="124" t="s">
        <v>120</v>
      </c>
      <c r="AA108" s="128"/>
      <c r="AB108" s="124" t="s">
        <v>120</v>
      </c>
      <c r="AC108" s="124" t="s">
        <v>120</v>
      </c>
      <c r="AD108" s="128"/>
      <c r="AE108" s="124" t="s">
        <v>120</v>
      </c>
      <c r="AF108" s="128"/>
      <c r="AG108" s="124" t="s">
        <v>120</v>
      </c>
      <c r="AH108" s="128"/>
      <c r="AI108" s="124" t="s">
        <v>120</v>
      </c>
      <c r="AJ108" s="128"/>
      <c r="AK108" s="128"/>
      <c r="AL108" s="124" t="s">
        <v>129</v>
      </c>
      <c r="AM108" s="124" t="s">
        <v>242</v>
      </c>
      <c r="AN108" s="124" t="s">
        <v>185</v>
      </c>
      <c r="AO108" s="124" t="s">
        <v>128</v>
      </c>
      <c r="AP108" s="124"/>
    </row>
    <row r="109">
      <c r="A109" s="124" t="s">
        <v>100</v>
      </c>
      <c r="B109" s="124" t="s">
        <v>103</v>
      </c>
      <c r="C109" s="124" t="s">
        <v>105</v>
      </c>
      <c r="D109" s="127">
        <v>37440.0</v>
      </c>
      <c r="E109" s="124" t="s">
        <v>98</v>
      </c>
      <c r="F109" s="124">
        <v>5.532925135E9</v>
      </c>
      <c r="G109" s="124" t="s">
        <v>108</v>
      </c>
      <c r="H109" s="124" t="s">
        <v>110</v>
      </c>
      <c r="I109" s="124" t="s">
        <v>113</v>
      </c>
      <c r="J109" s="124" t="s">
        <v>116</v>
      </c>
      <c r="K109" s="124" t="s">
        <v>118</v>
      </c>
      <c r="L109" s="124">
        <v>5.518897341E9</v>
      </c>
      <c r="M109" s="124" t="s">
        <v>121</v>
      </c>
      <c r="N109" s="124" t="s">
        <v>122</v>
      </c>
      <c r="O109" s="124">
        <v>5.616129315E9</v>
      </c>
      <c r="P109" s="129">
        <v>23.0</v>
      </c>
      <c r="Q109" s="130">
        <v>45979.36472222222</v>
      </c>
      <c r="R109" s="124" t="s">
        <v>107</v>
      </c>
      <c r="S109" s="124" t="s">
        <v>125</v>
      </c>
      <c r="T109" s="124" t="s">
        <v>127</v>
      </c>
      <c r="U109" s="124" t="s">
        <v>130</v>
      </c>
      <c r="V109" s="124" t="s">
        <v>131</v>
      </c>
      <c r="W109" s="124" t="s">
        <v>132</v>
      </c>
      <c r="X109" s="124" t="s">
        <v>117</v>
      </c>
      <c r="Y109" s="124" t="s">
        <v>133</v>
      </c>
      <c r="Z109" s="124" t="s">
        <v>120</v>
      </c>
      <c r="AA109" s="124" t="s">
        <v>134</v>
      </c>
      <c r="AB109" s="124" t="s">
        <v>120</v>
      </c>
      <c r="AC109" s="124" t="s">
        <v>120</v>
      </c>
      <c r="AD109" s="124" t="s">
        <v>135</v>
      </c>
      <c r="AE109" s="124" t="s">
        <v>120</v>
      </c>
      <c r="AF109" s="124" t="s">
        <v>120</v>
      </c>
      <c r="AG109" s="124" t="s">
        <v>120</v>
      </c>
      <c r="AH109" s="124" t="s">
        <v>120</v>
      </c>
      <c r="AI109" s="124" t="s">
        <v>120</v>
      </c>
      <c r="AJ109" s="124" t="s">
        <v>135</v>
      </c>
      <c r="AK109" s="124" t="s">
        <v>135</v>
      </c>
      <c r="AL109" s="124" t="s">
        <v>124</v>
      </c>
      <c r="AM109" s="124" t="s">
        <v>138</v>
      </c>
      <c r="AN109" s="124" t="s">
        <v>141</v>
      </c>
      <c r="AO109" s="124" t="s">
        <v>129</v>
      </c>
      <c r="AP109" s="124"/>
    </row>
    <row r="110">
      <c r="A110" s="124" t="s">
        <v>3064</v>
      </c>
      <c r="B110" s="124" t="s">
        <v>3065</v>
      </c>
      <c r="C110" s="124" t="s">
        <v>3066</v>
      </c>
      <c r="D110" s="127">
        <v>40819.0</v>
      </c>
      <c r="E110" s="124" t="s">
        <v>98</v>
      </c>
      <c r="F110" s="124">
        <v>5.551056321E9</v>
      </c>
      <c r="G110" s="124" t="s">
        <v>3067</v>
      </c>
      <c r="H110" s="124" t="s">
        <v>140</v>
      </c>
      <c r="I110" s="124" t="s">
        <v>1537</v>
      </c>
      <c r="J110" s="124" t="s">
        <v>3068</v>
      </c>
      <c r="K110" s="124" t="s">
        <v>3067</v>
      </c>
      <c r="L110" s="124">
        <v>5.66088389E9</v>
      </c>
      <c r="M110" s="128"/>
      <c r="N110" s="128"/>
      <c r="O110" s="128"/>
      <c r="P110" s="129">
        <v>14.0</v>
      </c>
      <c r="Q110" s="130">
        <v>46040.55395833333</v>
      </c>
      <c r="R110" s="124" t="s">
        <v>107</v>
      </c>
      <c r="S110" s="124" t="s">
        <v>109</v>
      </c>
      <c r="T110" s="124" t="s">
        <v>160</v>
      </c>
      <c r="U110" s="124" t="s">
        <v>1265</v>
      </c>
      <c r="V110" s="124" t="s">
        <v>1267</v>
      </c>
      <c r="W110" s="124" t="s">
        <v>1268</v>
      </c>
      <c r="X110" s="124" t="s">
        <v>120</v>
      </c>
      <c r="Y110" s="128"/>
      <c r="Z110" s="124" t="s">
        <v>117</v>
      </c>
      <c r="AA110" s="124" t="s">
        <v>1729</v>
      </c>
      <c r="AB110" s="124" t="s">
        <v>120</v>
      </c>
      <c r="AC110" s="128"/>
      <c r="AD110" s="128"/>
      <c r="AE110" s="124" t="s">
        <v>120</v>
      </c>
      <c r="AF110" s="128"/>
      <c r="AG110" s="124" t="s">
        <v>120</v>
      </c>
      <c r="AH110" s="128"/>
      <c r="AI110" s="124" t="s">
        <v>120</v>
      </c>
      <c r="AJ110" s="128"/>
      <c r="AK110" s="128"/>
      <c r="AL110" s="124" t="s">
        <v>156</v>
      </c>
      <c r="AM110" s="124" t="s">
        <v>141</v>
      </c>
      <c r="AN110" s="124" t="s">
        <v>128</v>
      </c>
      <c r="AO110" s="124" t="s">
        <v>240</v>
      </c>
      <c r="AP110" s="124"/>
    </row>
    <row r="111">
      <c r="A111" s="124" t="s">
        <v>3071</v>
      </c>
      <c r="B111" s="124" t="s">
        <v>3072</v>
      </c>
      <c r="C111" s="124" t="s">
        <v>3073</v>
      </c>
      <c r="D111" s="127">
        <v>40906.0</v>
      </c>
      <c r="E111" s="124" t="s">
        <v>98</v>
      </c>
      <c r="F111" s="124">
        <v>5.579632973E9</v>
      </c>
      <c r="G111" s="124" t="s">
        <v>3074</v>
      </c>
      <c r="H111" s="124" t="s">
        <v>140</v>
      </c>
      <c r="I111" s="128"/>
      <c r="J111" s="124" t="s">
        <v>3075</v>
      </c>
      <c r="K111" s="124" t="s">
        <v>3074</v>
      </c>
      <c r="L111" s="124" t="s">
        <v>3076</v>
      </c>
      <c r="M111" s="124" t="s">
        <v>3078</v>
      </c>
      <c r="N111" s="124" t="s">
        <v>3074</v>
      </c>
      <c r="O111" s="124" t="s">
        <v>3076</v>
      </c>
      <c r="P111" s="129">
        <v>14.0</v>
      </c>
      <c r="Q111" s="130">
        <v>46046.964155092595</v>
      </c>
      <c r="R111" s="124" t="s">
        <v>107</v>
      </c>
      <c r="S111" s="124" t="s">
        <v>109</v>
      </c>
      <c r="T111" s="124" t="s">
        <v>208</v>
      </c>
      <c r="U111" s="124" t="s">
        <v>209</v>
      </c>
      <c r="V111" s="124" t="s">
        <v>210</v>
      </c>
      <c r="W111" s="124" t="s">
        <v>211</v>
      </c>
      <c r="X111" s="124" t="s">
        <v>120</v>
      </c>
      <c r="Y111" s="128"/>
      <c r="Z111" s="124" t="s">
        <v>120</v>
      </c>
      <c r="AA111" s="128"/>
      <c r="AB111" s="124" t="s">
        <v>120</v>
      </c>
      <c r="AC111" s="124" t="s">
        <v>120</v>
      </c>
      <c r="AD111" s="128"/>
      <c r="AE111" s="124" t="s">
        <v>120</v>
      </c>
      <c r="AF111" s="128"/>
      <c r="AG111" s="124" t="s">
        <v>120</v>
      </c>
      <c r="AH111" s="128"/>
      <c r="AI111" s="124" t="s">
        <v>120</v>
      </c>
      <c r="AJ111" s="128"/>
      <c r="AK111" s="128"/>
      <c r="AL111" s="124" t="s">
        <v>128</v>
      </c>
      <c r="AM111" s="124" t="s">
        <v>138</v>
      </c>
      <c r="AN111" s="124" t="s">
        <v>124</v>
      </c>
      <c r="AO111" s="124" t="s">
        <v>185</v>
      </c>
      <c r="AP111" s="124"/>
    </row>
    <row r="112">
      <c r="A112" s="124" t="s">
        <v>3079</v>
      </c>
      <c r="B112" s="124" t="s">
        <v>3080</v>
      </c>
      <c r="C112" s="124" t="s">
        <v>3081</v>
      </c>
      <c r="D112" s="127">
        <v>40559.0</v>
      </c>
      <c r="E112" s="124" t="s">
        <v>98</v>
      </c>
      <c r="F112" s="124">
        <v>5.613677581E9</v>
      </c>
      <c r="G112" s="124" t="s">
        <v>3082</v>
      </c>
      <c r="H112" s="124" t="s">
        <v>140</v>
      </c>
      <c r="I112" s="128"/>
      <c r="J112" s="124" t="s">
        <v>3083</v>
      </c>
      <c r="K112" s="124" t="s">
        <v>3084</v>
      </c>
      <c r="L112" s="124">
        <v>5.519486655E9</v>
      </c>
      <c r="M112" s="124" t="s">
        <v>3085</v>
      </c>
      <c r="N112" s="124" t="s">
        <v>3086</v>
      </c>
      <c r="O112" s="124">
        <v>5.581003759E9</v>
      </c>
      <c r="P112" s="129">
        <v>15.0</v>
      </c>
      <c r="Q112" s="130">
        <v>46026.37946759259</v>
      </c>
      <c r="R112" s="124" t="s">
        <v>107</v>
      </c>
      <c r="S112" s="124" t="s">
        <v>109</v>
      </c>
      <c r="T112" s="124" t="s">
        <v>208</v>
      </c>
      <c r="U112" s="124" t="s">
        <v>209</v>
      </c>
      <c r="V112" s="124" t="s">
        <v>210</v>
      </c>
      <c r="W112" s="124" t="s">
        <v>211</v>
      </c>
      <c r="X112" s="124" t="s">
        <v>120</v>
      </c>
      <c r="Y112" s="128"/>
      <c r="Z112" s="124" t="s">
        <v>120</v>
      </c>
      <c r="AA112" s="128"/>
      <c r="AB112" s="124" t="s">
        <v>120</v>
      </c>
      <c r="AC112" s="128"/>
      <c r="AD112" s="128"/>
      <c r="AE112" s="124" t="s">
        <v>120</v>
      </c>
      <c r="AF112" s="128"/>
      <c r="AG112" s="124" t="s">
        <v>120</v>
      </c>
      <c r="AH112" s="128"/>
      <c r="AI112" s="124" t="s">
        <v>120</v>
      </c>
      <c r="AJ112" s="128"/>
      <c r="AK112" s="128"/>
      <c r="AL112" s="124" t="s">
        <v>124</v>
      </c>
      <c r="AM112" s="124" t="s">
        <v>141</v>
      </c>
      <c r="AN112" s="124" t="s">
        <v>185</v>
      </c>
      <c r="AO112" s="124" t="s">
        <v>156</v>
      </c>
      <c r="AP112" s="124"/>
    </row>
    <row r="113">
      <c r="A113" s="124" t="s">
        <v>675</v>
      </c>
      <c r="B113" s="124" t="s">
        <v>676</v>
      </c>
      <c r="C113" s="124" t="s">
        <v>677</v>
      </c>
      <c r="D113" s="127">
        <v>36571.0</v>
      </c>
      <c r="E113" s="124" t="s">
        <v>98</v>
      </c>
      <c r="F113" s="124" t="s">
        <v>678</v>
      </c>
      <c r="G113" s="124" t="s">
        <v>679</v>
      </c>
      <c r="H113" s="124" t="s">
        <v>101</v>
      </c>
      <c r="I113" s="124" t="s">
        <v>680</v>
      </c>
      <c r="J113" s="124" t="s">
        <v>681</v>
      </c>
      <c r="K113" s="124" t="s">
        <v>682</v>
      </c>
      <c r="L113" s="124">
        <v>5.535523044E9</v>
      </c>
      <c r="M113" s="128"/>
      <c r="N113" s="128"/>
      <c r="O113" s="128"/>
      <c r="P113" s="129">
        <v>26.0</v>
      </c>
      <c r="Q113" s="130">
        <v>46026.48459490741</v>
      </c>
      <c r="R113" s="124" t="s">
        <v>107</v>
      </c>
      <c r="S113" s="124" t="s">
        <v>125</v>
      </c>
      <c r="T113" s="124" t="s">
        <v>208</v>
      </c>
      <c r="U113" s="124" t="s">
        <v>228</v>
      </c>
      <c r="V113" s="124" t="s">
        <v>229</v>
      </c>
      <c r="W113" s="124" t="s">
        <v>230</v>
      </c>
      <c r="X113" s="124" t="s">
        <v>120</v>
      </c>
      <c r="Y113" s="124" t="s">
        <v>696</v>
      </c>
      <c r="Z113" s="124" t="s">
        <v>120</v>
      </c>
      <c r="AA113" s="124" t="s">
        <v>696</v>
      </c>
      <c r="AB113" s="124" t="s">
        <v>120</v>
      </c>
      <c r="AC113" s="124" t="s">
        <v>120</v>
      </c>
      <c r="AD113" s="124" t="s">
        <v>696</v>
      </c>
      <c r="AE113" s="124" t="s">
        <v>120</v>
      </c>
      <c r="AF113" s="124" t="s">
        <v>696</v>
      </c>
      <c r="AG113" s="124" t="s">
        <v>120</v>
      </c>
      <c r="AH113" s="124" t="s">
        <v>696</v>
      </c>
      <c r="AI113" s="124" t="s">
        <v>120</v>
      </c>
      <c r="AJ113" s="124" t="s">
        <v>696</v>
      </c>
      <c r="AK113" s="124" t="s">
        <v>696</v>
      </c>
      <c r="AL113" s="124" t="s">
        <v>138</v>
      </c>
      <c r="AM113" s="124" t="s">
        <v>156</v>
      </c>
      <c r="AN113" s="124" t="s">
        <v>216</v>
      </c>
      <c r="AO113" s="124" t="s">
        <v>129</v>
      </c>
      <c r="AP113" s="124"/>
    </row>
    <row r="114">
      <c r="A114" s="124" t="s">
        <v>1722</v>
      </c>
      <c r="B114" s="124" t="s">
        <v>1724</v>
      </c>
      <c r="C114" s="124" t="s">
        <v>1725</v>
      </c>
      <c r="D114" s="127">
        <v>38046.0</v>
      </c>
      <c r="E114" s="124" t="s">
        <v>177</v>
      </c>
      <c r="F114" s="124">
        <v>5.571213116E9</v>
      </c>
      <c r="G114" s="124" t="s">
        <v>1728</v>
      </c>
      <c r="H114" s="124" t="s">
        <v>101</v>
      </c>
      <c r="I114" s="128"/>
      <c r="J114" s="124" t="s">
        <v>1732</v>
      </c>
      <c r="K114" s="124" t="s">
        <v>1734</v>
      </c>
      <c r="L114" s="124">
        <v>5.610302552E9</v>
      </c>
      <c r="M114" s="128"/>
      <c r="N114" s="128"/>
      <c r="O114" s="128"/>
      <c r="P114" s="129">
        <v>22.0</v>
      </c>
      <c r="Q114" s="130">
        <v>46019.83116898148</v>
      </c>
      <c r="R114" s="124" t="s">
        <v>107</v>
      </c>
      <c r="S114" s="124" t="s">
        <v>125</v>
      </c>
      <c r="T114" s="124" t="s">
        <v>204</v>
      </c>
      <c r="U114" s="124" t="s">
        <v>699</v>
      </c>
      <c r="V114" s="124" t="s">
        <v>700</v>
      </c>
      <c r="W114" s="124" t="s">
        <v>702</v>
      </c>
      <c r="X114" s="124" t="s">
        <v>120</v>
      </c>
      <c r="Y114" s="128"/>
      <c r="Z114" s="124" t="s">
        <v>120</v>
      </c>
      <c r="AA114" s="128"/>
      <c r="AB114" s="124" t="s">
        <v>120</v>
      </c>
      <c r="AC114" s="128"/>
      <c r="AD114" s="128"/>
      <c r="AE114" s="124" t="s">
        <v>120</v>
      </c>
      <c r="AF114" s="128"/>
      <c r="AG114" s="124" t="s">
        <v>120</v>
      </c>
      <c r="AH114" s="128"/>
      <c r="AI114" s="124" t="s">
        <v>120</v>
      </c>
      <c r="AJ114" s="128"/>
      <c r="AK114" s="128"/>
      <c r="AL114" s="124" t="s">
        <v>242</v>
      </c>
      <c r="AM114" s="124" t="s">
        <v>216</v>
      </c>
      <c r="AN114" s="124" t="s">
        <v>126</v>
      </c>
      <c r="AO114" s="124" t="s">
        <v>141</v>
      </c>
      <c r="AP114" s="124"/>
    </row>
    <row r="115">
      <c r="A115" s="124" t="s">
        <v>1744</v>
      </c>
      <c r="B115" s="124" t="s">
        <v>1745</v>
      </c>
      <c r="C115" s="124" t="s">
        <v>1746</v>
      </c>
      <c r="D115" s="127">
        <v>39141.0</v>
      </c>
      <c r="E115" s="124" t="s">
        <v>98</v>
      </c>
      <c r="F115" s="124">
        <v>5.529066847E9</v>
      </c>
      <c r="G115" s="124" t="s">
        <v>1747</v>
      </c>
      <c r="H115" s="124" t="s">
        <v>101</v>
      </c>
      <c r="I115" s="128"/>
      <c r="J115" s="124" t="s">
        <v>1748</v>
      </c>
      <c r="K115" s="124" t="s">
        <v>1750</v>
      </c>
      <c r="L115" s="124">
        <v>5.624167967E9</v>
      </c>
      <c r="M115" s="128"/>
      <c r="N115" s="128"/>
      <c r="O115" s="128"/>
      <c r="P115" s="129">
        <v>19.0</v>
      </c>
      <c r="Q115" s="130">
        <v>46040.988587962966</v>
      </c>
      <c r="R115" s="124" t="s">
        <v>231</v>
      </c>
      <c r="S115" s="124" t="s">
        <v>125</v>
      </c>
      <c r="T115" s="124" t="s">
        <v>208</v>
      </c>
      <c r="U115" s="124" t="s">
        <v>1599</v>
      </c>
      <c r="V115" s="124" t="s">
        <v>1600</v>
      </c>
      <c r="W115" s="124" t="s">
        <v>1602</v>
      </c>
      <c r="X115" s="124" t="s">
        <v>120</v>
      </c>
      <c r="Y115" s="128"/>
      <c r="Z115" s="124" t="s">
        <v>120</v>
      </c>
      <c r="AA115" s="128"/>
      <c r="AB115" s="124" t="s">
        <v>120</v>
      </c>
      <c r="AC115" s="124" t="s">
        <v>120</v>
      </c>
      <c r="AD115" s="128"/>
      <c r="AE115" s="124" t="s">
        <v>120</v>
      </c>
      <c r="AF115" s="128"/>
      <c r="AG115" s="124" t="s">
        <v>120</v>
      </c>
      <c r="AH115" s="128"/>
      <c r="AI115" s="124" t="s">
        <v>120</v>
      </c>
      <c r="AJ115" s="128"/>
      <c r="AK115" s="128"/>
      <c r="AL115" s="124" t="s">
        <v>185</v>
      </c>
      <c r="AM115" s="124" t="s">
        <v>240</v>
      </c>
      <c r="AN115" s="124" t="s">
        <v>124</v>
      </c>
      <c r="AO115" s="124" t="s">
        <v>156</v>
      </c>
      <c r="AP115" s="124"/>
    </row>
    <row r="116">
      <c r="A116" s="124" t="s">
        <v>3090</v>
      </c>
      <c r="B116" s="124" t="s">
        <v>3091</v>
      </c>
      <c r="C116" s="124" t="s">
        <v>3092</v>
      </c>
      <c r="D116" s="127">
        <v>39802.0</v>
      </c>
      <c r="E116" s="124" t="s">
        <v>177</v>
      </c>
      <c r="F116" s="124">
        <v>5.611171893E9</v>
      </c>
      <c r="G116" s="124" t="s">
        <v>3093</v>
      </c>
      <c r="H116" s="124" t="s">
        <v>150</v>
      </c>
      <c r="I116" s="124" t="s">
        <v>525</v>
      </c>
      <c r="J116" s="124" t="s">
        <v>3094</v>
      </c>
      <c r="K116" s="124" t="s">
        <v>3095</v>
      </c>
      <c r="L116" s="124">
        <v>5.542536473E9</v>
      </c>
      <c r="M116" s="128"/>
      <c r="N116" s="128"/>
      <c r="O116" s="128"/>
      <c r="P116" s="129">
        <v>17.0</v>
      </c>
      <c r="Q116" s="130">
        <v>46026.5515625</v>
      </c>
      <c r="R116" s="124" t="s">
        <v>107</v>
      </c>
      <c r="S116" s="124" t="s">
        <v>109</v>
      </c>
      <c r="T116" s="124" t="s">
        <v>208</v>
      </c>
      <c r="U116" s="124" t="s">
        <v>601</v>
      </c>
      <c r="V116" s="124" t="s">
        <v>602</v>
      </c>
      <c r="W116" s="124" t="s">
        <v>603</v>
      </c>
      <c r="X116" s="124" t="s">
        <v>120</v>
      </c>
      <c r="Y116" s="128"/>
      <c r="Z116" s="124" t="s">
        <v>120</v>
      </c>
      <c r="AA116" s="128"/>
      <c r="AB116" s="124" t="s">
        <v>120</v>
      </c>
      <c r="AC116" s="124" t="s">
        <v>120</v>
      </c>
      <c r="AD116" s="128"/>
      <c r="AE116" s="124" t="s">
        <v>120</v>
      </c>
      <c r="AF116" s="128"/>
      <c r="AG116" s="124" t="s">
        <v>120</v>
      </c>
      <c r="AH116" s="128"/>
      <c r="AI116" s="124" t="s">
        <v>120</v>
      </c>
      <c r="AJ116" s="128"/>
      <c r="AK116" s="128"/>
      <c r="AL116" s="124" t="s">
        <v>216</v>
      </c>
      <c r="AM116" s="124" t="s">
        <v>156</v>
      </c>
      <c r="AN116" s="124" t="s">
        <v>185</v>
      </c>
      <c r="AO116" s="124" t="s">
        <v>129</v>
      </c>
      <c r="AP116" s="124"/>
    </row>
    <row r="117">
      <c r="A117" s="124" t="s">
        <v>3096</v>
      </c>
      <c r="B117" s="124" t="s">
        <v>3097</v>
      </c>
      <c r="C117" s="124" t="s">
        <v>3098</v>
      </c>
      <c r="D117" s="127">
        <v>40770.0</v>
      </c>
      <c r="E117" s="124" t="s">
        <v>98</v>
      </c>
      <c r="F117" s="124">
        <v>5.511833444E9</v>
      </c>
      <c r="G117" s="124" t="s">
        <v>3099</v>
      </c>
      <c r="H117" s="124" t="s">
        <v>101</v>
      </c>
      <c r="I117" s="128"/>
      <c r="J117" s="124" t="s">
        <v>3100</v>
      </c>
      <c r="K117" s="124" t="s">
        <v>3101</v>
      </c>
      <c r="L117" s="124">
        <v>5.612225391E9</v>
      </c>
      <c r="M117" s="124" t="s">
        <v>3102</v>
      </c>
      <c r="N117" s="124" t="s">
        <v>3104</v>
      </c>
      <c r="O117" s="124">
        <v>5.639058171E9</v>
      </c>
      <c r="P117" s="129">
        <v>14.0</v>
      </c>
      <c r="Q117" s="130">
        <v>46021.92649305556</v>
      </c>
      <c r="R117" s="124" t="s">
        <v>260</v>
      </c>
      <c r="S117" s="124" t="s">
        <v>109</v>
      </c>
      <c r="T117" s="124" t="s">
        <v>111</v>
      </c>
      <c r="U117" s="124" t="s">
        <v>112</v>
      </c>
      <c r="V117" s="124" t="s">
        <v>114</v>
      </c>
      <c r="W117" s="124" t="s">
        <v>115</v>
      </c>
      <c r="X117" s="124" t="s">
        <v>120</v>
      </c>
      <c r="Y117" s="128"/>
      <c r="Z117" s="124" t="s">
        <v>117</v>
      </c>
      <c r="AA117" s="124" t="s">
        <v>1729</v>
      </c>
      <c r="AB117" s="124" t="s">
        <v>120</v>
      </c>
      <c r="AC117" s="128"/>
      <c r="AD117" s="128"/>
      <c r="AE117" s="124" t="s">
        <v>120</v>
      </c>
      <c r="AF117" s="128"/>
      <c r="AG117" s="124" t="s">
        <v>120</v>
      </c>
      <c r="AH117" s="128"/>
      <c r="AI117" s="124" t="s">
        <v>120</v>
      </c>
      <c r="AJ117" s="128"/>
      <c r="AK117" s="128"/>
      <c r="AL117" s="124" t="s">
        <v>240</v>
      </c>
      <c r="AM117" s="124" t="s">
        <v>156</v>
      </c>
      <c r="AN117" s="124" t="s">
        <v>216</v>
      </c>
      <c r="AO117" s="124" t="s">
        <v>128</v>
      </c>
      <c r="AP117" s="124"/>
    </row>
    <row r="118">
      <c r="A118" s="124" t="s">
        <v>2763</v>
      </c>
      <c r="B118" s="124" t="s">
        <v>2132</v>
      </c>
      <c r="C118" s="124" t="s">
        <v>3107</v>
      </c>
      <c r="D118" s="127">
        <v>39946.0</v>
      </c>
      <c r="E118" s="124" t="s">
        <v>98</v>
      </c>
      <c r="F118" s="124">
        <v>5.523723156E9</v>
      </c>
      <c r="G118" s="124" t="s">
        <v>3108</v>
      </c>
      <c r="H118" s="124" t="s">
        <v>140</v>
      </c>
      <c r="I118" s="124" t="s">
        <v>1325</v>
      </c>
      <c r="J118" s="124" t="s">
        <v>1794</v>
      </c>
      <c r="K118" s="124" t="s">
        <v>1796</v>
      </c>
      <c r="L118" s="124">
        <v>5.559632729E9</v>
      </c>
      <c r="M118" s="128"/>
      <c r="N118" s="128"/>
      <c r="O118" s="128"/>
      <c r="P118" s="129">
        <v>16.0</v>
      </c>
      <c r="Q118" s="130">
        <v>46039.86887731482</v>
      </c>
      <c r="R118" s="124" t="s">
        <v>107</v>
      </c>
      <c r="S118" s="124" t="s">
        <v>109</v>
      </c>
      <c r="T118" s="124" t="s">
        <v>204</v>
      </c>
      <c r="U118" s="124" t="s">
        <v>295</v>
      </c>
      <c r="V118" s="124" t="s">
        <v>298</v>
      </c>
      <c r="W118" s="124" t="s">
        <v>299</v>
      </c>
      <c r="X118" s="124" t="s">
        <v>120</v>
      </c>
      <c r="Y118" s="128"/>
      <c r="Z118" s="124" t="s">
        <v>120</v>
      </c>
      <c r="AA118" s="128"/>
      <c r="AB118" s="124" t="s">
        <v>120</v>
      </c>
      <c r="AC118" s="128"/>
      <c r="AD118" s="128"/>
      <c r="AE118" s="124" t="s">
        <v>120</v>
      </c>
      <c r="AF118" s="128"/>
      <c r="AG118" s="124" t="s">
        <v>120</v>
      </c>
      <c r="AH118" s="128"/>
      <c r="AI118" s="124" t="s">
        <v>120</v>
      </c>
      <c r="AJ118" s="128"/>
      <c r="AK118" s="124" t="s">
        <v>3111</v>
      </c>
      <c r="AL118" s="124" t="s">
        <v>138</v>
      </c>
      <c r="AM118" s="124" t="s">
        <v>216</v>
      </c>
      <c r="AN118" s="124" t="s">
        <v>124</v>
      </c>
      <c r="AO118" s="124" t="s">
        <v>242</v>
      </c>
      <c r="AP118" s="124"/>
    </row>
    <row r="119">
      <c r="A119" s="124" t="s">
        <v>157</v>
      </c>
      <c r="B119" s="124" t="s">
        <v>3112</v>
      </c>
      <c r="C119" s="124" t="s">
        <v>3113</v>
      </c>
      <c r="D119" s="127">
        <v>41179.0</v>
      </c>
      <c r="E119" s="124" t="s">
        <v>98</v>
      </c>
      <c r="F119" s="124">
        <v>5.583790021E9</v>
      </c>
      <c r="G119" s="124" t="s">
        <v>3114</v>
      </c>
      <c r="H119" s="124" t="s">
        <v>140</v>
      </c>
      <c r="I119" s="128"/>
      <c r="J119" s="124" t="s">
        <v>3116</v>
      </c>
      <c r="K119" s="124" t="s">
        <v>3114</v>
      </c>
      <c r="L119" s="124">
        <v>5.583790021E9</v>
      </c>
      <c r="M119" s="128"/>
      <c r="N119" s="128"/>
      <c r="O119" s="128"/>
      <c r="P119" s="129">
        <v>13.0</v>
      </c>
      <c r="Q119" s="130">
        <v>46033.58572916667</v>
      </c>
      <c r="R119" s="124" t="s">
        <v>107</v>
      </c>
      <c r="S119" s="124" t="s">
        <v>109</v>
      </c>
      <c r="T119" s="124" t="s">
        <v>171</v>
      </c>
      <c r="U119" s="124" t="s">
        <v>173</v>
      </c>
      <c r="V119" s="124" t="s">
        <v>167</v>
      </c>
      <c r="W119" s="124" t="s">
        <v>175</v>
      </c>
      <c r="X119" s="124" t="s">
        <v>120</v>
      </c>
      <c r="Y119" s="128"/>
      <c r="Z119" s="124" t="s">
        <v>120</v>
      </c>
      <c r="AA119" s="128"/>
      <c r="AB119" s="124" t="s">
        <v>120</v>
      </c>
      <c r="AC119" s="124" t="s">
        <v>120</v>
      </c>
      <c r="AD119" s="128"/>
      <c r="AE119" s="124" t="s">
        <v>120</v>
      </c>
      <c r="AF119" s="128"/>
      <c r="AG119" s="124" t="s">
        <v>120</v>
      </c>
      <c r="AH119" s="128"/>
      <c r="AI119" s="124" t="s">
        <v>120</v>
      </c>
      <c r="AJ119" s="128"/>
      <c r="AK119" s="128"/>
      <c r="AL119" s="124" t="s">
        <v>156</v>
      </c>
      <c r="AM119" s="124" t="s">
        <v>128</v>
      </c>
      <c r="AN119" s="124" t="s">
        <v>129</v>
      </c>
      <c r="AO119" s="124" t="s">
        <v>129</v>
      </c>
      <c r="AP119" s="124"/>
    </row>
    <row r="120">
      <c r="A120" s="124" t="s">
        <v>355</v>
      </c>
      <c r="B120" s="124" t="s">
        <v>1039</v>
      </c>
      <c r="C120" s="124" t="s">
        <v>1041</v>
      </c>
      <c r="D120" s="127">
        <v>40841.0</v>
      </c>
      <c r="E120" s="124" t="s">
        <v>177</v>
      </c>
      <c r="F120" s="124">
        <v>5.532472722E9</v>
      </c>
      <c r="G120" s="124" t="s">
        <v>1044</v>
      </c>
      <c r="H120" s="124" t="s">
        <v>150</v>
      </c>
      <c r="I120" s="128"/>
      <c r="J120" s="124" t="s">
        <v>1045</v>
      </c>
      <c r="K120" s="124" t="s">
        <v>1046</v>
      </c>
      <c r="L120" s="124">
        <v>5.547724892E9</v>
      </c>
      <c r="M120" s="128"/>
      <c r="N120" s="128"/>
      <c r="O120" s="128"/>
      <c r="P120" s="129">
        <v>14.0</v>
      </c>
      <c r="Q120" s="130">
        <v>46040.52386574074</v>
      </c>
      <c r="R120" s="124" t="s">
        <v>107</v>
      </c>
      <c r="S120" s="124" t="s">
        <v>109</v>
      </c>
      <c r="T120" s="124" t="s">
        <v>171</v>
      </c>
      <c r="U120" s="124" t="s">
        <v>1048</v>
      </c>
      <c r="V120" s="124" t="s">
        <v>1050</v>
      </c>
      <c r="W120" s="124" t="s">
        <v>1051</v>
      </c>
      <c r="X120" s="124" t="s">
        <v>117</v>
      </c>
      <c r="Y120" s="128"/>
      <c r="Z120" s="124" t="s">
        <v>120</v>
      </c>
      <c r="AA120" s="128"/>
      <c r="AB120" s="124" t="s">
        <v>120</v>
      </c>
      <c r="AC120" s="128"/>
      <c r="AD120" s="128"/>
      <c r="AE120" s="124" t="s">
        <v>117</v>
      </c>
      <c r="AF120" s="128"/>
      <c r="AG120" s="124" t="s">
        <v>117</v>
      </c>
      <c r="AH120" s="128"/>
      <c r="AI120" s="124" t="s">
        <v>117</v>
      </c>
      <c r="AJ120" s="128"/>
      <c r="AK120" s="128"/>
      <c r="AL120" s="124" t="s">
        <v>240</v>
      </c>
      <c r="AM120" s="124" t="s">
        <v>141</v>
      </c>
      <c r="AN120" s="124" t="s">
        <v>156</v>
      </c>
      <c r="AO120" s="124" t="s">
        <v>124</v>
      </c>
      <c r="AP120" s="124"/>
    </row>
    <row r="121">
      <c r="A121" s="124" t="s">
        <v>3120</v>
      </c>
      <c r="B121" s="124" t="s">
        <v>3121</v>
      </c>
      <c r="C121" s="124" t="s">
        <v>3122</v>
      </c>
      <c r="D121" s="127">
        <v>37803.0</v>
      </c>
      <c r="E121" s="124" t="s">
        <v>177</v>
      </c>
      <c r="F121" s="124">
        <v>5.579948131E9</v>
      </c>
      <c r="G121" s="124" t="s">
        <v>3123</v>
      </c>
      <c r="H121" s="124" t="s">
        <v>101</v>
      </c>
      <c r="I121" s="124" t="s">
        <v>135</v>
      </c>
      <c r="J121" s="124" t="s">
        <v>3124</v>
      </c>
      <c r="K121" s="124" t="s">
        <v>3125</v>
      </c>
      <c r="L121" s="124">
        <v>4.425447698E9</v>
      </c>
      <c r="M121" s="128"/>
      <c r="N121" s="128"/>
      <c r="O121" s="128"/>
      <c r="P121" s="129">
        <v>22.0</v>
      </c>
      <c r="Q121" s="130">
        <v>46024.73614583333</v>
      </c>
      <c r="R121" s="124" t="s">
        <v>546</v>
      </c>
      <c r="S121" s="124" t="s">
        <v>125</v>
      </c>
      <c r="T121" s="124" t="s">
        <v>171</v>
      </c>
      <c r="U121" s="124" t="s">
        <v>1048</v>
      </c>
      <c r="V121" s="124" t="s">
        <v>1050</v>
      </c>
      <c r="W121" s="124" t="s">
        <v>1051</v>
      </c>
      <c r="X121" s="124" t="s">
        <v>120</v>
      </c>
      <c r="Y121" s="128"/>
      <c r="Z121" s="124" t="s">
        <v>120</v>
      </c>
      <c r="AA121" s="128"/>
      <c r="AB121" s="124" t="s">
        <v>120</v>
      </c>
      <c r="AC121" s="128"/>
      <c r="AD121" s="128"/>
      <c r="AE121" s="124" t="s">
        <v>120</v>
      </c>
      <c r="AF121" s="128"/>
      <c r="AG121" s="124" t="s">
        <v>120</v>
      </c>
      <c r="AH121" s="128"/>
      <c r="AI121" s="124" t="s">
        <v>120</v>
      </c>
      <c r="AJ121" s="128"/>
      <c r="AK121" s="128"/>
      <c r="AL121" s="124" t="s">
        <v>129</v>
      </c>
      <c r="AM121" s="124" t="s">
        <v>138</v>
      </c>
      <c r="AN121" s="124" t="s">
        <v>124</v>
      </c>
      <c r="AO121" s="124" t="s">
        <v>216</v>
      </c>
      <c r="AP121" s="124"/>
    </row>
    <row r="122">
      <c r="A122" s="124" t="s">
        <v>3126</v>
      </c>
      <c r="B122" s="124" t="s">
        <v>3127</v>
      </c>
      <c r="C122" s="124" t="s">
        <v>3128</v>
      </c>
      <c r="D122" s="127">
        <v>40967.0</v>
      </c>
      <c r="E122" s="124" t="s">
        <v>177</v>
      </c>
      <c r="F122" s="124">
        <v>5.641120442E9</v>
      </c>
      <c r="G122" s="124" t="s">
        <v>3129</v>
      </c>
      <c r="H122" s="124" t="s">
        <v>140</v>
      </c>
      <c r="I122" s="124" t="s">
        <v>1325</v>
      </c>
      <c r="J122" s="124" t="s">
        <v>3130</v>
      </c>
      <c r="K122" s="124" t="s">
        <v>3131</v>
      </c>
      <c r="L122" s="124">
        <v>5.611708495E9</v>
      </c>
      <c r="M122" s="128"/>
      <c r="N122" s="128"/>
      <c r="O122" s="128"/>
      <c r="P122" s="129">
        <v>14.0</v>
      </c>
      <c r="Q122" s="130">
        <v>46035.737974537034</v>
      </c>
      <c r="R122" s="124" t="s">
        <v>107</v>
      </c>
      <c r="S122" s="124" t="s">
        <v>109</v>
      </c>
      <c r="T122" s="124" t="s">
        <v>204</v>
      </c>
      <c r="U122" s="124" t="s">
        <v>357</v>
      </c>
      <c r="V122" s="124" t="s">
        <v>359</v>
      </c>
      <c r="W122" s="124" t="s">
        <v>362</v>
      </c>
      <c r="X122" s="124" t="s">
        <v>120</v>
      </c>
      <c r="Y122" s="128"/>
      <c r="Z122" s="124" t="s">
        <v>120</v>
      </c>
      <c r="AA122" s="128"/>
      <c r="AB122" s="124" t="s">
        <v>120</v>
      </c>
      <c r="AC122" s="124" t="s">
        <v>120</v>
      </c>
      <c r="AD122" s="128"/>
      <c r="AE122" s="124" t="s">
        <v>120</v>
      </c>
      <c r="AF122" s="128"/>
      <c r="AG122" s="124" t="s">
        <v>120</v>
      </c>
      <c r="AH122" s="128"/>
      <c r="AI122" s="124" t="s">
        <v>120</v>
      </c>
      <c r="AJ122" s="128"/>
      <c r="AK122" s="128"/>
      <c r="AL122" s="124" t="s">
        <v>156</v>
      </c>
      <c r="AM122" s="124" t="s">
        <v>185</v>
      </c>
      <c r="AN122" s="124" t="s">
        <v>124</v>
      </c>
      <c r="AO122" s="124" t="s">
        <v>216</v>
      </c>
      <c r="AP122" s="124"/>
    </row>
    <row r="123">
      <c r="A123" s="124" t="s">
        <v>1230</v>
      </c>
      <c r="B123" s="124" t="s">
        <v>1231</v>
      </c>
      <c r="C123" s="124" t="s">
        <v>1233</v>
      </c>
      <c r="D123" s="127">
        <v>40121.0</v>
      </c>
      <c r="E123" s="124" t="s">
        <v>177</v>
      </c>
      <c r="F123" s="124">
        <v>5.647456629E9</v>
      </c>
      <c r="G123" s="124" t="s">
        <v>1234</v>
      </c>
      <c r="H123" s="124" t="s">
        <v>101</v>
      </c>
      <c r="I123" s="124" t="s">
        <v>1235</v>
      </c>
      <c r="J123" s="124" t="s">
        <v>1236</v>
      </c>
      <c r="K123" s="124" t="s">
        <v>1237</v>
      </c>
      <c r="L123" s="124">
        <v>5.566712074E9</v>
      </c>
      <c r="M123" s="128"/>
      <c r="N123" s="128"/>
      <c r="O123" s="128"/>
      <c r="P123" s="129">
        <v>16.0</v>
      </c>
      <c r="Q123" s="130">
        <v>46023.61363425926</v>
      </c>
      <c r="R123" s="124" t="s">
        <v>107</v>
      </c>
      <c r="S123" s="124" t="s">
        <v>109</v>
      </c>
      <c r="T123" s="124" t="s">
        <v>204</v>
      </c>
      <c r="U123" s="124" t="s">
        <v>367</v>
      </c>
      <c r="V123" s="124" t="s">
        <v>368</v>
      </c>
      <c r="W123" s="124" t="s">
        <v>369</v>
      </c>
      <c r="X123" s="124" t="s">
        <v>120</v>
      </c>
      <c r="Y123" s="128"/>
      <c r="Z123" s="124" t="s">
        <v>117</v>
      </c>
      <c r="AA123" s="124" t="s">
        <v>285</v>
      </c>
      <c r="AB123" s="124" t="s">
        <v>120</v>
      </c>
      <c r="AC123" s="128"/>
      <c r="AD123" s="128"/>
      <c r="AE123" s="124" t="s">
        <v>120</v>
      </c>
      <c r="AF123" s="128"/>
      <c r="AG123" s="124" t="s">
        <v>120</v>
      </c>
      <c r="AH123" s="128"/>
      <c r="AI123" s="124" t="s">
        <v>120</v>
      </c>
      <c r="AJ123" s="128"/>
      <c r="AK123" s="128"/>
      <c r="AL123" s="124" t="s">
        <v>185</v>
      </c>
      <c r="AM123" s="124" t="s">
        <v>216</v>
      </c>
      <c r="AN123" s="124" t="s">
        <v>138</v>
      </c>
      <c r="AO123" s="124" t="s">
        <v>126</v>
      </c>
      <c r="AP123" s="124"/>
    </row>
    <row r="124">
      <c r="A124" s="124" t="s">
        <v>3136</v>
      </c>
      <c r="B124" s="124" t="s">
        <v>3137</v>
      </c>
      <c r="C124" s="124" t="s">
        <v>3138</v>
      </c>
      <c r="D124" s="127">
        <v>41174.0</v>
      </c>
      <c r="E124" s="124" t="s">
        <v>177</v>
      </c>
      <c r="F124" s="124">
        <v>5.523170309E9</v>
      </c>
      <c r="G124" s="124" t="s">
        <v>3139</v>
      </c>
      <c r="H124" s="124" t="s">
        <v>101</v>
      </c>
      <c r="I124" s="128"/>
      <c r="J124" s="124" t="s">
        <v>3140</v>
      </c>
      <c r="K124" s="124" t="s">
        <v>3141</v>
      </c>
      <c r="L124" s="124">
        <v>5.544817532E9</v>
      </c>
      <c r="M124" s="128"/>
      <c r="N124" s="128"/>
      <c r="O124" s="128"/>
      <c r="P124" s="129">
        <v>13.0</v>
      </c>
      <c r="Q124" s="130">
        <v>46024.939247685186</v>
      </c>
      <c r="R124" s="124" t="s">
        <v>107</v>
      </c>
      <c r="S124" s="124" t="s">
        <v>109</v>
      </c>
      <c r="T124" s="124" t="s">
        <v>204</v>
      </c>
      <c r="U124" s="124" t="s">
        <v>295</v>
      </c>
      <c r="V124" s="124" t="s">
        <v>298</v>
      </c>
      <c r="W124" s="124" t="s">
        <v>299</v>
      </c>
      <c r="X124" s="124" t="s">
        <v>120</v>
      </c>
      <c r="Y124" s="128"/>
      <c r="Z124" s="124" t="s">
        <v>117</v>
      </c>
      <c r="AA124" s="124" t="s">
        <v>3142</v>
      </c>
      <c r="AB124" s="124" t="s">
        <v>120</v>
      </c>
      <c r="AC124" s="128"/>
      <c r="AD124" s="128"/>
      <c r="AE124" s="124" t="s">
        <v>120</v>
      </c>
      <c r="AF124" s="128"/>
      <c r="AG124" s="124" t="s">
        <v>120</v>
      </c>
      <c r="AH124" s="128"/>
      <c r="AI124" s="124" t="s">
        <v>120</v>
      </c>
      <c r="AJ124" s="128"/>
      <c r="AK124" s="128"/>
      <c r="AL124" s="124" t="s">
        <v>141</v>
      </c>
      <c r="AM124" s="124" t="s">
        <v>185</v>
      </c>
      <c r="AN124" s="124" t="s">
        <v>156</v>
      </c>
      <c r="AO124" s="124" t="s">
        <v>216</v>
      </c>
      <c r="AP124" s="124"/>
    </row>
    <row r="125">
      <c r="A125" s="124" t="s">
        <v>3144</v>
      </c>
      <c r="B125" s="124" t="s">
        <v>3145</v>
      </c>
      <c r="C125" s="124" t="s">
        <v>3146</v>
      </c>
      <c r="D125" s="127">
        <v>39825.0</v>
      </c>
      <c r="E125" s="124" t="s">
        <v>98</v>
      </c>
      <c r="F125" s="124">
        <v>5.658985982E9</v>
      </c>
      <c r="G125" s="124" t="s">
        <v>3148</v>
      </c>
      <c r="H125" s="124" t="s">
        <v>101</v>
      </c>
      <c r="I125" s="128"/>
      <c r="J125" s="124" t="s">
        <v>3149</v>
      </c>
      <c r="K125" s="124" t="s">
        <v>3148</v>
      </c>
      <c r="L125" s="124">
        <v>5.658985982E9</v>
      </c>
      <c r="M125" s="128"/>
      <c r="N125" s="128"/>
      <c r="O125" s="128"/>
      <c r="P125" s="129">
        <v>17.0</v>
      </c>
      <c r="Q125" s="130">
        <v>46036.79752314815</v>
      </c>
      <c r="R125" s="124" t="s">
        <v>107</v>
      </c>
      <c r="S125" s="124" t="s">
        <v>109</v>
      </c>
      <c r="T125" s="124" t="s">
        <v>171</v>
      </c>
      <c r="U125" s="124" t="s">
        <v>2149</v>
      </c>
      <c r="V125" s="124" t="s">
        <v>2141</v>
      </c>
      <c r="W125" s="124" t="s">
        <v>2151</v>
      </c>
      <c r="X125" s="124" t="s">
        <v>120</v>
      </c>
      <c r="Y125" s="128"/>
      <c r="Z125" s="124" t="s">
        <v>120</v>
      </c>
      <c r="AA125" s="128"/>
      <c r="AB125" s="124" t="s">
        <v>120</v>
      </c>
      <c r="AC125" s="128"/>
      <c r="AD125" s="128"/>
      <c r="AE125" s="124" t="s">
        <v>120</v>
      </c>
      <c r="AF125" s="128"/>
      <c r="AG125" s="124" t="s">
        <v>120</v>
      </c>
      <c r="AH125" s="128"/>
      <c r="AI125" s="124" t="s">
        <v>120</v>
      </c>
      <c r="AJ125" s="128"/>
      <c r="AK125" s="128"/>
      <c r="AL125" s="124" t="s">
        <v>141</v>
      </c>
      <c r="AM125" s="124" t="s">
        <v>129</v>
      </c>
      <c r="AN125" s="124" t="s">
        <v>128</v>
      </c>
      <c r="AO125" s="124" t="s">
        <v>185</v>
      </c>
      <c r="AP125" s="124"/>
    </row>
    <row r="126">
      <c r="A126" s="124" t="s">
        <v>1010</v>
      </c>
      <c r="B126" s="124" t="s">
        <v>1011</v>
      </c>
      <c r="C126" s="124" t="s">
        <v>1014</v>
      </c>
      <c r="D126" s="127">
        <v>40269.0</v>
      </c>
      <c r="E126" s="124" t="s">
        <v>177</v>
      </c>
      <c r="F126" s="124">
        <v>5.535717433E9</v>
      </c>
      <c r="G126" s="124" t="s">
        <v>1015</v>
      </c>
      <c r="H126" s="124" t="s">
        <v>140</v>
      </c>
      <c r="I126" s="128"/>
      <c r="J126" s="124" t="s">
        <v>1019</v>
      </c>
      <c r="K126" s="124" t="s">
        <v>1020</v>
      </c>
      <c r="L126" s="124">
        <v>5.547821504E9</v>
      </c>
      <c r="M126" s="128"/>
      <c r="N126" s="128"/>
      <c r="O126" s="128"/>
      <c r="P126" s="129">
        <v>15.0</v>
      </c>
      <c r="Q126" s="130">
        <v>46031.51908564815</v>
      </c>
      <c r="R126" s="124" t="s">
        <v>107</v>
      </c>
      <c r="S126" s="124" t="s">
        <v>109</v>
      </c>
      <c r="T126" s="124" t="s">
        <v>127</v>
      </c>
      <c r="U126" s="124" t="s">
        <v>234</v>
      </c>
      <c r="V126" s="124" t="s">
        <v>227</v>
      </c>
      <c r="W126" s="124" t="s">
        <v>236</v>
      </c>
      <c r="X126" s="124" t="s">
        <v>117</v>
      </c>
      <c r="Y126" s="128"/>
      <c r="Z126" s="124" t="s">
        <v>117</v>
      </c>
      <c r="AA126" s="128"/>
      <c r="AB126" s="124" t="s">
        <v>117</v>
      </c>
      <c r="AC126" s="124" t="s">
        <v>117</v>
      </c>
      <c r="AD126" s="128"/>
      <c r="AE126" s="124" t="s">
        <v>117</v>
      </c>
      <c r="AF126" s="128"/>
      <c r="AG126" s="124" t="s">
        <v>117</v>
      </c>
      <c r="AH126" s="128"/>
      <c r="AI126" s="124" t="s">
        <v>117</v>
      </c>
      <c r="AJ126" s="128"/>
      <c r="AK126" s="128"/>
      <c r="AL126" s="124" t="s">
        <v>141</v>
      </c>
      <c r="AM126" s="124" t="s">
        <v>185</v>
      </c>
      <c r="AN126" s="124" t="s">
        <v>128</v>
      </c>
      <c r="AO126" s="124" t="s">
        <v>129</v>
      </c>
      <c r="AP126" s="124"/>
    </row>
    <row r="127">
      <c r="A127" s="124" t="s">
        <v>3150</v>
      </c>
      <c r="B127" s="124" t="s">
        <v>1916</v>
      </c>
      <c r="C127" s="124" t="s">
        <v>3151</v>
      </c>
      <c r="D127" s="127">
        <v>39689.0</v>
      </c>
      <c r="E127" s="124" t="s">
        <v>177</v>
      </c>
      <c r="F127" s="124" t="s">
        <v>3152</v>
      </c>
      <c r="G127" s="124" t="s">
        <v>3153</v>
      </c>
      <c r="H127" s="124" t="s">
        <v>101</v>
      </c>
      <c r="I127" s="128"/>
      <c r="J127" s="124" t="s">
        <v>1926</v>
      </c>
      <c r="K127" s="124" t="s">
        <v>1927</v>
      </c>
      <c r="L127" s="124">
        <v>5.526562276E9</v>
      </c>
      <c r="M127" s="124" t="s">
        <v>1930</v>
      </c>
      <c r="N127" s="124" t="s">
        <v>1931</v>
      </c>
      <c r="O127" s="124">
        <v>5.548543468E9</v>
      </c>
      <c r="P127" s="129">
        <v>17.0</v>
      </c>
      <c r="Q127" s="130">
        <v>46030.61108796296</v>
      </c>
      <c r="R127" s="124" t="s">
        <v>107</v>
      </c>
      <c r="S127" s="124" t="s">
        <v>109</v>
      </c>
      <c r="T127" s="124" t="s">
        <v>208</v>
      </c>
      <c r="U127" s="124" t="s">
        <v>1599</v>
      </c>
      <c r="V127" s="124" t="s">
        <v>1600</v>
      </c>
      <c r="W127" s="124" t="s">
        <v>1602</v>
      </c>
      <c r="X127" s="124" t="s">
        <v>120</v>
      </c>
      <c r="Y127" s="128"/>
      <c r="Z127" s="124" t="s">
        <v>120</v>
      </c>
      <c r="AA127" s="128"/>
      <c r="AB127" s="124" t="s">
        <v>120</v>
      </c>
      <c r="AC127" s="124" t="s">
        <v>120</v>
      </c>
      <c r="AD127" s="128"/>
      <c r="AE127" s="124" t="s">
        <v>120</v>
      </c>
      <c r="AF127" s="128"/>
      <c r="AG127" s="124" t="s">
        <v>120</v>
      </c>
      <c r="AH127" s="128"/>
      <c r="AI127" s="124" t="s">
        <v>120</v>
      </c>
      <c r="AJ127" s="128"/>
      <c r="AK127" s="128"/>
      <c r="AL127" s="124" t="s">
        <v>156</v>
      </c>
      <c r="AM127" s="124" t="s">
        <v>185</v>
      </c>
      <c r="AN127" s="124" t="s">
        <v>126</v>
      </c>
      <c r="AO127" s="124" t="s">
        <v>124</v>
      </c>
      <c r="AP127" s="124"/>
    </row>
    <row r="128">
      <c r="A128" s="124" t="s">
        <v>3157</v>
      </c>
      <c r="B128" s="124" t="s">
        <v>3158</v>
      </c>
      <c r="C128" s="124" t="s">
        <v>3159</v>
      </c>
      <c r="D128" s="127">
        <v>39864.0</v>
      </c>
      <c r="E128" s="124" t="s">
        <v>98</v>
      </c>
      <c r="F128" s="124">
        <v>6.145970673E9</v>
      </c>
      <c r="G128" s="124" t="s">
        <v>3161</v>
      </c>
      <c r="H128" s="124" t="s">
        <v>140</v>
      </c>
      <c r="I128" s="128"/>
      <c r="J128" s="124" t="s">
        <v>3162</v>
      </c>
      <c r="K128" s="124" t="s">
        <v>3163</v>
      </c>
      <c r="L128" s="124">
        <v>5.51866835E9</v>
      </c>
      <c r="M128" s="124" t="s">
        <v>3164</v>
      </c>
      <c r="N128" s="124" t="s">
        <v>3165</v>
      </c>
      <c r="O128" s="124">
        <v>5.5743333412E10</v>
      </c>
      <c r="P128" s="129">
        <v>17.0</v>
      </c>
      <c r="Q128" s="130">
        <v>46035.331342592595</v>
      </c>
      <c r="R128" s="124" t="s">
        <v>107</v>
      </c>
      <c r="S128" s="124" t="s">
        <v>109</v>
      </c>
      <c r="T128" s="124" t="s">
        <v>171</v>
      </c>
      <c r="U128" s="124" t="s">
        <v>1048</v>
      </c>
      <c r="V128" s="124" t="s">
        <v>1050</v>
      </c>
      <c r="W128" s="124" t="s">
        <v>1051</v>
      </c>
      <c r="X128" s="124" t="s">
        <v>120</v>
      </c>
      <c r="Y128" s="128"/>
      <c r="Z128" s="124" t="s">
        <v>120</v>
      </c>
      <c r="AA128" s="128"/>
      <c r="AB128" s="124" t="s">
        <v>120</v>
      </c>
      <c r="AC128" s="128"/>
      <c r="AD128" s="128"/>
      <c r="AE128" s="124" t="s">
        <v>120</v>
      </c>
      <c r="AF128" s="128"/>
      <c r="AG128" s="124" t="s">
        <v>120</v>
      </c>
      <c r="AH128" s="128"/>
      <c r="AI128" s="124" t="s">
        <v>120</v>
      </c>
      <c r="AJ128" s="128"/>
      <c r="AK128" s="128"/>
      <c r="AL128" s="124" t="s">
        <v>129</v>
      </c>
      <c r="AM128" s="124" t="s">
        <v>126</v>
      </c>
      <c r="AN128" s="124" t="s">
        <v>138</v>
      </c>
      <c r="AO128" s="124" t="s">
        <v>216</v>
      </c>
      <c r="AP128" s="124"/>
    </row>
    <row r="129">
      <c r="A129" s="124" t="s">
        <v>3166</v>
      </c>
      <c r="B129" s="124" t="s">
        <v>3167</v>
      </c>
      <c r="C129" s="124" t="s">
        <v>3168</v>
      </c>
      <c r="D129" s="127">
        <v>36561.0</v>
      </c>
      <c r="E129" s="124" t="s">
        <v>98</v>
      </c>
      <c r="F129" s="124">
        <v>5.5559642185E10</v>
      </c>
      <c r="G129" s="124" t="s">
        <v>3169</v>
      </c>
      <c r="H129" s="124" t="s">
        <v>150</v>
      </c>
      <c r="I129" s="124" t="s">
        <v>135</v>
      </c>
      <c r="J129" s="124" t="s">
        <v>3170</v>
      </c>
      <c r="K129" s="124" t="s">
        <v>3171</v>
      </c>
      <c r="L129" s="124">
        <v>5.559397904E9</v>
      </c>
      <c r="M129" s="128"/>
      <c r="N129" s="128"/>
      <c r="O129" s="128"/>
      <c r="P129" s="129">
        <v>26.0</v>
      </c>
      <c r="Q129" s="130">
        <v>46046.525034722225</v>
      </c>
      <c r="R129" s="124" t="s">
        <v>231</v>
      </c>
      <c r="S129" s="124" t="s">
        <v>125</v>
      </c>
      <c r="T129" s="124" t="s">
        <v>204</v>
      </c>
      <c r="U129" s="124" t="s">
        <v>367</v>
      </c>
      <c r="V129" s="124" t="s">
        <v>368</v>
      </c>
      <c r="W129" s="124" t="s">
        <v>369</v>
      </c>
      <c r="X129" s="124" t="s">
        <v>120</v>
      </c>
      <c r="Y129" s="128"/>
      <c r="Z129" s="124" t="s">
        <v>120</v>
      </c>
      <c r="AA129" s="128"/>
      <c r="AB129" s="124" t="s">
        <v>120</v>
      </c>
      <c r="AC129" s="124" t="s">
        <v>120</v>
      </c>
      <c r="AD129" s="128"/>
      <c r="AE129" s="124" t="s">
        <v>120</v>
      </c>
      <c r="AF129" s="128"/>
      <c r="AG129" s="124" t="s">
        <v>120</v>
      </c>
      <c r="AH129" s="128"/>
      <c r="AI129" s="124" t="s">
        <v>120</v>
      </c>
      <c r="AJ129" s="128"/>
      <c r="AK129" s="128"/>
      <c r="AL129" s="124" t="s">
        <v>124</v>
      </c>
      <c r="AM129" s="124" t="s">
        <v>128</v>
      </c>
      <c r="AN129" s="124" t="s">
        <v>129</v>
      </c>
      <c r="AO129" s="124" t="s">
        <v>126</v>
      </c>
      <c r="AP129" s="124"/>
    </row>
    <row r="130">
      <c r="A130" s="124" t="s">
        <v>3172</v>
      </c>
      <c r="B130" s="124" t="s">
        <v>3173</v>
      </c>
      <c r="C130" s="124" t="s">
        <v>3174</v>
      </c>
      <c r="D130" s="127">
        <v>41088.0</v>
      </c>
      <c r="E130" s="124" t="s">
        <v>98</v>
      </c>
      <c r="F130" s="124">
        <v>5.516173384E9</v>
      </c>
      <c r="G130" s="124" t="s">
        <v>3175</v>
      </c>
      <c r="H130" s="124" t="s">
        <v>140</v>
      </c>
      <c r="I130" s="128"/>
      <c r="J130" s="124" t="s">
        <v>3176</v>
      </c>
      <c r="K130" s="124" t="s">
        <v>3175</v>
      </c>
      <c r="L130" s="124">
        <v>5.516173384E9</v>
      </c>
      <c r="M130" s="128"/>
      <c r="N130" s="128"/>
      <c r="O130" s="128"/>
      <c r="P130" s="129">
        <v>13.0</v>
      </c>
      <c r="Q130" s="130">
        <v>46035.77181712963</v>
      </c>
      <c r="R130" s="124" t="s">
        <v>107</v>
      </c>
      <c r="S130" s="124" t="s">
        <v>109</v>
      </c>
      <c r="T130" s="124" t="s">
        <v>204</v>
      </c>
      <c r="U130" s="124" t="s">
        <v>699</v>
      </c>
      <c r="V130" s="124" t="s">
        <v>700</v>
      </c>
      <c r="W130" s="124" t="s">
        <v>702</v>
      </c>
      <c r="X130" s="124" t="s">
        <v>120</v>
      </c>
      <c r="Y130" s="128"/>
      <c r="Z130" s="124" t="s">
        <v>120</v>
      </c>
      <c r="AA130" s="128"/>
      <c r="AB130" s="124" t="s">
        <v>120</v>
      </c>
      <c r="AC130" s="128"/>
      <c r="AD130" s="124" t="s">
        <v>2343</v>
      </c>
      <c r="AE130" s="124" t="s">
        <v>120</v>
      </c>
      <c r="AF130" s="128"/>
      <c r="AG130" s="124" t="s">
        <v>120</v>
      </c>
      <c r="AH130" s="128"/>
      <c r="AI130" s="124" t="s">
        <v>120</v>
      </c>
      <c r="AJ130" s="128"/>
      <c r="AK130" s="124" t="s">
        <v>1325</v>
      </c>
      <c r="AL130" s="124" t="s">
        <v>141</v>
      </c>
      <c r="AM130" s="124" t="s">
        <v>138</v>
      </c>
      <c r="AN130" s="124" t="s">
        <v>242</v>
      </c>
      <c r="AO130" s="124" t="s">
        <v>124</v>
      </c>
      <c r="AP130" s="124"/>
    </row>
    <row r="131">
      <c r="A131" s="124" t="s">
        <v>3177</v>
      </c>
      <c r="B131" s="124" t="s">
        <v>3178</v>
      </c>
      <c r="C131" s="124" t="s">
        <v>3179</v>
      </c>
      <c r="D131" s="127">
        <v>39668.0</v>
      </c>
      <c r="E131" s="124" t="s">
        <v>98</v>
      </c>
      <c r="F131" s="124">
        <v>5.620824841E9</v>
      </c>
      <c r="G131" s="124" t="s">
        <v>3180</v>
      </c>
      <c r="H131" s="124" t="s">
        <v>140</v>
      </c>
      <c r="I131" s="128"/>
      <c r="J131" s="124" t="s">
        <v>3181</v>
      </c>
      <c r="K131" s="124" t="s">
        <v>3182</v>
      </c>
      <c r="L131" s="124">
        <v>5.564631969E9</v>
      </c>
      <c r="M131" s="128"/>
      <c r="N131" s="128"/>
      <c r="O131" s="128"/>
      <c r="P131" s="129">
        <v>17.0</v>
      </c>
      <c r="Q131" s="130">
        <v>46021.70994212963</v>
      </c>
      <c r="R131" s="124" t="s">
        <v>107</v>
      </c>
      <c r="S131" s="124" t="s">
        <v>109</v>
      </c>
      <c r="T131" s="124" t="s">
        <v>204</v>
      </c>
      <c r="U131" s="124" t="s">
        <v>367</v>
      </c>
      <c r="V131" s="124" t="s">
        <v>368</v>
      </c>
      <c r="W131" s="124" t="s">
        <v>369</v>
      </c>
      <c r="X131" s="124" t="s">
        <v>120</v>
      </c>
      <c r="Y131" s="128"/>
      <c r="Z131" s="124" t="s">
        <v>120</v>
      </c>
      <c r="AA131" s="128"/>
      <c r="AB131" s="124" t="s">
        <v>120</v>
      </c>
      <c r="AC131" s="124" t="s">
        <v>120</v>
      </c>
      <c r="AD131" s="128"/>
      <c r="AE131" s="124" t="s">
        <v>120</v>
      </c>
      <c r="AF131" s="128"/>
      <c r="AG131" s="124" t="s">
        <v>120</v>
      </c>
      <c r="AH131" s="128"/>
      <c r="AI131" s="124" t="s">
        <v>120</v>
      </c>
      <c r="AJ131" s="128"/>
      <c r="AK131" s="128"/>
      <c r="AL131" s="124" t="s">
        <v>185</v>
      </c>
      <c r="AM131" s="124" t="s">
        <v>216</v>
      </c>
      <c r="AN131" s="124" t="s">
        <v>126</v>
      </c>
      <c r="AO131" s="124" t="s">
        <v>124</v>
      </c>
      <c r="AP131" s="124"/>
    </row>
    <row r="132">
      <c r="A132" s="124" t="s">
        <v>3183</v>
      </c>
      <c r="B132" s="124" t="s">
        <v>2643</v>
      </c>
      <c r="C132" s="124" t="s">
        <v>3184</v>
      </c>
      <c r="D132" s="127">
        <v>41241.0</v>
      </c>
      <c r="E132" s="124" t="s">
        <v>177</v>
      </c>
      <c r="F132" s="124">
        <v>5.545993258E9</v>
      </c>
      <c r="G132" s="124" t="s">
        <v>2653</v>
      </c>
      <c r="H132" s="124" t="s">
        <v>150</v>
      </c>
      <c r="I132" s="128"/>
      <c r="J132" s="124" t="s">
        <v>2652</v>
      </c>
      <c r="K132" s="124" t="s">
        <v>2653</v>
      </c>
      <c r="L132" s="124">
        <v>5.545993258E9</v>
      </c>
      <c r="M132" s="128"/>
      <c r="N132" s="128"/>
      <c r="O132" s="128"/>
      <c r="P132" s="129">
        <v>13.0</v>
      </c>
      <c r="Q132" s="130">
        <v>46040.64394675926</v>
      </c>
      <c r="R132" s="124" t="s">
        <v>107</v>
      </c>
      <c r="S132" s="124" t="s">
        <v>109</v>
      </c>
      <c r="T132" s="124" t="s">
        <v>192</v>
      </c>
      <c r="U132" s="124" t="s">
        <v>485</v>
      </c>
      <c r="V132" s="124" t="s">
        <v>486</v>
      </c>
      <c r="W132" s="124" t="s">
        <v>487</v>
      </c>
      <c r="X132" s="124" t="s">
        <v>120</v>
      </c>
      <c r="Y132" s="128"/>
      <c r="Z132" s="124" t="s">
        <v>120</v>
      </c>
      <c r="AA132" s="128"/>
      <c r="AB132" s="124" t="s">
        <v>120</v>
      </c>
      <c r="AC132" s="124" t="s">
        <v>120</v>
      </c>
      <c r="AD132" s="128"/>
      <c r="AE132" s="124" t="s">
        <v>120</v>
      </c>
      <c r="AF132" s="128"/>
      <c r="AG132" s="124" t="s">
        <v>120</v>
      </c>
      <c r="AH132" s="128"/>
      <c r="AI132" s="124" t="s">
        <v>120</v>
      </c>
      <c r="AJ132" s="128"/>
      <c r="AK132" s="128"/>
      <c r="AL132" s="124" t="s">
        <v>156</v>
      </c>
      <c r="AM132" s="124" t="s">
        <v>185</v>
      </c>
      <c r="AN132" s="124" t="s">
        <v>128</v>
      </c>
      <c r="AO132" s="124" t="s">
        <v>240</v>
      </c>
      <c r="AP132" s="124"/>
    </row>
    <row r="133">
      <c r="A133" s="124" t="s">
        <v>1771</v>
      </c>
      <c r="B133" s="124" t="s">
        <v>1772</v>
      </c>
      <c r="C133" s="128"/>
      <c r="D133" s="127">
        <v>39399.0</v>
      </c>
      <c r="E133" s="124" t="s">
        <v>98</v>
      </c>
      <c r="F133" s="124">
        <v>5.5832508E9</v>
      </c>
      <c r="G133" s="124" t="s">
        <v>1774</v>
      </c>
      <c r="H133" s="124" t="s">
        <v>101</v>
      </c>
      <c r="I133" s="128"/>
      <c r="J133" s="124" t="s">
        <v>1775</v>
      </c>
      <c r="K133" s="124" t="s">
        <v>1776</v>
      </c>
      <c r="L133" s="124">
        <v>5.623930955E9</v>
      </c>
      <c r="M133" s="128"/>
      <c r="N133" s="128"/>
      <c r="O133" s="128"/>
      <c r="P133" s="129">
        <v>18.0</v>
      </c>
      <c r="Q133" s="130">
        <v>46041.39333333333</v>
      </c>
      <c r="R133" s="124" t="s">
        <v>231</v>
      </c>
      <c r="S133" s="124" t="s">
        <v>125</v>
      </c>
      <c r="T133" s="124" t="s">
        <v>208</v>
      </c>
      <c r="U133" s="124" t="s">
        <v>1599</v>
      </c>
      <c r="V133" s="124" t="s">
        <v>1600</v>
      </c>
      <c r="W133" s="124" t="s">
        <v>1602</v>
      </c>
      <c r="X133" s="124" t="s">
        <v>120</v>
      </c>
      <c r="Y133" s="128"/>
      <c r="Z133" s="124" t="s">
        <v>120</v>
      </c>
      <c r="AA133" s="128"/>
      <c r="AB133" s="124" t="s">
        <v>120</v>
      </c>
      <c r="AC133" s="128"/>
      <c r="AD133" s="128"/>
      <c r="AE133" s="124" t="s">
        <v>120</v>
      </c>
      <c r="AF133" s="128"/>
      <c r="AG133" s="124" t="s">
        <v>117</v>
      </c>
      <c r="AH133" s="124" t="s">
        <v>1781</v>
      </c>
      <c r="AI133" s="124" t="s">
        <v>120</v>
      </c>
      <c r="AJ133" s="128"/>
      <c r="AK133" s="128"/>
      <c r="AL133" s="124" t="s">
        <v>185</v>
      </c>
      <c r="AM133" s="124" t="s">
        <v>216</v>
      </c>
      <c r="AN133" s="124" t="s">
        <v>129</v>
      </c>
      <c r="AO133" s="124" t="s">
        <v>124</v>
      </c>
      <c r="AP133" s="124"/>
    </row>
    <row r="134">
      <c r="A134" s="124" t="s">
        <v>3186</v>
      </c>
      <c r="B134" s="124" t="s">
        <v>3187</v>
      </c>
      <c r="C134" s="124" t="s">
        <v>3188</v>
      </c>
      <c r="D134" s="127">
        <v>40888.0</v>
      </c>
      <c r="E134" s="124" t="s">
        <v>98</v>
      </c>
      <c r="F134" s="124">
        <v>5.663803234E9</v>
      </c>
      <c r="G134" s="124" t="s">
        <v>3190</v>
      </c>
      <c r="H134" s="124" t="s">
        <v>140</v>
      </c>
      <c r="I134" s="128"/>
      <c r="J134" s="124" t="s">
        <v>3191</v>
      </c>
      <c r="K134" s="124" t="s">
        <v>3192</v>
      </c>
      <c r="L134" s="124">
        <v>5.567425398E9</v>
      </c>
      <c r="M134" s="124" t="s">
        <v>3193</v>
      </c>
      <c r="N134" s="124" t="s">
        <v>3190</v>
      </c>
      <c r="O134" s="124">
        <v>5.660160837E9</v>
      </c>
      <c r="P134" s="129">
        <v>14.0</v>
      </c>
      <c r="Q134" s="130">
        <v>46018.40710648148</v>
      </c>
      <c r="R134" s="124" t="s">
        <v>107</v>
      </c>
      <c r="S134" s="124" t="s">
        <v>109</v>
      </c>
      <c r="T134" s="124" t="s">
        <v>204</v>
      </c>
      <c r="U134" s="124" t="s">
        <v>311</v>
      </c>
      <c r="V134" s="124" t="s">
        <v>312</v>
      </c>
      <c r="W134" s="124" t="s">
        <v>313</v>
      </c>
      <c r="X134" s="124" t="s">
        <v>120</v>
      </c>
      <c r="Y134" s="128"/>
      <c r="Z134" s="124" t="s">
        <v>120</v>
      </c>
      <c r="AA134" s="128"/>
      <c r="AB134" s="124" t="s">
        <v>120</v>
      </c>
      <c r="AC134" s="124" t="s">
        <v>120</v>
      </c>
      <c r="AD134" s="128"/>
      <c r="AE134" s="124" t="s">
        <v>120</v>
      </c>
      <c r="AF134" s="128"/>
      <c r="AG134" s="124" t="s">
        <v>120</v>
      </c>
      <c r="AH134" s="128"/>
      <c r="AI134" s="124" t="s">
        <v>120</v>
      </c>
      <c r="AJ134" s="128"/>
      <c r="AK134" s="128"/>
      <c r="AL134" s="124" t="s">
        <v>138</v>
      </c>
      <c r="AM134" s="124" t="s">
        <v>124</v>
      </c>
      <c r="AN134" s="124" t="s">
        <v>242</v>
      </c>
      <c r="AO134" s="124" t="s">
        <v>156</v>
      </c>
      <c r="AP134" s="124"/>
    </row>
    <row r="135">
      <c r="A135" s="124" t="s">
        <v>1407</v>
      </c>
      <c r="B135" s="124" t="s">
        <v>1408</v>
      </c>
      <c r="C135" s="124" t="s">
        <v>1411</v>
      </c>
      <c r="D135" s="127">
        <v>39715.0</v>
      </c>
      <c r="E135" s="124" t="s">
        <v>98</v>
      </c>
      <c r="F135" s="124">
        <v>5.632731751E9</v>
      </c>
      <c r="G135" s="124" t="s">
        <v>700</v>
      </c>
      <c r="H135" s="124" t="s">
        <v>101</v>
      </c>
      <c r="I135" s="128"/>
      <c r="J135" s="124" t="s">
        <v>702</v>
      </c>
      <c r="K135" s="124" t="s">
        <v>700</v>
      </c>
      <c r="L135" s="124">
        <v>5.518729991E9</v>
      </c>
      <c r="M135" s="128"/>
      <c r="N135" s="128"/>
      <c r="O135" s="128"/>
      <c r="P135" s="129">
        <v>17.0</v>
      </c>
      <c r="Q135" s="130">
        <v>46019.83887731482</v>
      </c>
      <c r="R135" s="124" t="s">
        <v>107</v>
      </c>
      <c r="S135" s="124" t="s">
        <v>109</v>
      </c>
      <c r="T135" s="124" t="s">
        <v>204</v>
      </c>
      <c r="U135" s="124" t="s">
        <v>699</v>
      </c>
      <c r="V135" s="124" t="s">
        <v>700</v>
      </c>
      <c r="W135" s="124" t="s">
        <v>702</v>
      </c>
      <c r="X135" s="124" t="s">
        <v>120</v>
      </c>
      <c r="Y135" s="128"/>
      <c r="Z135" s="124" t="s">
        <v>120</v>
      </c>
      <c r="AA135" s="128"/>
      <c r="AB135" s="124" t="s">
        <v>120</v>
      </c>
      <c r="AC135" s="124" t="s">
        <v>120</v>
      </c>
      <c r="AD135" s="128"/>
      <c r="AE135" s="124" t="s">
        <v>120</v>
      </c>
      <c r="AF135" s="128"/>
      <c r="AG135" s="124" t="s">
        <v>120</v>
      </c>
      <c r="AH135" s="128"/>
      <c r="AI135" s="124" t="s">
        <v>117</v>
      </c>
      <c r="AJ135" s="124" t="s">
        <v>1437</v>
      </c>
      <c r="AK135" s="128"/>
      <c r="AL135" s="124" t="s">
        <v>141</v>
      </c>
      <c r="AM135" s="124" t="s">
        <v>129</v>
      </c>
      <c r="AN135" s="124" t="s">
        <v>185</v>
      </c>
      <c r="AO135" s="124" t="s">
        <v>156</v>
      </c>
      <c r="AP135" s="124"/>
    </row>
    <row r="136">
      <c r="A136" s="124" t="s">
        <v>3196</v>
      </c>
      <c r="B136" s="124" t="s">
        <v>3198</v>
      </c>
      <c r="C136" s="124" t="s">
        <v>3199</v>
      </c>
      <c r="D136" s="127">
        <v>39685.0</v>
      </c>
      <c r="E136" s="124" t="s">
        <v>98</v>
      </c>
      <c r="F136" s="124">
        <v>5.551826684E9</v>
      </c>
      <c r="G136" s="124" t="s">
        <v>3200</v>
      </c>
      <c r="H136" s="124" t="s">
        <v>150</v>
      </c>
      <c r="I136" s="128"/>
      <c r="J136" s="124" t="s">
        <v>3201</v>
      </c>
      <c r="K136" s="124" t="s">
        <v>3202</v>
      </c>
      <c r="L136" s="124">
        <v>5.585698065E9</v>
      </c>
      <c r="M136" s="128"/>
      <c r="N136" s="128"/>
      <c r="O136" s="128"/>
      <c r="P136" s="129">
        <v>17.0</v>
      </c>
      <c r="Q136" s="130">
        <v>46038.41725694444</v>
      </c>
      <c r="R136" s="124" t="s">
        <v>107</v>
      </c>
      <c r="S136" s="124" t="s">
        <v>109</v>
      </c>
      <c r="T136" s="124" t="s">
        <v>192</v>
      </c>
      <c r="U136" s="124" t="s">
        <v>195</v>
      </c>
      <c r="V136" s="124" t="s">
        <v>198</v>
      </c>
      <c r="W136" s="124" t="s">
        <v>200</v>
      </c>
      <c r="X136" s="124" t="s">
        <v>120</v>
      </c>
      <c r="Y136" s="128"/>
      <c r="Z136" s="124" t="s">
        <v>120</v>
      </c>
      <c r="AA136" s="128"/>
      <c r="AB136" s="124" t="s">
        <v>120</v>
      </c>
      <c r="AC136" s="124" t="s">
        <v>120</v>
      </c>
      <c r="AD136" s="128"/>
      <c r="AE136" s="124" t="s">
        <v>120</v>
      </c>
      <c r="AF136" s="128"/>
      <c r="AG136" s="124" t="s">
        <v>120</v>
      </c>
      <c r="AH136" s="128"/>
      <c r="AI136" s="124" t="s">
        <v>120</v>
      </c>
      <c r="AJ136" s="128"/>
      <c r="AK136" s="128"/>
      <c r="AL136" s="124" t="s">
        <v>138</v>
      </c>
      <c r="AM136" s="124" t="s">
        <v>242</v>
      </c>
      <c r="AN136" s="124" t="s">
        <v>129</v>
      </c>
      <c r="AO136" s="124" t="s">
        <v>128</v>
      </c>
      <c r="AP136" s="124"/>
    </row>
    <row r="137">
      <c r="A137" s="124" t="s">
        <v>865</v>
      </c>
      <c r="B137" s="124" t="s">
        <v>866</v>
      </c>
      <c r="C137" s="124" t="s">
        <v>869</v>
      </c>
      <c r="D137" s="127">
        <v>40646.0</v>
      </c>
      <c r="E137" s="124" t="s">
        <v>98</v>
      </c>
      <c r="F137" s="124">
        <v>5.551768481E9</v>
      </c>
      <c r="G137" s="124" t="s">
        <v>873</v>
      </c>
      <c r="H137" s="124" t="s">
        <v>382</v>
      </c>
      <c r="I137" s="124" t="s">
        <v>874</v>
      </c>
      <c r="J137" s="124" t="s">
        <v>875</v>
      </c>
      <c r="K137" s="124" t="s">
        <v>876</v>
      </c>
      <c r="L137" s="124">
        <v>5.517554062E9</v>
      </c>
      <c r="M137" s="128"/>
      <c r="N137" s="128"/>
      <c r="O137" s="128"/>
      <c r="P137" s="129">
        <v>14.0</v>
      </c>
      <c r="Q137" s="130">
        <v>46037.77465277778</v>
      </c>
      <c r="R137" s="124" t="s">
        <v>107</v>
      </c>
      <c r="S137" s="124" t="s">
        <v>109</v>
      </c>
      <c r="T137" s="124" t="s">
        <v>208</v>
      </c>
      <c r="U137" s="124" t="s">
        <v>209</v>
      </c>
      <c r="V137" s="124" t="s">
        <v>210</v>
      </c>
      <c r="W137" s="124" t="s">
        <v>211</v>
      </c>
      <c r="X137" s="124" t="s">
        <v>117</v>
      </c>
      <c r="Y137" s="128"/>
      <c r="Z137" s="124" t="s">
        <v>117</v>
      </c>
      <c r="AA137" s="128"/>
      <c r="AB137" s="124" t="s">
        <v>117</v>
      </c>
      <c r="AC137" s="124" t="s">
        <v>117</v>
      </c>
      <c r="AD137" s="128"/>
      <c r="AE137" s="124" t="s">
        <v>117</v>
      </c>
      <c r="AF137" s="128"/>
      <c r="AG137" s="124" t="s">
        <v>117</v>
      </c>
      <c r="AH137" s="128"/>
      <c r="AI137" s="124" t="s">
        <v>117</v>
      </c>
      <c r="AJ137" s="128"/>
      <c r="AK137" s="128"/>
      <c r="AL137" s="124" t="s">
        <v>138</v>
      </c>
      <c r="AM137" s="124" t="s">
        <v>138</v>
      </c>
      <c r="AN137" s="124" t="s">
        <v>138</v>
      </c>
      <c r="AO137" s="124" t="s">
        <v>138</v>
      </c>
      <c r="AP137" s="124"/>
    </row>
    <row r="138">
      <c r="A138" s="124" t="s">
        <v>1784</v>
      </c>
      <c r="B138" s="124" t="s">
        <v>1785</v>
      </c>
      <c r="C138" s="124" t="s">
        <v>1787</v>
      </c>
      <c r="D138" s="127">
        <v>37288.0</v>
      </c>
      <c r="E138" s="124" t="s">
        <v>98</v>
      </c>
      <c r="F138" s="124">
        <v>5.532925326E9</v>
      </c>
      <c r="G138" s="124" t="s">
        <v>1791</v>
      </c>
      <c r="H138" s="124" t="s">
        <v>150</v>
      </c>
      <c r="I138" s="128"/>
      <c r="J138" s="124" t="s">
        <v>1793</v>
      </c>
      <c r="K138" s="124" t="s">
        <v>1791</v>
      </c>
      <c r="L138" s="124">
        <v>5.546535198E9</v>
      </c>
      <c r="M138" s="128"/>
      <c r="N138" s="128"/>
      <c r="O138" s="128"/>
      <c r="P138" s="129">
        <v>24.0</v>
      </c>
      <c r="Q138" s="130">
        <v>46033.49414351852</v>
      </c>
      <c r="R138" s="124" t="s">
        <v>107</v>
      </c>
      <c r="S138" s="124" t="s">
        <v>125</v>
      </c>
      <c r="T138" s="124" t="s">
        <v>192</v>
      </c>
      <c r="U138" s="124" t="s">
        <v>609</v>
      </c>
      <c r="V138" s="124" t="s">
        <v>611</v>
      </c>
      <c r="W138" s="124" t="s">
        <v>612</v>
      </c>
      <c r="X138" s="124" t="s">
        <v>120</v>
      </c>
      <c r="Y138" s="128"/>
      <c r="Z138" s="124" t="s">
        <v>117</v>
      </c>
      <c r="AA138" s="128"/>
      <c r="AB138" s="124" t="s">
        <v>120</v>
      </c>
      <c r="AC138" s="128"/>
      <c r="AD138" s="128"/>
      <c r="AE138" s="124" t="s">
        <v>120</v>
      </c>
      <c r="AF138" s="128"/>
      <c r="AG138" s="124" t="s">
        <v>120</v>
      </c>
      <c r="AH138" s="128"/>
      <c r="AI138" s="124" t="s">
        <v>120</v>
      </c>
      <c r="AJ138" s="128"/>
      <c r="AK138" s="128"/>
      <c r="AL138" s="124" t="s">
        <v>141</v>
      </c>
      <c r="AM138" s="124" t="s">
        <v>156</v>
      </c>
      <c r="AN138" s="124" t="s">
        <v>129</v>
      </c>
      <c r="AO138" s="124" t="s">
        <v>128</v>
      </c>
      <c r="AP138" s="124"/>
    </row>
    <row r="139">
      <c r="A139" s="124" t="s">
        <v>3203</v>
      </c>
      <c r="B139" s="124" t="s">
        <v>3204</v>
      </c>
      <c r="C139" s="124" t="s">
        <v>3205</v>
      </c>
      <c r="D139" s="127">
        <v>40228.0</v>
      </c>
      <c r="E139" s="124" t="s">
        <v>98</v>
      </c>
      <c r="F139" s="124">
        <v>5.523401312E9</v>
      </c>
      <c r="G139" s="124" t="s">
        <v>3206</v>
      </c>
      <c r="H139" s="124" t="s">
        <v>101</v>
      </c>
      <c r="I139" s="124" t="s">
        <v>135</v>
      </c>
      <c r="J139" s="124" t="s">
        <v>3207</v>
      </c>
      <c r="K139" s="124" t="s">
        <v>3208</v>
      </c>
      <c r="L139" s="128" t="str">
        <f>+52 55 4497 5742</f>
        <v>#ERROR!</v>
      </c>
      <c r="M139" s="124" t="s">
        <v>3209</v>
      </c>
      <c r="N139" s="124" t="s">
        <v>3210</v>
      </c>
      <c r="O139" s="128" t="str">
        <f>+52 55 1974 8708</f>
        <v>#ERROR!</v>
      </c>
      <c r="P139" s="129">
        <v>16.0</v>
      </c>
      <c r="Q139" s="130">
        <v>46024.944652777776</v>
      </c>
      <c r="R139" s="124" t="s">
        <v>107</v>
      </c>
      <c r="S139" s="124" t="s">
        <v>109</v>
      </c>
      <c r="T139" s="124" t="s">
        <v>208</v>
      </c>
      <c r="U139" s="124" t="s">
        <v>428</v>
      </c>
      <c r="V139" s="124" t="s">
        <v>429</v>
      </c>
      <c r="W139" s="124" t="s">
        <v>430</v>
      </c>
      <c r="X139" s="124" t="s">
        <v>120</v>
      </c>
      <c r="Y139" s="128"/>
      <c r="Z139" s="124" t="s">
        <v>120</v>
      </c>
      <c r="AA139" s="128"/>
      <c r="AB139" s="124" t="s">
        <v>120</v>
      </c>
      <c r="AC139" s="128"/>
      <c r="AD139" s="128"/>
      <c r="AE139" s="124" t="s">
        <v>120</v>
      </c>
      <c r="AF139" s="128"/>
      <c r="AG139" s="124" t="s">
        <v>120</v>
      </c>
      <c r="AH139" s="128"/>
      <c r="AI139" s="124" t="s">
        <v>120</v>
      </c>
      <c r="AJ139" s="128"/>
      <c r="AK139" s="128"/>
      <c r="AL139" s="124" t="s">
        <v>138</v>
      </c>
      <c r="AM139" s="124" t="s">
        <v>124</v>
      </c>
      <c r="AN139" s="124" t="s">
        <v>129</v>
      </c>
      <c r="AO139" s="124" t="s">
        <v>242</v>
      </c>
      <c r="AP139" s="124"/>
    </row>
    <row r="140">
      <c r="A140" s="124" t="s">
        <v>1807</v>
      </c>
      <c r="B140" s="124" t="s">
        <v>1808</v>
      </c>
      <c r="C140" s="124" t="s">
        <v>1809</v>
      </c>
      <c r="D140" s="127">
        <v>36157.0</v>
      </c>
      <c r="E140" s="124" t="s">
        <v>98</v>
      </c>
      <c r="F140" s="124">
        <v>5.5137558E9</v>
      </c>
      <c r="G140" s="124" t="s">
        <v>1811</v>
      </c>
      <c r="H140" s="124" t="s">
        <v>101</v>
      </c>
      <c r="I140" s="128"/>
      <c r="J140" s="124" t="s">
        <v>1814</v>
      </c>
      <c r="K140" s="124" t="s">
        <v>1815</v>
      </c>
      <c r="L140" s="124">
        <v>5.560447055E9</v>
      </c>
      <c r="M140" s="128"/>
      <c r="N140" s="128"/>
      <c r="O140" s="128"/>
      <c r="P140" s="129">
        <v>27.0</v>
      </c>
      <c r="Q140" s="130">
        <v>46026.72221064815</v>
      </c>
      <c r="R140" s="124" t="s">
        <v>107</v>
      </c>
      <c r="S140" s="124" t="s">
        <v>125</v>
      </c>
      <c r="T140" s="124" t="s">
        <v>208</v>
      </c>
      <c r="U140" s="124" t="s">
        <v>601</v>
      </c>
      <c r="V140" s="124" t="s">
        <v>602</v>
      </c>
      <c r="W140" s="124" t="s">
        <v>603</v>
      </c>
      <c r="X140" s="124" t="s">
        <v>120</v>
      </c>
      <c r="Y140" s="128"/>
      <c r="Z140" s="124" t="s">
        <v>120</v>
      </c>
      <c r="AA140" s="128"/>
      <c r="AB140" s="124" t="s">
        <v>120</v>
      </c>
      <c r="AC140" s="124" t="s">
        <v>120</v>
      </c>
      <c r="AD140" s="128"/>
      <c r="AE140" s="124" t="s">
        <v>120</v>
      </c>
      <c r="AF140" s="128"/>
      <c r="AG140" s="124" t="s">
        <v>117</v>
      </c>
      <c r="AH140" s="124" t="s">
        <v>1828</v>
      </c>
      <c r="AI140" s="124" t="s">
        <v>120</v>
      </c>
      <c r="AJ140" s="128"/>
      <c r="AK140" s="128"/>
      <c r="AL140" s="124" t="s">
        <v>138</v>
      </c>
      <c r="AM140" s="124" t="s">
        <v>128</v>
      </c>
      <c r="AN140" s="124" t="s">
        <v>242</v>
      </c>
      <c r="AO140" s="124" t="s">
        <v>156</v>
      </c>
      <c r="AP140" s="124"/>
    </row>
    <row r="141">
      <c r="A141" s="124" t="s">
        <v>3212</v>
      </c>
      <c r="B141" s="124" t="s">
        <v>3213</v>
      </c>
      <c r="C141" s="124" t="s">
        <v>3214</v>
      </c>
      <c r="D141" s="127">
        <v>40023.0</v>
      </c>
      <c r="E141" s="124" t="s">
        <v>98</v>
      </c>
      <c r="F141" s="124">
        <v>5.571653105E9</v>
      </c>
      <c r="G141" s="124" t="s">
        <v>3215</v>
      </c>
      <c r="H141" s="124" t="s">
        <v>140</v>
      </c>
      <c r="I141" s="128"/>
      <c r="J141" s="124" t="s">
        <v>3216</v>
      </c>
      <c r="K141" s="124" t="s">
        <v>3215</v>
      </c>
      <c r="L141" s="124">
        <v>5.571653105E9</v>
      </c>
      <c r="M141" s="128"/>
      <c r="N141" s="128"/>
      <c r="O141" s="128"/>
      <c r="P141" s="129">
        <v>16.0</v>
      </c>
      <c r="Q141" s="130">
        <v>46037.82202546296</v>
      </c>
      <c r="R141" s="124" t="s">
        <v>107</v>
      </c>
      <c r="S141" s="124" t="s">
        <v>109</v>
      </c>
      <c r="T141" s="124" t="s">
        <v>160</v>
      </c>
      <c r="U141" s="124" t="s">
        <v>161</v>
      </c>
      <c r="V141" s="124" t="s">
        <v>163</v>
      </c>
      <c r="W141" s="124" t="s">
        <v>165</v>
      </c>
      <c r="X141" s="124" t="s">
        <v>120</v>
      </c>
      <c r="Y141" s="128"/>
      <c r="Z141" s="124" t="s">
        <v>120</v>
      </c>
      <c r="AA141" s="128"/>
      <c r="AB141" s="124" t="s">
        <v>120</v>
      </c>
      <c r="AC141" s="124" t="s">
        <v>120</v>
      </c>
      <c r="AD141" s="128"/>
      <c r="AE141" s="124" t="s">
        <v>120</v>
      </c>
      <c r="AF141" s="128"/>
      <c r="AG141" s="124" t="s">
        <v>120</v>
      </c>
      <c r="AH141" s="128"/>
      <c r="AI141" s="124" t="s">
        <v>120</v>
      </c>
      <c r="AJ141" s="128"/>
      <c r="AK141" s="128"/>
      <c r="AL141" s="124" t="s">
        <v>141</v>
      </c>
      <c r="AM141" s="124" t="s">
        <v>185</v>
      </c>
      <c r="AN141" s="124" t="s">
        <v>138</v>
      </c>
      <c r="AO141" s="124" t="s">
        <v>156</v>
      </c>
      <c r="AP141" s="124"/>
    </row>
    <row r="142">
      <c r="A142" s="124" t="s">
        <v>3218</v>
      </c>
      <c r="B142" s="124" t="s">
        <v>3219</v>
      </c>
      <c r="C142" s="128"/>
      <c r="D142" s="127">
        <v>39902.0</v>
      </c>
      <c r="E142" s="124" t="s">
        <v>177</v>
      </c>
      <c r="F142" s="124">
        <v>5.510302422E9</v>
      </c>
      <c r="G142" s="124" t="s">
        <v>167</v>
      </c>
      <c r="H142" s="124" t="s">
        <v>101</v>
      </c>
      <c r="I142" s="124" t="s">
        <v>3220</v>
      </c>
      <c r="J142" s="124" t="s">
        <v>1154</v>
      </c>
      <c r="K142" s="124" t="s">
        <v>167</v>
      </c>
      <c r="L142" s="124">
        <v>5.510302422E9</v>
      </c>
      <c r="M142" s="128"/>
      <c r="N142" s="128"/>
      <c r="O142" s="128"/>
      <c r="P142" s="129">
        <v>16.0</v>
      </c>
      <c r="Q142" s="130">
        <v>46037.496886574074</v>
      </c>
      <c r="R142" s="124" t="s">
        <v>107</v>
      </c>
      <c r="S142" s="124" t="s">
        <v>109</v>
      </c>
      <c r="T142" s="124" t="s">
        <v>171</v>
      </c>
      <c r="U142" s="124" t="s">
        <v>173</v>
      </c>
      <c r="V142" s="124" t="s">
        <v>167</v>
      </c>
      <c r="W142" s="124" t="s">
        <v>175</v>
      </c>
      <c r="X142" s="124" t="s">
        <v>120</v>
      </c>
      <c r="Y142" s="128"/>
      <c r="Z142" s="124" t="s">
        <v>120</v>
      </c>
      <c r="AA142" s="128"/>
      <c r="AB142" s="124" t="s">
        <v>120</v>
      </c>
      <c r="AC142" s="124" t="s">
        <v>120</v>
      </c>
      <c r="AD142" s="128"/>
      <c r="AE142" s="124" t="s">
        <v>120</v>
      </c>
      <c r="AF142" s="128"/>
      <c r="AG142" s="124" t="s">
        <v>120</v>
      </c>
      <c r="AH142" s="128"/>
      <c r="AI142" s="124" t="s">
        <v>120</v>
      </c>
      <c r="AJ142" s="128"/>
      <c r="AK142" s="128"/>
      <c r="AL142" s="124" t="s">
        <v>185</v>
      </c>
      <c r="AM142" s="124" t="s">
        <v>124</v>
      </c>
      <c r="AN142" s="124" t="s">
        <v>129</v>
      </c>
      <c r="AO142" s="124" t="s">
        <v>141</v>
      </c>
      <c r="AP142" s="124"/>
    </row>
    <row r="143">
      <c r="A143" s="124" t="s">
        <v>3221</v>
      </c>
      <c r="B143" s="124" t="s">
        <v>3222</v>
      </c>
      <c r="C143" s="124" t="s">
        <v>3223</v>
      </c>
      <c r="D143" s="127">
        <v>39890.0</v>
      </c>
      <c r="E143" s="124" t="s">
        <v>98</v>
      </c>
      <c r="F143" s="124">
        <v>5.543484889E9</v>
      </c>
      <c r="G143" s="124" t="s">
        <v>3224</v>
      </c>
      <c r="H143" s="124" t="s">
        <v>101</v>
      </c>
      <c r="I143" s="124" t="s">
        <v>3225</v>
      </c>
      <c r="J143" s="124" t="s">
        <v>3226</v>
      </c>
      <c r="K143" s="124" t="s">
        <v>3227</v>
      </c>
      <c r="L143" s="124">
        <v>5.513358747E9</v>
      </c>
      <c r="M143" s="124" t="s">
        <v>3228</v>
      </c>
      <c r="N143" s="124" t="s">
        <v>3224</v>
      </c>
      <c r="O143" s="124">
        <v>5.51829586E9</v>
      </c>
      <c r="P143" s="129">
        <v>16.0</v>
      </c>
      <c r="Q143" s="130">
        <v>46030.39271990741</v>
      </c>
      <c r="R143" s="124" t="s">
        <v>107</v>
      </c>
      <c r="S143" s="124" t="s">
        <v>109</v>
      </c>
      <c r="T143" s="124" t="s">
        <v>192</v>
      </c>
      <c r="U143" s="124" t="s">
        <v>505</v>
      </c>
      <c r="V143" s="124" t="s">
        <v>506</v>
      </c>
      <c r="W143" s="124" t="s">
        <v>507</v>
      </c>
      <c r="X143" s="124" t="s">
        <v>120</v>
      </c>
      <c r="Y143" s="124" t="s">
        <v>1325</v>
      </c>
      <c r="Z143" s="124" t="s">
        <v>117</v>
      </c>
      <c r="AA143" s="124" t="s">
        <v>3229</v>
      </c>
      <c r="AB143" s="124" t="s">
        <v>120</v>
      </c>
      <c r="AC143" s="124" t="s">
        <v>120</v>
      </c>
      <c r="AD143" s="124" t="s">
        <v>1325</v>
      </c>
      <c r="AE143" s="124" t="s">
        <v>120</v>
      </c>
      <c r="AF143" s="124" t="s">
        <v>1325</v>
      </c>
      <c r="AG143" s="124" t="s">
        <v>120</v>
      </c>
      <c r="AH143" s="124" t="s">
        <v>1325</v>
      </c>
      <c r="AI143" s="124" t="s">
        <v>120</v>
      </c>
      <c r="AJ143" s="124" t="s">
        <v>1325</v>
      </c>
      <c r="AK143" s="124" t="s">
        <v>1325</v>
      </c>
      <c r="AL143" s="124" t="s">
        <v>185</v>
      </c>
      <c r="AM143" s="124" t="s">
        <v>124</v>
      </c>
      <c r="AN143" s="124" t="s">
        <v>128</v>
      </c>
      <c r="AO143" s="124" t="s">
        <v>240</v>
      </c>
      <c r="AP143" s="124"/>
    </row>
    <row r="144">
      <c r="A144" s="124" t="s">
        <v>3230</v>
      </c>
      <c r="B144" s="124" t="s">
        <v>3231</v>
      </c>
      <c r="C144" s="124" t="s">
        <v>3232</v>
      </c>
      <c r="D144" s="127">
        <v>40529.0</v>
      </c>
      <c r="E144" s="124" t="s">
        <v>98</v>
      </c>
      <c r="F144" s="124">
        <v>5.535161037E9</v>
      </c>
      <c r="G144" s="124" t="s">
        <v>3233</v>
      </c>
      <c r="H144" s="124" t="s">
        <v>140</v>
      </c>
      <c r="I144" s="128"/>
      <c r="J144" s="124" t="s">
        <v>3234</v>
      </c>
      <c r="K144" s="124" t="s">
        <v>3235</v>
      </c>
      <c r="L144" s="124">
        <v>5.564394276E9</v>
      </c>
      <c r="M144" s="128"/>
      <c r="N144" s="128"/>
      <c r="O144" s="128"/>
      <c r="P144" s="129">
        <v>15.0</v>
      </c>
      <c r="Q144" s="130">
        <v>46039.46771990741</v>
      </c>
      <c r="R144" s="124" t="s">
        <v>107</v>
      </c>
      <c r="S144" s="124" t="s">
        <v>109</v>
      </c>
      <c r="T144" s="124" t="s">
        <v>160</v>
      </c>
      <c r="U144" s="124" t="s">
        <v>308</v>
      </c>
      <c r="V144" s="124" t="s">
        <v>309</v>
      </c>
      <c r="W144" s="124" t="s">
        <v>310</v>
      </c>
      <c r="X144" s="124" t="s">
        <v>120</v>
      </c>
      <c r="Y144" s="128"/>
      <c r="Z144" s="124" t="s">
        <v>120</v>
      </c>
      <c r="AA144" s="128"/>
      <c r="AB144" s="124" t="s">
        <v>120</v>
      </c>
      <c r="AC144" s="128"/>
      <c r="AD144" s="128"/>
      <c r="AE144" s="124" t="s">
        <v>120</v>
      </c>
      <c r="AF144" s="128"/>
      <c r="AG144" s="124" t="s">
        <v>120</v>
      </c>
      <c r="AH144" s="128"/>
      <c r="AI144" s="124" t="s">
        <v>120</v>
      </c>
      <c r="AJ144" s="128"/>
      <c r="AK144" s="128"/>
      <c r="AL144" s="124" t="s">
        <v>242</v>
      </c>
      <c r="AM144" s="124" t="s">
        <v>156</v>
      </c>
      <c r="AN144" s="124" t="s">
        <v>124</v>
      </c>
      <c r="AO144" s="124" t="s">
        <v>141</v>
      </c>
      <c r="AP144" s="124"/>
    </row>
    <row r="145">
      <c r="A145" s="124" t="s">
        <v>1832</v>
      </c>
      <c r="B145" s="124" t="s">
        <v>1833</v>
      </c>
      <c r="C145" s="124" t="s">
        <v>1834</v>
      </c>
      <c r="D145" s="127">
        <v>36714.0</v>
      </c>
      <c r="E145" s="124" t="s">
        <v>98</v>
      </c>
      <c r="F145" s="124">
        <v>5.515011847E9</v>
      </c>
      <c r="G145" s="124" t="s">
        <v>1835</v>
      </c>
      <c r="H145" s="124" t="s">
        <v>140</v>
      </c>
      <c r="I145" s="128"/>
      <c r="J145" s="124" t="s">
        <v>1838</v>
      </c>
      <c r="K145" s="124" t="s">
        <v>1840</v>
      </c>
      <c r="L145" s="124">
        <v>5.5797069E9</v>
      </c>
      <c r="M145" s="128"/>
      <c r="N145" s="128"/>
      <c r="O145" s="128"/>
      <c r="P145" s="129">
        <v>25.0</v>
      </c>
      <c r="Q145" s="130">
        <v>46026.48333333333</v>
      </c>
      <c r="R145" s="124" t="s">
        <v>107</v>
      </c>
      <c r="S145" s="124" t="s">
        <v>125</v>
      </c>
      <c r="T145" s="124" t="s">
        <v>208</v>
      </c>
      <c r="U145" s="124" t="s">
        <v>228</v>
      </c>
      <c r="V145" s="124" t="s">
        <v>229</v>
      </c>
      <c r="W145" s="124" t="s">
        <v>230</v>
      </c>
      <c r="X145" s="124" t="s">
        <v>120</v>
      </c>
      <c r="Y145" s="128"/>
      <c r="Z145" s="124" t="s">
        <v>120</v>
      </c>
      <c r="AA145" s="128"/>
      <c r="AB145" s="124" t="s">
        <v>120</v>
      </c>
      <c r="AC145" s="128"/>
      <c r="AD145" s="128"/>
      <c r="AE145" s="124" t="s">
        <v>120</v>
      </c>
      <c r="AF145" s="128"/>
      <c r="AG145" s="124" t="s">
        <v>120</v>
      </c>
      <c r="AH145" s="128"/>
      <c r="AI145" s="124" t="s">
        <v>120</v>
      </c>
      <c r="AJ145" s="128"/>
      <c r="AK145" s="128"/>
      <c r="AL145" s="124" t="s">
        <v>138</v>
      </c>
      <c r="AM145" s="124" t="s">
        <v>156</v>
      </c>
      <c r="AN145" s="124" t="s">
        <v>126</v>
      </c>
      <c r="AO145" s="124" t="s">
        <v>129</v>
      </c>
      <c r="AP145" s="124"/>
    </row>
    <row r="146">
      <c r="A146" s="124" t="s">
        <v>3236</v>
      </c>
      <c r="B146" s="124" t="s">
        <v>3237</v>
      </c>
      <c r="C146" s="124" t="s">
        <v>3238</v>
      </c>
      <c r="D146" s="127">
        <v>39786.0</v>
      </c>
      <c r="E146" s="124" t="s">
        <v>98</v>
      </c>
      <c r="F146" s="124">
        <v>5.549197736E9</v>
      </c>
      <c r="G146" s="124" t="s">
        <v>3239</v>
      </c>
      <c r="H146" s="124" t="s">
        <v>101</v>
      </c>
      <c r="I146" s="128"/>
      <c r="J146" s="124" t="s">
        <v>3240</v>
      </c>
      <c r="K146" s="124" t="s">
        <v>3239</v>
      </c>
      <c r="L146" s="124">
        <v>5.549197736E9</v>
      </c>
      <c r="M146" s="128"/>
      <c r="N146" s="128"/>
      <c r="O146" s="128"/>
      <c r="P146" s="129">
        <v>17.0</v>
      </c>
      <c r="Q146" s="130">
        <v>46040.6330787037</v>
      </c>
      <c r="R146" s="124" t="s">
        <v>107</v>
      </c>
      <c r="S146" s="124" t="s">
        <v>109</v>
      </c>
      <c r="T146" s="124" t="s">
        <v>204</v>
      </c>
      <c r="U146" s="124" t="s">
        <v>367</v>
      </c>
      <c r="V146" s="124" t="s">
        <v>368</v>
      </c>
      <c r="W146" s="124" t="s">
        <v>369</v>
      </c>
      <c r="X146" s="124" t="s">
        <v>120</v>
      </c>
      <c r="Y146" s="128"/>
      <c r="Z146" s="124" t="s">
        <v>120</v>
      </c>
      <c r="AA146" s="128"/>
      <c r="AB146" s="124" t="s">
        <v>120</v>
      </c>
      <c r="AC146" s="128"/>
      <c r="AD146" s="128"/>
      <c r="AE146" s="124" t="s">
        <v>120</v>
      </c>
      <c r="AF146" s="128"/>
      <c r="AG146" s="124" t="s">
        <v>120</v>
      </c>
      <c r="AH146" s="128"/>
      <c r="AI146" s="124" t="s">
        <v>120</v>
      </c>
      <c r="AJ146" s="128"/>
      <c r="AK146" s="128"/>
      <c r="AL146" s="124" t="s">
        <v>128</v>
      </c>
      <c r="AM146" s="124" t="s">
        <v>216</v>
      </c>
      <c r="AN146" s="124" t="s">
        <v>185</v>
      </c>
      <c r="AO146" s="124" t="s">
        <v>124</v>
      </c>
      <c r="AP146" s="124"/>
    </row>
    <row r="147">
      <c r="A147" s="124" t="s">
        <v>3241</v>
      </c>
      <c r="B147" s="124" t="s">
        <v>968</v>
      </c>
      <c r="C147" s="124" t="s">
        <v>3242</v>
      </c>
      <c r="D147" s="127">
        <v>40327.0</v>
      </c>
      <c r="E147" s="124" t="s">
        <v>177</v>
      </c>
      <c r="F147" s="124">
        <v>5.613974755E9</v>
      </c>
      <c r="G147" s="124" t="s">
        <v>3243</v>
      </c>
      <c r="H147" s="124" t="s">
        <v>150</v>
      </c>
      <c r="I147" s="128"/>
      <c r="J147" s="124" t="s">
        <v>3244</v>
      </c>
      <c r="K147" s="124" t="s">
        <v>3243</v>
      </c>
      <c r="L147" s="124">
        <v>5.591451335E9</v>
      </c>
      <c r="M147" s="128"/>
      <c r="N147" s="128"/>
      <c r="O147" s="128"/>
      <c r="P147" s="129">
        <v>15.0</v>
      </c>
      <c r="Q147" s="130">
        <v>46024.75446759259</v>
      </c>
      <c r="R147" s="124" t="s">
        <v>107</v>
      </c>
      <c r="S147" s="124" t="s">
        <v>109</v>
      </c>
      <c r="T147" s="124" t="s">
        <v>127</v>
      </c>
      <c r="U147" s="124" t="s">
        <v>531</v>
      </c>
      <c r="V147" s="124" t="s">
        <v>532</v>
      </c>
      <c r="W147" s="124" t="s">
        <v>534</v>
      </c>
      <c r="X147" s="124" t="s">
        <v>120</v>
      </c>
      <c r="Y147" s="128"/>
      <c r="Z147" s="124" t="s">
        <v>117</v>
      </c>
      <c r="AA147" s="124" t="s">
        <v>3245</v>
      </c>
      <c r="AB147" s="124" t="s">
        <v>120</v>
      </c>
      <c r="AC147" s="128"/>
      <c r="AD147" s="128"/>
      <c r="AE147" s="124" t="s">
        <v>120</v>
      </c>
      <c r="AF147" s="128"/>
      <c r="AG147" s="124" t="s">
        <v>120</v>
      </c>
      <c r="AH147" s="128"/>
      <c r="AI147" s="124" t="s">
        <v>120</v>
      </c>
      <c r="AJ147" s="128"/>
      <c r="AK147" s="128"/>
      <c r="AL147" s="124" t="s">
        <v>138</v>
      </c>
      <c r="AM147" s="124" t="s">
        <v>141</v>
      </c>
      <c r="AN147" s="124" t="s">
        <v>124</v>
      </c>
      <c r="AO147" s="124" t="s">
        <v>185</v>
      </c>
      <c r="AP147" s="124"/>
    </row>
    <row r="148">
      <c r="A148" s="124" t="s">
        <v>1299</v>
      </c>
      <c r="B148" s="124" t="s">
        <v>1300</v>
      </c>
      <c r="C148" s="124" t="s">
        <v>1301</v>
      </c>
      <c r="D148" s="127">
        <v>39927.0</v>
      </c>
      <c r="E148" s="124" t="s">
        <v>177</v>
      </c>
      <c r="F148" s="124" t="s">
        <v>1302</v>
      </c>
      <c r="G148" s="124" t="s">
        <v>1303</v>
      </c>
      <c r="H148" s="124" t="s">
        <v>150</v>
      </c>
      <c r="I148" s="124" t="s">
        <v>1304</v>
      </c>
      <c r="J148" s="124" t="s">
        <v>1305</v>
      </c>
      <c r="K148" s="124" t="s">
        <v>1306</v>
      </c>
      <c r="L148" s="128" t="str">
        <f>+52 55 3297 1748</f>
        <v>#ERROR!</v>
      </c>
      <c r="M148" s="128"/>
      <c r="N148" s="128"/>
      <c r="O148" s="128"/>
      <c r="P148" s="129">
        <v>16.0</v>
      </c>
      <c r="Q148" s="130">
        <v>46020.52248842592</v>
      </c>
      <c r="R148" s="124" t="s">
        <v>107</v>
      </c>
      <c r="S148" s="124" t="s">
        <v>109</v>
      </c>
      <c r="T148" s="124" t="s">
        <v>208</v>
      </c>
      <c r="U148" s="124" t="s">
        <v>228</v>
      </c>
      <c r="V148" s="124" t="s">
        <v>229</v>
      </c>
      <c r="W148" s="124" t="s">
        <v>230</v>
      </c>
      <c r="X148" s="124" t="s">
        <v>120</v>
      </c>
      <c r="Y148" s="128"/>
      <c r="Z148" s="124" t="s">
        <v>117</v>
      </c>
      <c r="AA148" s="124" t="s">
        <v>1316</v>
      </c>
      <c r="AB148" s="124" t="s">
        <v>117</v>
      </c>
      <c r="AC148" s="124" t="s">
        <v>117</v>
      </c>
      <c r="AD148" s="124" t="s">
        <v>1320</v>
      </c>
      <c r="AE148" s="124" t="s">
        <v>117</v>
      </c>
      <c r="AF148" s="124" t="s">
        <v>366</v>
      </c>
      <c r="AG148" s="124" t="s">
        <v>120</v>
      </c>
      <c r="AH148" s="128"/>
      <c r="AI148" s="124" t="s">
        <v>120</v>
      </c>
      <c r="AJ148" s="128"/>
      <c r="AK148" s="128"/>
      <c r="AL148" s="124" t="s">
        <v>129</v>
      </c>
      <c r="AM148" s="124" t="s">
        <v>141</v>
      </c>
      <c r="AN148" s="124" t="s">
        <v>242</v>
      </c>
      <c r="AO148" s="124" t="s">
        <v>185</v>
      </c>
      <c r="AP148" s="124"/>
    </row>
    <row r="149">
      <c r="A149" s="124" t="s">
        <v>1444</v>
      </c>
      <c r="B149" s="124" t="s">
        <v>1446</v>
      </c>
      <c r="C149" s="124" t="s">
        <v>1447</v>
      </c>
      <c r="D149" s="127">
        <v>40384.0</v>
      </c>
      <c r="E149" s="124" t="s">
        <v>98</v>
      </c>
      <c r="F149" s="128">
        <f>+525663890416</f>
        <v>525663890416</v>
      </c>
      <c r="G149" s="124" t="s">
        <v>1457</v>
      </c>
      <c r="H149" s="124" t="s">
        <v>110</v>
      </c>
      <c r="I149" s="128"/>
      <c r="J149" s="124" t="s">
        <v>1460</v>
      </c>
      <c r="K149" s="124" t="s">
        <v>1457</v>
      </c>
      <c r="L149" s="124">
        <v>5.25534837235E11</v>
      </c>
      <c r="M149" s="124" t="s">
        <v>1465</v>
      </c>
      <c r="N149" s="124" t="s">
        <v>1466</v>
      </c>
      <c r="O149" s="124">
        <v>5.512919582E9</v>
      </c>
      <c r="P149" s="129">
        <v>15.0</v>
      </c>
      <c r="Q149" s="130">
        <v>46040.89759259259</v>
      </c>
      <c r="R149" s="124" t="s">
        <v>107</v>
      </c>
      <c r="S149" s="124" t="s">
        <v>109</v>
      </c>
      <c r="T149" s="124" t="s">
        <v>171</v>
      </c>
      <c r="U149" s="124" t="s">
        <v>1474</v>
      </c>
      <c r="V149" s="124" t="s">
        <v>1475</v>
      </c>
      <c r="W149" s="124" t="s">
        <v>1476</v>
      </c>
      <c r="X149" s="124" t="s">
        <v>120</v>
      </c>
      <c r="Y149" s="128"/>
      <c r="Z149" s="124" t="s">
        <v>120</v>
      </c>
      <c r="AA149" s="128"/>
      <c r="AB149" s="124" t="s">
        <v>120</v>
      </c>
      <c r="AC149" s="128"/>
      <c r="AD149" s="128"/>
      <c r="AE149" s="124" t="s">
        <v>120</v>
      </c>
      <c r="AF149" s="128"/>
      <c r="AG149" s="124" t="s">
        <v>120</v>
      </c>
      <c r="AH149" s="128"/>
      <c r="AI149" s="124" t="s">
        <v>117</v>
      </c>
      <c r="AJ149" s="124" t="s">
        <v>1483</v>
      </c>
      <c r="AK149" s="124" t="s">
        <v>178</v>
      </c>
      <c r="AL149" s="124" t="s">
        <v>138</v>
      </c>
      <c r="AM149" s="124" t="s">
        <v>124</v>
      </c>
      <c r="AN149" s="124" t="s">
        <v>129</v>
      </c>
      <c r="AO149" s="124" t="s">
        <v>216</v>
      </c>
      <c r="AP149" s="124"/>
    </row>
    <row r="150">
      <c r="A150" s="124" t="s">
        <v>3247</v>
      </c>
      <c r="B150" s="124" t="s">
        <v>2799</v>
      </c>
      <c r="C150" s="124" t="s">
        <v>3249</v>
      </c>
      <c r="D150" s="127">
        <v>39484.0</v>
      </c>
      <c r="E150" s="124" t="s">
        <v>177</v>
      </c>
      <c r="F150" s="124">
        <v>4.423970914E9</v>
      </c>
      <c r="G150" s="124" t="s">
        <v>2802</v>
      </c>
      <c r="H150" s="124" t="s">
        <v>140</v>
      </c>
      <c r="I150" s="128"/>
      <c r="J150" s="124" t="s">
        <v>3251</v>
      </c>
      <c r="K150" s="124" t="s">
        <v>3252</v>
      </c>
      <c r="L150" s="124">
        <v>5.53134368E9</v>
      </c>
      <c r="M150" s="124" t="s">
        <v>3253</v>
      </c>
      <c r="N150" s="124" t="s">
        <v>2288</v>
      </c>
      <c r="O150" s="124" t="s">
        <v>3254</v>
      </c>
      <c r="P150" s="129">
        <v>18.0</v>
      </c>
      <c r="Q150" s="130">
        <v>46033.37082175926</v>
      </c>
      <c r="R150" s="124" t="s">
        <v>107</v>
      </c>
      <c r="S150" s="124" t="s">
        <v>109</v>
      </c>
      <c r="T150" s="124" t="s">
        <v>127</v>
      </c>
      <c r="U150" s="124" t="s">
        <v>130</v>
      </c>
      <c r="V150" s="124" t="s">
        <v>131</v>
      </c>
      <c r="W150" s="124" t="s">
        <v>132</v>
      </c>
      <c r="X150" s="124" t="s">
        <v>120</v>
      </c>
      <c r="Y150" s="128"/>
      <c r="Z150" s="124" t="s">
        <v>120</v>
      </c>
      <c r="AA150" s="128"/>
      <c r="AB150" s="124" t="s">
        <v>120</v>
      </c>
      <c r="AC150" s="124" t="s">
        <v>120</v>
      </c>
      <c r="AD150" s="128"/>
      <c r="AE150" s="124" t="s">
        <v>120</v>
      </c>
      <c r="AF150" s="128"/>
      <c r="AG150" s="124" t="s">
        <v>120</v>
      </c>
      <c r="AH150" s="128"/>
      <c r="AI150" s="124" t="s">
        <v>120</v>
      </c>
      <c r="AJ150" s="128"/>
      <c r="AK150" s="128"/>
      <c r="AL150" s="124" t="s">
        <v>185</v>
      </c>
      <c r="AM150" s="124" t="s">
        <v>126</v>
      </c>
      <c r="AN150" s="124" t="s">
        <v>216</v>
      </c>
      <c r="AO150" s="124" t="s">
        <v>126</v>
      </c>
      <c r="AP150" s="124"/>
    </row>
    <row r="151">
      <c r="A151" s="124" t="s">
        <v>3256</v>
      </c>
      <c r="B151" s="124" t="s">
        <v>3257</v>
      </c>
      <c r="C151" s="128"/>
      <c r="D151" s="127">
        <v>39651.0</v>
      </c>
      <c r="E151" s="124" t="s">
        <v>177</v>
      </c>
      <c r="F151" s="124">
        <v>5.631229285E9</v>
      </c>
      <c r="G151" s="124" t="s">
        <v>3258</v>
      </c>
      <c r="H151" s="124" t="s">
        <v>101</v>
      </c>
      <c r="I151" s="124" t="s">
        <v>1325</v>
      </c>
      <c r="J151" s="124" t="s">
        <v>3259</v>
      </c>
      <c r="K151" s="124" t="s">
        <v>3261</v>
      </c>
      <c r="L151" s="124">
        <v>5.639867988E9</v>
      </c>
      <c r="M151" s="124" t="s">
        <v>3262</v>
      </c>
      <c r="N151" s="124" t="s">
        <v>3263</v>
      </c>
      <c r="O151" s="124">
        <v>5.648656428E9</v>
      </c>
      <c r="P151" s="129">
        <v>17.0</v>
      </c>
      <c r="Q151" s="130">
        <v>46036.79298611111</v>
      </c>
      <c r="R151" s="124" t="s">
        <v>107</v>
      </c>
      <c r="S151" s="124" t="s">
        <v>109</v>
      </c>
      <c r="T151" s="124" t="s">
        <v>111</v>
      </c>
      <c r="U151" s="124" t="s">
        <v>112</v>
      </c>
      <c r="V151" s="124" t="s">
        <v>114</v>
      </c>
      <c r="W151" s="124" t="s">
        <v>115</v>
      </c>
      <c r="X151" s="124" t="s">
        <v>120</v>
      </c>
      <c r="Y151" s="128"/>
      <c r="Z151" s="124" t="s">
        <v>120</v>
      </c>
      <c r="AA151" s="128"/>
      <c r="AB151" s="124" t="s">
        <v>120</v>
      </c>
      <c r="AC151" s="128"/>
      <c r="AD151" s="128"/>
      <c r="AE151" s="124" t="s">
        <v>120</v>
      </c>
      <c r="AF151" s="128"/>
      <c r="AG151" s="124" t="s">
        <v>120</v>
      </c>
      <c r="AH151" s="128"/>
      <c r="AI151" s="124" t="s">
        <v>120</v>
      </c>
      <c r="AJ151" s="128"/>
      <c r="AK151" s="128"/>
      <c r="AL151" s="124" t="s">
        <v>156</v>
      </c>
      <c r="AM151" s="124" t="s">
        <v>242</v>
      </c>
      <c r="AN151" s="124" t="s">
        <v>141</v>
      </c>
      <c r="AO151" s="124" t="s">
        <v>129</v>
      </c>
      <c r="AP151" s="124"/>
    </row>
    <row r="152">
      <c r="A152" s="124" t="s">
        <v>3265</v>
      </c>
      <c r="B152" s="124" t="s">
        <v>3266</v>
      </c>
      <c r="C152" s="124" t="s">
        <v>3267</v>
      </c>
      <c r="D152" s="127">
        <v>40847.0</v>
      </c>
      <c r="E152" s="124" t="s">
        <v>177</v>
      </c>
      <c r="F152" s="124">
        <v>5.568690017E9</v>
      </c>
      <c r="G152" s="124" t="s">
        <v>3268</v>
      </c>
      <c r="H152" s="124" t="s">
        <v>101</v>
      </c>
      <c r="I152" s="128"/>
      <c r="J152" s="124" t="s">
        <v>3269</v>
      </c>
      <c r="K152" s="124" t="s">
        <v>3270</v>
      </c>
      <c r="L152" s="124">
        <v>5.568690017E9</v>
      </c>
      <c r="M152" s="124" t="s">
        <v>3271</v>
      </c>
      <c r="N152" s="124" t="s">
        <v>3272</v>
      </c>
      <c r="O152" s="124">
        <v>5.574440367E9</v>
      </c>
      <c r="P152" s="129">
        <v>14.0</v>
      </c>
      <c r="Q152" s="130">
        <v>46036.98606481482</v>
      </c>
      <c r="R152" s="124" t="s">
        <v>107</v>
      </c>
      <c r="S152" s="124" t="s">
        <v>109</v>
      </c>
      <c r="T152" s="124" t="s">
        <v>208</v>
      </c>
      <c r="U152" s="124" t="s">
        <v>209</v>
      </c>
      <c r="V152" s="124" t="s">
        <v>210</v>
      </c>
      <c r="W152" s="124" t="s">
        <v>211</v>
      </c>
      <c r="X152" s="124" t="s">
        <v>120</v>
      </c>
      <c r="Y152" s="128"/>
      <c r="Z152" s="124" t="s">
        <v>120</v>
      </c>
      <c r="AA152" s="128"/>
      <c r="AB152" s="124" t="s">
        <v>120</v>
      </c>
      <c r="AC152" s="128"/>
      <c r="AD152" s="128"/>
      <c r="AE152" s="124" t="s">
        <v>120</v>
      </c>
      <c r="AF152" s="128"/>
      <c r="AG152" s="124" t="s">
        <v>120</v>
      </c>
      <c r="AH152" s="128"/>
      <c r="AI152" s="124" t="s">
        <v>120</v>
      </c>
      <c r="AJ152" s="128"/>
      <c r="AK152" s="128"/>
      <c r="AL152" s="124" t="s">
        <v>141</v>
      </c>
      <c r="AM152" s="124" t="s">
        <v>138</v>
      </c>
      <c r="AN152" s="124" t="s">
        <v>242</v>
      </c>
      <c r="AO152" s="124" t="s">
        <v>156</v>
      </c>
      <c r="AP152" s="124"/>
    </row>
    <row r="153">
      <c r="A153" s="124" t="s">
        <v>1097</v>
      </c>
      <c r="B153" s="124" t="s">
        <v>1099</v>
      </c>
      <c r="C153" s="128"/>
      <c r="D153" s="127">
        <v>39608.0</v>
      </c>
      <c r="E153" s="124" t="s">
        <v>98</v>
      </c>
      <c r="F153" s="124">
        <v>5.547121529E9</v>
      </c>
      <c r="G153" s="124" t="s">
        <v>1103</v>
      </c>
      <c r="H153" s="124" t="s">
        <v>150</v>
      </c>
      <c r="I153" s="124" t="s">
        <v>1105</v>
      </c>
      <c r="J153" s="124" t="s">
        <v>1106</v>
      </c>
      <c r="K153" s="124" t="s">
        <v>1108</v>
      </c>
      <c r="L153" s="124">
        <v>5.661176233E9</v>
      </c>
      <c r="M153" s="128"/>
      <c r="N153" s="128"/>
      <c r="O153" s="128"/>
      <c r="P153" s="129">
        <v>17.0</v>
      </c>
      <c r="Q153" s="130">
        <v>46036.391875</v>
      </c>
      <c r="R153" s="124" t="s">
        <v>107</v>
      </c>
      <c r="S153" s="124" t="s">
        <v>109</v>
      </c>
      <c r="T153" s="124" t="s">
        <v>208</v>
      </c>
      <c r="U153" s="124" t="s">
        <v>788</v>
      </c>
      <c r="V153" s="124" t="s">
        <v>789</v>
      </c>
      <c r="W153" s="124" t="s">
        <v>790</v>
      </c>
      <c r="X153" s="124" t="s">
        <v>120</v>
      </c>
      <c r="Y153" s="128"/>
      <c r="Z153" s="124" t="s">
        <v>117</v>
      </c>
      <c r="AA153" s="124" t="s">
        <v>1122</v>
      </c>
      <c r="AB153" s="124" t="s">
        <v>117</v>
      </c>
      <c r="AC153" s="124" t="s">
        <v>117</v>
      </c>
      <c r="AD153" s="128"/>
      <c r="AE153" s="124" t="s">
        <v>117</v>
      </c>
      <c r="AF153" s="124" t="s">
        <v>1123</v>
      </c>
      <c r="AG153" s="124" t="s">
        <v>120</v>
      </c>
      <c r="AH153" s="124" t="s">
        <v>1124</v>
      </c>
      <c r="AI153" s="124" t="s">
        <v>117</v>
      </c>
      <c r="AJ153" s="124" t="s">
        <v>1125</v>
      </c>
      <c r="AK153" s="128"/>
      <c r="AL153" s="124" t="s">
        <v>126</v>
      </c>
      <c r="AM153" s="124" t="s">
        <v>156</v>
      </c>
      <c r="AN153" s="124" t="s">
        <v>242</v>
      </c>
      <c r="AO153" s="124" t="s">
        <v>185</v>
      </c>
      <c r="AP153" s="124"/>
    </row>
    <row r="154">
      <c r="A154" s="124" t="s">
        <v>2560</v>
      </c>
      <c r="B154" s="124" t="s">
        <v>3277</v>
      </c>
      <c r="C154" s="124" t="s">
        <v>3278</v>
      </c>
      <c r="D154" s="127">
        <v>39594.0</v>
      </c>
      <c r="E154" s="124" t="s">
        <v>98</v>
      </c>
      <c r="F154" s="124">
        <v>5.544862685E9</v>
      </c>
      <c r="G154" s="124" t="s">
        <v>3279</v>
      </c>
      <c r="H154" s="124" t="s">
        <v>140</v>
      </c>
      <c r="I154" s="128"/>
      <c r="J154" s="124" t="s">
        <v>3280</v>
      </c>
      <c r="K154" s="124" t="s">
        <v>3279</v>
      </c>
      <c r="L154" s="124">
        <v>2.299608475E9</v>
      </c>
      <c r="M154" s="128"/>
      <c r="N154" s="128"/>
      <c r="O154" s="128"/>
      <c r="P154" s="129">
        <v>17.0</v>
      </c>
      <c r="Q154" s="130">
        <v>45970.5393287037</v>
      </c>
      <c r="R154" s="124" t="s">
        <v>107</v>
      </c>
      <c r="S154" s="124" t="s">
        <v>109</v>
      </c>
      <c r="T154" s="124" t="s">
        <v>111</v>
      </c>
      <c r="U154" s="124" t="s">
        <v>1979</v>
      </c>
      <c r="V154" s="124" t="s">
        <v>1980</v>
      </c>
      <c r="W154" s="124" t="s">
        <v>1981</v>
      </c>
      <c r="X154" s="124" t="s">
        <v>120</v>
      </c>
      <c r="Y154" s="128"/>
      <c r="Z154" s="124" t="s">
        <v>120</v>
      </c>
      <c r="AA154" s="128"/>
      <c r="AB154" s="124" t="s">
        <v>120</v>
      </c>
      <c r="AC154" s="124" t="s">
        <v>120</v>
      </c>
      <c r="AD154" s="128"/>
      <c r="AE154" s="124" t="s">
        <v>120</v>
      </c>
      <c r="AF154" s="128"/>
      <c r="AG154" s="124" t="s">
        <v>120</v>
      </c>
      <c r="AH154" s="128"/>
      <c r="AI154" s="124" t="s">
        <v>120</v>
      </c>
      <c r="AJ154" s="128"/>
      <c r="AK154" s="128"/>
      <c r="AL154" s="124" t="s">
        <v>141</v>
      </c>
      <c r="AM154" s="124" t="s">
        <v>128</v>
      </c>
      <c r="AN154" s="124" t="s">
        <v>216</v>
      </c>
      <c r="AO154" s="124" t="s">
        <v>126</v>
      </c>
      <c r="AP154" s="124"/>
    </row>
    <row r="155">
      <c r="A155" s="124" t="s">
        <v>3281</v>
      </c>
      <c r="B155" s="124" t="s">
        <v>3282</v>
      </c>
      <c r="C155" s="124" t="s">
        <v>3283</v>
      </c>
      <c r="D155" s="127">
        <v>40185.0</v>
      </c>
      <c r="E155" s="124" t="s">
        <v>98</v>
      </c>
      <c r="F155" s="124">
        <v>5.521164786E9</v>
      </c>
      <c r="G155" s="124" t="s">
        <v>3284</v>
      </c>
      <c r="H155" s="124" t="s">
        <v>140</v>
      </c>
      <c r="I155" s="128"/>
      <c r="J155" s="124" t="s">
        <v>3285</v>
      </c>
      <c r="K155" s="124" t="s">
        <v>3286</v>
      </c>
      <c r="L155" s="124">
        <v>5.560896435E9</v>
      </c>
      <c r="M155" s="128"/>
      <c r="N155" s="128"/>
      <c r="O155" s="128"/>
      <c r="P155" s="129">
        <v>16.0</v>
      </c>
      <c r="Q155" s="130">
        <v>46018.51168981481</v>
      </c>
      <c r="R155" s="124" t="s">
        <v>107</v>
      </c>
      <c r="S155" s="124" t="s">
        <v>109</v>
      </c>
      <c r="T155" s="124" t="s">
        <v>171</v>
      </c>
      <c r="U155" s="124" t="s">
        <v>2149</v>
      </c>
      <c r="V155" s="124" t="s">
        <v>2141</v>
      </c>
      <c r="W155" s="124" t="s">
        <v>2151</v>
      </c>
      <c r="X155" s="124" t="s">
        <v>120</v>
      </c>
      <c r="Y155" s="128"/>
      <c r="Z155" s="124" t="s">
        <v>120</v>
      </c>
      <c r="AA155" s="128"/>
      <c r="AB155" s="124" t="s">
        <v>120</v>
      </c>
      <c r="AC155" s="128"/>
      <c r="AD155" s="128"/>
      <c r="AE155" s="124" t="s">
        <v>120</v>
      </c>
      <c r="AF155" s="128"/>
      <c r="AG155" s="124" t="s">
        <v>120</v>
      </c>
      <c r="AH155" s="128"/>
      <c r="AI155" s="124" t="s">
        <v>120</v>
      </c>
      <c r="AJ155" s="128"/>
      <c r="AK155" s="128"/>
      <c r="AL155" s="124" t="s">
        <v>156</v>
      </c>
      <c r="AM155" s="124" t="s">
        <v>141</v>
      </c>
      <c r="AN155" s="124" t="s">
        <v>240</v>
      </c>
      <c r="AO155" s="124" t="s">
        <v>128</v>
      </c>
      <c r="AP155" s="124"/>
    </row>
    <row r="156">
      <c r="A156" s="124" t="s">
        <v>3287</v>
      </c>
      <c r="B156" s="124" t="s">
        <v>3288</v>
      </c>
      <c r="C156" s="128"/>
      <c r="D156" s="127">
        <v>40789.0</v>
      </c>
      <c r="E156" s="124" t="s">
        <v>177</v>
      </c>
      <c r="F156" s="124">
        <v>5.647735545E9</v>
      </c>
      <c r="G156" s="124" t="s">
        <v>3289</v>
      </c>
      <c r="H156" s="124" t="s">
        <v>101</v>
      </c>
      <c r="I156" s="128"/>
      <c r="J156" s="124" t="s">
        <v>3290</v>
      </c>
      <c r="K156" s="124" t="s">
        <v>3291</v>
      </c>
      <c r="L156" s="124">
        <v>5.582199248E9</v>
      </c>
      <c r="M156" s="128"/>
      <c r="N156" s="128"/>
      <c r="O156" s="128"/>
      <c r="P156" s="129">
        <v>14.0</v>
      </c>
      <c r="Q156" s="130">
        <v>46040.724328703705</v>
      </c>
      <c r="R156" s="124" t="s">
        <v>107</v>
      </c>
      <c r="S156" s="124" t="s">
        <v>109</v>
      </c>
      <c r="T156" s="124" t="s">
        <v>127</v>
      </c>
      <c r="U156" s="124" t="s">
        <v>766</v>
      </c>
      <c r="V156" s="124" t="s">
        <v>767</v>
      </c>
      <c r="W156" s="124" t="s">
        <v>768</v>
      </c>
      <c r="X156" s="124" t="s">
        <v>120</v>
      </c>
      <c r="Y156" s="128"/>
      <c r="Z156" s="124" t="s">
        <v>120</v>
      </c>
      <c r="AA156" s="128"/>
      <c r="AB156" s="124" t="s">
        <v>120</v>
      </c>
      <c r="AC156" s="128"/>
      <c r="AD156" s="128"/>
      <c r="AE156" s="124" t="s">
        <v>120</v>
      </c>
      <c r="AF156" s="128"/>
      <c r="AG156" s="124" t="s">
        <v>120</v>
      </c>
      <c r="AH156" s="128"/>
      <c r="AI156" s="124" t="s">
        <v>120</v>
      </c>
      <c r="AJ156" s="128"/>
      <c r="AK156" s="128"/>
      <c r="AL156" s="124" t="s">
        <v>156</v>
      </c>
      <c r="AM156" s="124" t="s">
        <v>129</v>
      </c>
      <c r="AN156" s="124" t="s">
        <v>242</v>
      </c>
      <c r="AO156" s="124" t="s">
        <v>124</v>
      </c>
      <c r="AP156" s="124"/>
    </row>
    <row r="157">
      <c r="A157" s="124" t="s">
        <v>1493</v>
      </c>
      <c r="B157" s="124" t="s">
        <v>1495</v>
      </c>
      <c r="C157" s="124" t="s">
        <v>62</v>
      </c>
      <c r="D157" s="127">
        <v>40009.0</v>
      </c>
      <c r="E157" s="124" t="s">
        <v>177</v>
      </c>
      <c r="F157" s="124">
        <v>5.636595005E9</v>
      </c>
      <c r="G157" s="124" t="s">
        <v>1499</v>
      </c>
      <c r="H157" s="124" t="s">
        <v>150</v>
      </c>
      <c r="I157" s="128"/>
      <c r="J157" s="124" t="s">
        <v>1501</v>
      </c>
      <c r="K157" s="124" t="s">
        <v>1502</v>
      </c>
      <c r="L157" s="124">
        <v>5.565550208E9</v>
      </c>
      <c r="M157" s="128"/>
      <c r="N157" s="128"/>
      <c r="O157" s="128"/>
      <c r="P157" s="129">
        <v>16.0</v>
      </c>
      <c r="Q157" s="130">
        <v>46026.895474537036</v>
      </c>
      <c r="R157" s="124" t="s">
        <v>107</v>
      </c>
      <c r="S157" s="124" t="s">
        <v>109</v>
      </c>
      <c r="T157" s="124" t="s">
        <v>208</v>
      </c>
      <c r="U157" s="124" t="s">
        <v>601</v>
      </c>
      <c r="V157" s="124" t="s">
        <v>602</v>
      </c>
      <c r="W157" s="124" t="s">
        <v>603</v>
      </c>
      <c r="X157" s="124" t="s">
        <v>120</v>
      </c>
      <c r="Y157" s="128"/>
      <c r="Z157" s="124" t="s">
        <v>117</v>
      </c>
      <c r="AA157" s="124" t="s">
        <v>1504</v>
      </c>
      <c r="AB157" s="124" t="s">
        <v>120</v>
      </c>
      <c r="AC157" s="128"/>
      <c r="AD157" s="128"/>
      <c r="AE157" s="124" t="s">
        <v>120</v>
      </c>
      <c r="AF157" s="128"/>
      <c r="AG157" s="124" t="s">
        <v>120</v>
      </c>
      <c r="AH157" s="128"/>
      <c r="AI157" s="124" t="s">
        <v>117</v>
      </c>
      <c r="AJ157" s="124" t="s">
        <v>1506</v>
      </c>
      <c r="AK157" s="124" t="s">
        <v>135</v>
      </c>
      <c r="AL157" s="124" t="s">
        <v>185</v>
      </c>
      <c r="AM157" s="124" t="s">
        <v>124</v>
      </c>
      <c r="AN157" s="124" t="s">
        <v>156</v>
      </c>
      <c r="AO157" s="124" t="s">
        <v>126</v>
      </c>
      <c r="AP157" s="124"/>
    </row>
    <row r="158">
      <c r="A158" s="124" t="s">
        <v>322</v>
      </c>
      <c r="B158" s="124" t="s">
        <v>324</v>
      </c>
      <c r="C158" s="124" t="s">
        <v>325</v>
      </c>
      <c r="D158" s="127">
        <v>38109.0</v>
      </c>
      <c r="E158" s="124" t="s">
        <v>98</v>
      </c>
      <c r="F158" s="124" t="s">
        <v>326</v>
      </c>
      <c r="G158" s="124" t="s">
        <v>327</v>
      </c>
      <c r="H158" s="124" t="s">
        <v>101</v>
      </c>
      <c r="I158" s="128"/>
      <c r="J158" s="124" t="s">
        <v>328</v>
      </c>
      <c r="K158" s="124" t="s">
        <v>330</v>
      </c>
      <c r="L158" s="124">
        <v>5.577927815E9</v>
      </c>
      <c r="M158" s="128"/>
      <c r="N158" s="128"/>
      <c r="O158" s="128"/>
      <c r="P158" s="129">
        <v>21.0</v>
      </c>
      <c r="Q158" s="130">
        <v>46027.79725694445</v>
      </c>
      <c r="R158" s="124" t="s">
        <v>107</v>
      </c>
      <c r="S158" s="124" t="s">
        <v>125</v>
      </c>
      <c r="T158" s="124" t="s">
        <v>160</v>
      </c>
      <c r="U158" s="124" t="s">
        <v>308</v>
      </c>
      <c r="V158" s="124" t="s">
        <v>309</v>
      </c>
      <c r="W158" s="124" t="s">
        <v>310</v>
      </c>
      <c r="X158" s="124" t="s">
        <v>117</v>
      </c>
      <c r="Y158" s="128"/>
      <c r="Z158" s="124" t="s">
        <v>117</v>
      </c>
      <c r="AA158" s="128"/>
      <c r="AB158" s="124" t="s">
        <v>117</v>
      </c>
      <c r="AC158" s="124" t="s">
        <v>117</v>
      </c>
      <c r="AD158" s="128"/>
      <c r="AE158" s="124" t="s">
        <v>117</v>
      </c>
      <c r="AF158" s="128"/>
      <c r="AG158" s="124" t="s">
        <v>117</v>
      </c>
      <c r="AH158" s="128"/>
      <c r="AI158" s="124" t="s">
        <v>117</v>
      </c>
      <c r="AJ158" s="128"/>
      <c r="AK158" s="128"/>
      <c r="AL158" s="124" t="s">
        <v>129</v>
      </c>
      <c r="AM158" s="124" t="s">
        <v>138</v>
      </c>
      <c r="AN158" s="124" t="s">
        <v>242</v>
      </c>
      <c r="AO158" s="124" t="s">
        <v>216</v>
      </c>
      <c r="AP158" s="124"/>
    </row>
    <row r="159">
      <c r="A159" s="124" t="s">
        <v>3298</v>
      </c>
      <c r="B159" s="124" t="s">
        <v>1214</v>
      </c>
      <c r="C159" s="124" t="s">
        <v>3299</v>
      </c>
      <c r="D159" s="127">
        <v>39526.0</v>
      </c>
      <c r="E159" s="124" t="s">
        <v>177</v>
      </c>
      <c r="F159" s="124">
        <v>5.537170486E9</v>
      </c>
      <c r="G159" s="124" t="s">
        <v>3300</v>
      </c>
      <c r="H159" s="124" t="s">
        <v>101</v>
      </c>
      <c r="I159" s="124" t="s">
        <v>3301</v>
      </c>
      <c r="J159" s="124" t="s">
        <v>1220</v>
      </c>
      <c r="K159" s="124" t="s">
        <v>1222</v>
      </c>
      <c r="L159" s="124">
        <v>5.537170486E9</v>
      </c>
      <c r="M159" s="128"/>
      <c r="N159" s="128"/>
      <c r="O159" s="128"/>
      <c r="P159" s="129">
        <v>17.0</v>
      </c>
      <c r="Q159" s="130">
        <v>46025.92853009259</v>
      </c>
      <c r="R159" s="124" t="s">
        <v>107</v>
      </c>
      <c r="S159" s="124" t="s">
        <v>109</v>
      </c>
      <c r="T159" s="124" t="s">
        <v>171</v>
      </c>
      <c r="U159" s="124" t="s">
        <v>526</v>
      </c>
      <c r="V159" s="124" t="s">
        <v>527</v>
      </c>
      <c r="W159" s="124" t="s">
        <v>528</v>
      </c>
      <c r="X159" s="124" t="s">
        <v>120</v>
      </c>
      <c r="Y159" s="128"/>
      <c r="Z159" s="124" t="s">
        <v>120</v>
      </c>
      <c r="AA159" s="128"/>
      <c r="AB159" s="124" t="s">
        <v>120</v>
      </c>
      <c r="AC159" s="128"/>
      <c r="AD159" s="124" t="s">
        <v>135</v>
      </c>
      <c r="AE159" s="124" t="s">
        <v>120</v>
      </c>
      <c r="AF159" s="128"/>
      <c r="AG159" s="124" t="s">
        <v>120</v>
      </c>
      <c r="AH159" s="128"/>
      <c r="AI159" s="124" t="s">
        <v>120</v>
      </c>
      <c r="AJ159" s="128"/>
      <c r="AK159" s="124" t="s">
        <v>135</v>
      </c>
      <c r="AL159" s="124" t="s">
        <v>141</v>
      </c>
      <c r="AM159" s="124" t="s">
        <v>138</v>
      </c>
      <c r="AN159" s="124" t="s">
        <v>128</v>
      </c>
      <c r="AO159" s="124" t="s">
        <v>156</v>
      </c>
      <c r="AP159" s="124"/>
    </row>
    <row r="160">
      <c r="A160" s="124" t="s">
        <v>893</v>
      </c>
      <c r="B160" s="124" t="s">
        <v>725</v>
      </c>
      <c r="C160" s="124" t="s">
        <v>895</v>
      </c>
      <c r="D160" s="127">
        <v>41114.0</v>
      </c>
      <c r="E160" s="124" t="s">
        <v>98</v>
      </c>
      <c r="F160" s="124">
        <v>5.514909252E9</v>
      </c>
      <c r="G160" s="124" t="s">
        <v>899</v>
      </c>
      <c r="H160" s="124" t="s">
        <v>140</v>
      </c>
      <c r="I160" s="128"/>
      <c r="J160" s="124" t="s">
        <v>728</v>
      </c>
      <c r="K160" s="124" t="s">
        <v>900</v>
      </c>
      <c r="L160" s="124">
        <v>5.514909252E9</v>
      </c>
      <c r="M160" s="128"/>
      <c r="N160" s="128"/>
      <c r="O160" s="128"/>
      <c r="P160" s="129">
        <v>13.0</v>
      </c>
      <c r="Q160" s="130">
        <v>46038.78403935185</v>
      </c>
      <c r="R160" s="124" t="s">
        <v>107</v>
      </c>
      <c r="S160" s="124" t="s">
        <v>109</v>
      </c>
      <c r="T160" s="124" t="s">
        <v>111</v>
      </c>
      <c r="U160" s="124" t="s">
        <v>407</v>
      </c>
      <c r="V160" s="124" t="s">
        <v>408</v>
      </c>
      <c r="W160" s="124" t="s">
        <v>409</v>
      </c>
      <c r="X160" s="124" t="s">
        <v>117</v>
      </c>
      <c r="Y160" s="128"/>
      <c r="Z160" s="124" t="s">
        <v>117</v>
      </c>
      <c r="AA160" s="128"/>
      <c r="AB160" s="124" t="s">
        <v>117</v>
      </c>
      <c r="AC160" s="128"/>
      <c r="AD160" s="128"/>
      <c r="AE160" s="124" t="s">
        <v>117</v>
      </c>
      <c r="AF160" s="128"/>
      <c r="AG160" s="124" t="s">
        <v>117</v>
      </c>
      <c r="AH160" s="128"/>
      <c r="AI160" s="124" t="s">
        <v>117</v>
      </c>
      <c r="AJ160" s="128"/>
      <c r="AK160" s="128"/>
      <c r="AL160" s="124" t="s">
        <v>242</v>
      </c>
      <c r="AM160" s="124" t="s">
        <v>128</v>
      </c>
      <c r="AN160" s="124" t="s">
        <v>156</v>
      </c>
      <c r="AO160" s="124" t="s">
        <v>124</v>
      </c>
      <c r="AP160" s="124"/>
    </row>
    <row r="161">
      <c r="A161" s="124" t="s">
        <v>683</v>
      </c>
      <c r="B161" s="124" t="s">
        <v>684</v>
      </c>
      <c r="C161" s="124" t="s">
        <v>686</v>
      </c>
      <c r="D161" s="127">
        <v>39556.0</v>
      </c>
      <c r="E161" s="124" t="s">
        <v>98</v>
      </c>
      <c r="F161" s="124">
        <v>5.610310969E9</v>
      </c>
      <c r="G161" s="124" t="s">
        <v>689</v>
      </c>
      <c r="H161" s="124" t="s">
        <v>101</v>
      </c>
      <c r="I161" s="124" t="s">
        <v>690</v>
      </c>
      <c r="J161" s="124" t="s">
        <v>691</v>
      </c>
      <c r="K161" s="124" t="s">
        <v>693</v>
      </c>
      <c r="L161" s="124">
        <v>5.574250371E9</v>
      </c>
      <c r="M161" s="128"/>
      <c r="N161" s="128"/>
      <c r="O161" s="128"/>
      <c r="P161" s="129">
        <v>17.0</v>
      </c>
      <c r="Q161" s="130">
        <v>46037.7896875</v>
      </c>
      <c r="R161" s="124" t="s">
        <v>107</v>
      </c>
      <c r="S161" s="124" t="s">
        <v>109</v>
      </c>
      <c r="T161" s="124" t="s">
        <v>111</v>
      </c>
      <c r="U161" s="124" t="s">
        <v>657</v>
      </c>
      <c r="V161" s="124" t="s">
        <v>659</v>
      </c>
      <c r="W161" s="124" t="s">
        <v>662</v>
      </c>
      <c r="X161" s="124" t="s">
        <v>117</v>
      </c>
      <c r="Y161" s="124" t="s">
        <v>697</v>
      </c>
      <c r="Z161" s="124" t="s">
        <v>117</v>
      </c>
      <c r="AA161" s="124" t="s">
        <v>698</v>
      </c>
      <c r="AB161" s="124" t="s">
        <v>120</v>
      </c>
      <c r="AC161" s="128"/>
      <c r="AD161" s="124" t="s">
        <v>667</v>
      </c>
      <c r="AE161" s="124" t="s">
        <v>120</v>
      </c>
      <c r="AF161" s="124" t="s">
        <v>667</v>
      </c>
      <c r="AG161" s="124" t="s">
        <v>120</v>
      </c>
      <c r="AH161" s="124" t="s">
        <v>667</v>
      </c>
      <c r="AI161" s="124" t="s">
        <v>117</v>
      </c>
      <c r="AJ161" s="124" t="s">
        <v>701</v>
      </c>
      <c r="AK161" s="124" t="s">
        <v>667</v>
      </c>
      <c r="AL161" s="124" t="s">
        <v>129</v>
      </c>
      <c r="AM161" s="124" t="s">
        <v>128</v>
      </c>
      <c r="AN161" s="124" t="s">
        <v>185</v>
      </c>
      <c r="AO161" s="124" t="s">
        <v>124</v>
      </c>
      <c r="AP161" s="124"/>
    </row>
    <row r="162">
      <c r="A162" s="124" t="s">
        <v>1857</v>
      </c>
      <c r="B162" s="124" t="s">
        <v>1858</v>
      </c>
      <c r="C162" s="124" t="s">
        <v>1859</v>
      </c>
      <c r="D162" s="127">
        <v>38406.0</v>
      </c>
      <c r="E162" s="124" t="s">
        <v>177</v>
      </c>
      <c r="F162" s="124">
        <v>5.573262504E9</v>
      </c>
      <c r="G162" s="124" t="s">
        <v>1862</v>
      </c>
      <c r="H162" s="124" t="s">
        <v>101</v>
      </c>
      <c r="I162" s="128"/>
      <c r="J162" s="124" t="s">
        <v>1866</v>
      </c>
      <c r="K162" s="124" t="s">
        <v>1869</v>
      </c>
      <c r="L162" s="128" t="str">
        <f>+52 55 4339 0562</f>
        <v>#ERROR!</v>
      </c>
      <c r="M162" s="128"/>
      <c r="N162" s="128"/>
      <c r="O162" s="128"/>
      <c r="P162" s="129">
        <v>21.0</v>
      </c>
      <c r="Q162" s="130">
        <v>46034.5000462963</v>
      </c>
      <c r="R162" s="124" t="s">
        <v>107</v>
      </c>
      <c r="S162" s="124" t="s">
        <v>125</v>
      </c>
      <c r="T162" s="124" t="s">
        <v>208</v>
      </c>
      <c r="U162" s="124" t="s">
        <v>478</v>
      </c>
      <c r="V162" s="124" t="s">
        <v>480</v>
      </c>
      <c r="W162" s="124" t="s">
        <v>481</v>
      </c>
      <c r="X162" s="124" t="s">
        <v>120</v>
      </c>
      <c r="Y162" s="128"/>
      <c r="Z162" s="124" t="s">
        <v>117</v>
      </c>
      <c r="AA162" s="124" t="s">
        <v>1877</v>
      </c>
      <c r="AB162" s="124" t="s">
        <v>120</v>
      </c>
      <c r="AC162" s="124" t="s">
        <v>120</v>
      </c>
      <c r="AD162" s="128"/>
      <c r="AE162" s="124" t="s">
        <v>120</v>
      </c>
      <c r="AF162" s="128"/>
      <c r="AG162" s="124" t="s">
        <v>120</v>
      </c>
      <c r="AH162" s="128"/>
      <c r="AI162" s="124" t="s">
        <v>120</v>
      </c>
      <c r="AJ162" s="128"/>
      <c r="AK162" s="128"/>
      <c r="AL162" s="124" t="s">
        <v>240</v>
      </c>
      <c r="AM162" s="124" t="s">
        <v>141</v>
      </c>
      <c r="AN162" s="124" t="s">
        <v>242</v>
      </c>
      <c r="AO162" s="124" t="s">
        <v>185</v>
      </c>
      <c r="AP162" s="124"/>
    </row>
    <row r="163">
      <c r="A163" s="124" t="s">
        <v>3302</v>
      </c>
      <c r="B163" s="124" t="s">
        <v>3303</v>
      </c>
      <c r="C163" s="128"/>
      <c r="D163" s="127">
        <v>40949.0</v>
      </c>
      <c r="E163" s="124" t="s">
        <v>177</v>
      </c>
      <c r="F163" s="124">
        <v>5.545649062E9</v>
      </c>
      <c r="G163" s="124" t="s">
        <v>3304</v>
      </c>
      <c r="H163" s="124" t="s">
        <v>101</v>
      </c>
      <c r="I163" s="124" t="s">
        <v>1325</v>
      </c>
      <c r="J163" s="124" t="s">
        <v>3305</v>
      </c>
      <c r="K163" s="124" t="s">
        <v>3306</v>
      </c>
      <c r="L163" s="124">
        <v>5.545649062E9</v>
      </c>
      <c r="M163" s="128"/>
      <c r="N163" s="128"/>
      <c r="O163" s="128"/>
      <c r="P163" s="129">
        <v>14.0</v>
      </c>
      <c r="Q163" s="130">
        <v>46040.905694444446</v>
      </c>
      <c r="R163" s="124" t="s">
        <v>107</v>
      </c>
      <c r="S163" s="124" t="s">
        <v>109</v>
      </c>
      <c r="T163" s="124" t="s">
        <v>111</v>
      </c>
      <c r="U163" s="124" t="s">
        <v>398</v>
      </c>
      <c r="V163" s="124" t="s">
        <v>399</v>
      </c>
      <c r="W163" s="124" t="s">
        <v>400</v>
      </c>
      <c r="X163" s="124" t="s">
        <v>120</v>
      </c>
      <c r="Y163" s="128"/>
      <c r="Z163" s="124" t="s">
        <v>120</v>
      </c>
      <c r="AA163" s="128"/>
      <c r="AB163" s="124" t="s">
        <v>120</v>
      </c>
      <c r="AC163" s="128"/>
      <c r="AD163" s="128"/>
      <c r="AE163" s="124" t="s">
        <v>120</v>
      </c>
      <c r="AF163" s="128"/>
      <c r="AG163" s="124" t="s">
        <v>120</v>
      </c>
      <c r="AH163" s="128"/>
      <c r="AI163" s="124" t="s">
        <v>120</v>
      </c>
      <c r="AJ163" s="128"/>
      <c r="AK163" s="128"/>
      <c r="AL163" s="124" t="s">
        <v>242</v>
      </c>
      <c r="AM163" s="124" t="s">
        <v>185</v>
      </c>
      <c r="AN163" s="124" t="s">
        <v>129</v>
      </c>
      <c r="AO163" s="124" t="s">
        <v>141</v>
      </c>
      <c r="AP163" s="124"/>
    </row>
    <row r="164">
      <c r="A164" s="124" t="s">
        <v>1025</v>
      </c>
      <c r="B164" s="124" t="s">
        <v>1027</v>
      </c>
      <c r="C164" s="124" t="s">
        <v>1028</v>
      </c>
      <c r="D164" s="127">
        <v>41264.0</v>
      </c>
      <c r="E164" s="124" t="s">
        <v>177</v>
      </c>
      <c r="F164" s="124">
        <v>5.520905035E9</v>
      </c>
      <c r="G164" s="124" t="s">
        <v>1029</v>
      </c>
      <c r="H164" s="124" t="s">
        <v>150</v>
      </c>
      <c r="I164" s="124" t="s">
        <v>1030</v>
      </c>
      <c r="J164" s="124" t="s">
        <v>1031</v>
      </c>
      <c r="K164" s="124" t="s">
        <v>1032</v>
      </c>
      <c r="L164" s="124">
        <v>5.520905035E9</v>
      </c>
      <c r="M164" s="124" t="s">
        <v>1034</v>
      </c>
      <c r="N164" s="124" t="s">
        <v>1036</v>
      </c>
      <c r="O164" s="124">
        <v>5.5149201E9</v>
      </c>
      <c r="P164" s="129">
        <v>13.0</v>
      </c>
      <c r="Q164" s="130">
        <v>46029.42487268519</v>
      </c>
      <c r="R164" s="124" t="s">
        <v>107</v>
      </c>
      <c r="S164" s="124" t="s">
        <v>109</v>
      </c>
      <c r="T164" s="124" t="s">
        <v>111</v>
      </c>
      <c r="U164" s="124" t="s">
        <v>112</v>
      </c>
      <c r="V164" s="124" t="s">
        <v>114</v>
      </c>
      <c r="W164" s="124" t="s">
        <v>115</v>
      </c>
      <c r="X164" s="124" t="s">
        <v>120</v>
      </c>
      <c r="Y164" s="128"/>
      <c r="Z164" s="124" t="s">
        <v>117</v>
      </c>
      <c r="AA164" s="124" t="s">
        <v>1049</v>
      </c>
      <c r="AB164" s="124" t="s">
        <v>117</v>
      </c>
      <c r="AC164" s="124" t="s">
        <v>120</v>
      </c>
      <c r="AD164" s="124" t="s">
        <v>1053</v>
      </c>
      <c r="AE164" s="124" t="s">
        <v>120</v>
      </c>
      <c r="AF164" s="128"/>
      <c r="AG164" s="124" t="s">
        <v>120</v>
      </c>
      <c r="AH164" s="128"/>
      <c r="AI164" s="124" t="s">
        <v>120</v>
      </c>
      <c r="AJ164" s="128"/>
      <c r="AK164" s="124" t="s">
        <v>1055</v>
      </c>
      <c r="AL164" s="124" t="s">
        <v>126</v>
      </c>
      <c r="AM164" s="124" t="s">
        <v>240</v>
      </c>
      <c r="AN164" s="124" t="s">
        <v>242</v>
      </c>
      <c r="AO164" s="124" t="s">
        <v>124</v>
      </c>
      <c r="AP164" s="124"/>
    </row>
    <row r="165">
      <c r="A165" s="124" t="s">
        <v>1887</v>
      </c>
      <c r="B165" s="124" t="s">
        <v>1888</v>
      </c>
      <c r="C165" s="124" t="s">
        <v>1890</v>
      </c>
      <c r="D165" s="127">
        <v>38239.0</v>
      </c>
      <c r="E165" s="124" t="s">
        <v>177</v>
      </c>
      <c r="F165" s="124">
        <v>3.223206065E9</v>
      </c>
      <c r="G165" s="124" t="s">
        <v>1895</v>
      </c>
      <c r="H165" s="124" t="s">
        <v>101</v>
      </c>
      <c r="I165" s="128"/>
      <c r="J165" s="124" t="s">
        <v>1899</v>
      </c>
      <c r="K165" s="124" t="s">
        <v>1900</v>
      </c>
      <c r="L165" s="124">
        <v>3.221900617E9</v>
      </c>
      <c r="M165" s="128"/>
      <c r="N165" s="128"/>
      <c r="O165" s="128"/>
      <c r="P165" s="129">
        <v>21.0</v>
      </c>
      <c r="Q165" s="130">
        <v>46040.906875</v>
      </c>
      <c r="R165" s="124" t="s">
        <v>107</v>
      </c>
      <c r="S165" s="124" t="s">
        <v>125</v>
      </c>
      <c r="T165" s="124" t="s">
        <v>1906</v>
      </c>
      <c r="U165" s="124" t="s">
        <v>1907</v>
      </c>
      <c r="V165" s="124" t="s">
        <v>1908</v>
      </c>
      <c r="W165" s="124" t="s">
        <v>1909</v>
      </c>
      <c r="X165" s="124" t="s">
        <v>120</v>
      </c>
      <c r="Y165" s="128"/>
      <c r="Z165" s="124" t="s">
        <v>120</v>
      </c>
      <c r="AA165" s="128"/>
      <c r="AB165" s="124" t="s">
        <v>120</v>
      </c>
      <c r="AC165" s="124" t="s">
        <v>117</v>
      </c>
      <c r="AD165" s="128"/>
      <c r="AE165" s="124" t="s">
        <v>120</v>
      </c>
      <c r="AF165" s="128"/>
      <c r="AG165" s="124" t="s">
        <v>120</v>
      </c>
      <c r="AH165" s="128"/>
      <c r="AI165" s="124" t="s">
        <v>120</v>
      </c>
      <c r="AJ165" s="128"/>
      <c r="AK165" s="128"/>
      <c r="AL165" s="124" t="s">
        <v>156</v>
      </c>
      <c r="AM165" s="124" t="s">
        <v>129</v>
      </c>
      <c r="AN165" s="124" t="s">
        <v>128</v>
      </c>
      <c r="AO165" s="124" t="s">
        <v>216</v>
      </c>
      <c r="AP165" s="124"/>
    </row>
    <row r="166">
      <c r="A166" s="124" t="s">
        <v>2601</v>
      </c>
      <c r="B166" s="124" t="s">
        <v>2602</v>
      </c>
      <c r="C166" s="128"/>
      <c r="D166" s="127">
        <v>39908.0</v>
      </c>
      <c r="E166" s="124" t="s">
        <v>98</v>
      </c>
      <c r="F166" s="124">
        <v>5.654650738E9</v>
      </c>
      <c r="G166" s="124" t="s">
        <v>2603</v>
      </c>
      <c r="H166" s="124" t="s">
        <v>150</v>
      </c>
      <c r="I166" s="128"/>
      <c r="J166" s="124" t="s">
        <v>2604</v>
      </c>
      <c r="K166" s="124" t="s">
        <v>2603</v>
      </c>
      <c r="L166" s="124">
        <v>5.654650738E9</v>
      </c>
      <c r="M166" s="128"/>
      <c r="N166" s="128"/>
      <c r="O166" s="128"/>
      <c r="P166" s="129">
        <v>16.0</v>
      </c>
      <c r="Q166" s="130">
        <v>46036.86759259259</v>
      </c>
      <c r="R166" s="124" t="s">
        <v>107</v>
      </c>
      <c r="S166" s="124" t="s">
        <v>109</v>
      </c>
      <c r="T166" s="124" t="s">
        <v>204</v>
      </c>
      <c r="U166" s="124" t="s">
        <v>699</v>
      </c>
      <c r="V166" s="124" t="s">
        <v>700</v>
      </c>
      <c r="W166" s="124" t="s">
        <v>702</v>
      </c>
      <c r="X166" s="124" t="s">
        <v>120</v>
      </c>
      <c r="Y166" s="128"/>
      <c r="Z166" s="124" t="s">
        <v>117</v>
      </c>
      <c r="AA166" s="124" t="s">
        <v>2608</v>
      </c>
      <c r="AB166" s="124" t="s">
        <v>120</v>
      </c>
      <c r="AC166" s="124" t="s">
        <v>120</v>
      </c>
      <c r="AD166" s="128"/>
      <c r="AE166" s="124" t="s">
        <v>120</v>
      </c>
      <c r="AF166" s="128"/>
      <c r="AG166" s="124" t="s">
        <v>117</v>
      </c>
      <c r="AH166" s="124" t="s">
        <v>2609</v>
      </c>
      <c r="AI166" s="124" t="s">
        <v>120</v>
      </c>
      <c r="AJ166" s="128"/>
      <c r="AK166" s="124" t="s">
        <v>135</v>
      </c>
      <c r="AL166" s="124" t="s">
        <v>141</v>
      </c>
      <c r="AM166" s="124" t="s">
        <v>126</v>
      </c>
      <c r="AN166" s="124" t="s">
        <v>216</v>
      </c>
      <c r="AO166" s="124" t="s">
        <v>124</v>
      </c>
      <c r="AP166" s="124"/>
    </row>
    <row r="167">
      <c r="A167" s="124" t="s">
        <v>1911</v>
      </c>
      <c r="B167" s="124" t="s">
        <v>581</v>
      </c>
      <c r="C167" s="124" t="s">
        <v>1915</v>
      </c>
      <c r="D167" s="127">
        <v>38026.0</v>
      </c>
      <c r="E167" s="124" t="s">
        <v>98</v>
      </c>
      <c r="F167" s="124" t="s">
        <v>1918</v>
      </c>
      <c r="G167" s="124" t="s">
        <v>1919</v>
      </c>
      <c r="H167" s="124" t="s">
        <v>382</v>
      </c>
      <c r="I167" s="124" t="s">
        <v>135</v>
      </c>
      <c r="J167" s="124" t="s">
        <v>1922</v>
      </c>
      <c r="K167" s="124" t="s">
        <v>1923</v>
      </c>
      <c r="L167" s="124">
        <v>5.515055669E9</v>
      </c>
      <c r="M167" s="128"/>
      <c r="N167" s="128"/>
      <c r="O167" s="128"/>
      <c r="P167" s="129">
        <v>22.0</v>
      </c>
      <c r="Q167" s="130">
        <v>46026.58480324074</v>
      </c>
      <c r="R167" s="124" t="s">
        <v>107</v>
      </c>
      <c r="S167" s="124" t="s">
        <v>125</v>
      </c>
      <c r="T167" s="124" t="s">
        <v>204</v>
      </c>
      <c r="U167" s="124" t="s">
        <v>367</v>
      </c>
      <c r="V167" s="124" t="s">
        <v>368</v>
      </c>
      <c r="W167" s="124" t="s">
        <v>369</v>
      </c>
      <c r="X167" s="124" t="s">
        <v>120</v>
      </c>
      <c r="Y167" s="128"/>
      <c r="Z167" s="124" t="s">
        <v>120</v>
      </c>
      <c r="AA167" s="128"/>
      <c r="AB167" s="124" t="s">
        <v>120</v>
      </c>
      <c r="AC167" s="124" t="s">
        <v>117</v>
      </c>
      <c r="AD167" s="128"/>
      <c r="AE167" s="124" t="s">
        <v>120</v>
      </c>
      <c r="AF167" s="128"/>
      <c r="AG167" s="124" t="s">
        <v>120</v>
      </c>
      <c r="AH167" s="128"/>
      <c r="AI167" s="124" t="s">
        <v>120</v>
      </c>
      <c r="AJ167" s="128"/>
      <c r="AK167" s="128"/>
      <c r="AL167" s="124" t="s">
        <v>216</v>
      </c>
      <c r="AM167" s="124" t="s">
        <v>124</v>
      </c>
      <c r="AN167" s="124" t="s">
        <v>129</v>
      </c>
      <c r="AO167" s="124" t="s">
        <v>138</v>
      </c>
      <c r="AP167" s="124"/>
    </row>
    <row r="168">
      <c r="A168" s="124" t="s">
        <v>3313</v>
      </c>
      <c r="B168" s="124" t="s">
        <v>3314</v>
      </c>
      <c r="C168" s="124" t="s">
        <v>3315</v>
      </c>
      <c r="D168" s="127">
        <v>40363.0</v>
      </c>
      <c r="E168" s="124" t="s">
        <v>177</v>
      </c>
      <c r="F168" s="124">
        <v>5.537241752E9</v>
      </c>
      <c r="G168" s="124" t="s">
        <v>3316</v>
      </c>
      <c r="H168" s="124" t="s">
        <v>101</v>
      </c>
      <c r="I168" s="128"/>
      <c r="J168" s="124" t="s">
        <v>3317</v>
      </c>
      <c r="K168" s="124" t="s">
        <v>3318</v>
      </c>
      <c r="L168" s="124">
        <v>5.564941793E9</v>
      </c>
      <c r="M168" s="124" t="s">
        <v>3319</v>
      </c>
      <c r="N168" s="124" t="s">
        <v>3320</v>
      </c>
      <c r="O168" s="124">
        <v>5.62700041E9</v>
      </c>
      <c r="P168" s="129">
        <v>15.0</v>
      </c>
      <c r="Q168" s="130">
        <v>46033.453043981484</v>
      </c>
      <c r="R168" s="124" t="s">
        <v>260</v>
      </c>
      <c r="S168" s="124" t="s">
        <v>109</v>
      </c>
      <c r="T168" s="124" t="s">
        <v>171</v>
      </c>
      <c r="U168" s="124" t="s">
        <v>1048</v>
      </c>
      <c r="V168" s="124" t="s">
        <v>1050</v>
      </c>
      <c r="W168" s="124" t="s">
        <v>1051</v>
      </c>
      <c r="X168" s="124" t="s">
        <v>120</v>
      </c>
      <c r="Y168" s="128"/>
      <c r="Z168" s="124" t="s">
        <v>120</v>
      </c>
      <c r="AA168" s="128"/>
      <c r="AB168" s="124" t="s">
        <v>120</v>
      </c>
      <c r="AC168" s="124" t="s">
        <v>120</v>
      </c>
      <c r="AD168" s="128"/>
      <c r="AE168" s="124" t="s">
        <v>120</v>
      </c>
      <c r="AF168" s="128"/>
      <c r="AG168" s="124" t="s">
        <v>120</v>
      </c>
      <c r="AH168" s="128"/>
      <c r="AI168" s="124" t="s">
        <v>120</v>
      </c>
      <c r="AJ168" s="128"/>
      <c r="AK168" s="128"/>
      <c r="AL168" s="124" t="s">
        <v>138</v>
      </c>
      <c r="AM168" s="124" t="s">
        <v>185</v>
      </c>
      <c r="AN168" s="124" t="s">
        <v>129</v>
      </c>
      <c r="AO168" s="124" t="s">
        <v>126</v>
      </c>
      <c r="AP168" s="124"/>
    </row>
    <row r="169">
      <c r="A169" s="124" t="s">
        <v>1933</v>
      </c>
      <c r="B169" s="124" t="s">
        <v>1935</v>
      </c>
      <c r="C169" s="124" t="s">
        <v>1936</v>
      </c>
      <c r="D169" s="127">
        <v>38384.0</v>
      </c>
      <c r="E169" s="124" t="s">
        <v>98</v>
      </c>
      <c r="F169" s="124">
        <v>9.931537513E9</v>
      </c>
      <c r="G169" s="124" t="s">
        <v>1938</v>
      </c>
      <c r="H169" s="124" t="s">
        <v>101</v>
      </c>
      <c r="I169" s="128"/>
      <c r="J169" s="124" t="s">
        <v>1939</v>
      </c>
      <c r="K169" s="124" t="s">
        <v>1938</v>
      </c>
      <c r="L169" s="124">
        <v>9.932239316E9</v>
      </c>
      <c r="M169" s="128"/>
      <c r="N169" s="128"/>
      <c r="O169" s="128"/>
      <c r="P169" s="129">
        <v>21.0</v>
      </c>
      <c r="Q169" s="130">
        <v>46038.67451388889</v>
      </c>
      <c r="R169" s="124" t="s">
        <v>107</v>
      </c>
      <c r="S169" s="124" t="s">
        <v>125</v>
      </c>
      <c r="T169" s="124" t="s">
        <v>1953</v>
      </c>
      <c r="U169" s="124" t="s">
        <v>1955</v>
      </c>
      <c r="V169" s="124" t="s">
        <v>1957</v>
      </c>
      <c r="W169" s="124" t="s">
        <v>1959</v>
      </c>
      <c r="X169" s="124" t="s">
        <v>120</v>
      </c>
      <c r="Y169" s="128"/>
      <c r="Z169" s="124" t="s">
        <v>120</v>
      </c>
      <c r="AA169" s="128"/>
      <c r="AB169" s="124" t="s">
        <v>120</v>
      </c>
      <c r="AC169" s="128"/>
      <c r="AD169" s="128"/>
      <c r="AE169" s="124" t="s">
        <v>120</v>
      </c>
      <c r="AF169" s="128"/>
      <c r="AG169" s="124" t="s">
        <v>120</v>
      </c>
      <c r="AH169" s="128"/>
      <c r="AI169" s="124" t="s">
        <v>120</v>
      </c>
      <c r="AJ169" s="128"/>
      <c r="AK169" s="128"/>
      <c r="AL169" s="124" t="s">
        <v>156</v>
      </c>
      <c r="AM169" s="124" t="s">
        <v>216</v>
      </c>
      <c r="AN169" s="124" t="s">
        <v>242</v>
      </c>
      <c r="AO169" s="124" t="s">
        <v>124</v>
      </c>
      <c r="AP169" s="124"/>
    </row>
    <row r="170">
      <c r="A170" s="124" t="s">
        <v>3321</v>
      </c>
      <c r="B170" s="124" t="s">
        <v>2876</v>
      </c>
      <c r="C170" s="124" t="s">
        <v>3322</v>
      </c>
      <c r="D170" s="127">
        <v>40015.0</v>
      </c>
      <c r="E170" s="124" t="s">
        <v>177</v>
      </c>
      <c r="F170" s="124">
        <v>5.610217311E9</v>
      </c>
      <c r="G170" s="124" t="s">
        <v>3323</v>
      </c>
      <c r="H170" s="124" t="s">
        <v>382</v>
      </c>
      <c r="I170" s="124" t="s">
        <v>2878</v>
      </c>
      <c r="J170" s="124" t="s">
        <v>3324</v>
      </c>
      <c r="K170" s="124" t="s">
        <v>312</v>
      </c>
      <c r="L170" s="124">
        <v>5.610217311E9</v>
      </c>
      <c r="M170" s="128"/>
      <c r="N170" s="128"/>
      <c r="O170" s="128"/>
      <c r="P170" s="129">
        <v>16.0</v>
      </c>
      <c r="Q170" s="130">
        <v>46036.759247685186</v>
      </c>
      <c r="R170" s="124" t="s">
        <v>107</v>
      </c>
      <c r="S170" s="124" t="s">
        <v>109</v>
      </c>
      <c r="T170" s="124" t="s">
        <v>204</v>
      </c>
      <c r="U170" s="124" t="s">
        <v>311</v>
      </c>
      <c r="V170" s="124" t="s">
        <v>312</v>
      </c>
      <c r="W170" s="124" t="s">
        <v>313</v>
      </c>
      <c r="X170" s="124" t="s">
        <v>120</v>
      </c>
      <c r="Y170" s="128"/>
      <c r="Z170" s="124" t="s">
        <v>120</v>
      </c>
      <c r="AA170" s="128"/>
      <c r="AB170" s="124" t="s">
        <v>120</v>
      </c>
      <c r="AC170" s="128"/>
      <c r="AD170" s="128"/>
      <c r="AE170" s="124" t="s">
        <v>120</v>
      </c>
      <c r="AF170" s="128"/>
      <c r="AG170" s="124" t="s">
        <v>120</v>
      </c>
      <c r="AH170" s="128"/>
      <c r="AI170" s="124" t="s">
        <v>120</v>
      </c>
      <c r="AJ170" s="128"/>
      <c r="AK170" s="128"/>
      <c r="AL170" s="124" t="s">
        <v>129</v>
      </c>
      <c r="AM170" s="124" t="s">
        <v>141</v>
      </c>
      <c r="AN170" s="124" t="s">
        <v>141</v>
      </c>
      <c r="AO170" s="124" t="s">
        <v>138</v>
      </c>
      <c r="AP170" s="124"/>
    </row>
    <row r="171">
      <c r="A171" s="124" t="s">
        <v>3325</v>
      </c>
      <c r="B171" s="124" t="s">
        <v>3326</v>
      </c>
      <c r="C171" s="124" t="s">
        <v>3327</v>
      </c>
      <c r="D171" s="127">
        <v>40841.0</v>
      </c>
      <c r="E171" s="124" t="s">
        <v>177</v>
      </c>
      <c r="F171" s="124">
        <v>5.573546643E9</v>
      </c>
      <c r="G171" s="124" t="s">
        <v>3328</v>
      </c>
      <c r="H171" s="124" t="s">
        <v>382</v>
      </c>
      <c r="I171" s="124" t="s">
        <v>3329</v>
      </c>
      <c r="J171" s="124" t="s">
        <v>3330</v>
      </c>
      <c r="K171" s="124" t="s">
        <v>3331</v>
      </c>
      <c r="L171" s="124">
        <v>5.656137672E9</v>
      </c>
      <c r="M171" s="128"/>
      <c r="N171" s="128"/>
      <c r="O171" s="128"/>
      <c r="P171" s="129">
        <v>14.0</v>
      </c>
      <c r="Q171" s="130">
        <v>46031.571701388886</v>
      </c>
      <c r="R171" s="124" t="s">
        <v>107</v>
      </c>
      <c r="S171" s="124" t="s">
        <v>109</v>
      </c>
      <c r="T171" s="124" t="s">
        <v>127</v>
      </c>
      <c r="U171" s="124" t="s">
        <v>531</v>
      </c>
      <c r="V171" s="124" t="s">
        <v>532</v>
      </c>
      <c r="W171" s="124" t="s">
        <v>534</v>
      </c>
      <c r="X171" s="124" t="s">
        <v>120</v>
      </c>
      <c r="Y171" s="128"/>
      <c r="Z171" s="124" t="s">
        <v>120</v>
      </c>
      <c r="AA171" s="128"/>
      <c r="AB171" s="124" t="s">
        <v>120</v>
      </c>
      <c r="AC171" s="128"/>
      <c r="AD171" s="128"/>
      <c r="AE171" s="124" t="s">
        <v>120</v>
      </c>
      <c r="AF171" s="128"/>
      <c r="AG171" s="124" t="s">
        <v>120</v>
      </c>
      <c r="AH171" s="128"/>
      <c r="AI171" s="124" t="s">
        <v>117</v>
      </c>
      <c r="AJ171" s="128"/>
      <c r="AK171" s="128"/>
      <c r="AL171" s="124" t="s">
        <v>128</v>
      </c>
      <c r="AM171" s="124" t="s">
        <v>156</v>
      </c>
      <c r="AN171" s="124" t="s">
        <v>128</v>
      </c>
      <c r="AO171" s="124" t="s">
        <v>156</v>
      </c>
      <c r="AP171" s="124"/>
    </row>
    <row r="172">
      <c r="A172" s="124" t="s">
        <v>3332</v>
      </c>
      <c r="B172" s="124" t="s">
        <v>3333</v>
      </c>
      <c r="C172" s="124" t="s">
        <v>3334</v>
      </c>
      <c r="D172" s="127">
        <v>40844.0</v>
      </c>
      <c r="E172" s="124" t="s">
        <v>177</v>
      </c>
      <c r="F172" s="124">
        <v>7.297480255E9</v>
      </c>
      <c r="G172" s="124" t="s">
        <v>3336</v>
      </c>
      <c r="H172" s="124" t="s">
        <v>150</v>
      </c>
      <c r="I172" s="128"/>
      <c r="J172" s="124" t="s">
        <v>3337</v>
      </c>
      <c r="K172" s="124" t="s">
        <v>3338</v>
      </c>
      <c r="L172" s="124">
        <v>5.510533233E9</v>
      </c>
      <c r="M172" s="128"/>
      <c r="N172" s="128"/>
      <c r="O172" s="128"/>
      <c r="P172" s="129">
        <v>14.0</v>
      </c>
      <c r="Q172" s="130">
        <v>46036.97341435185</v>
      </c>
      <c r="R172" s="124" t="s">
        <v>107</v>
      </c>
      <c r="S172" s="124" t="s">
        <v>109</v>
      </c>
      <c r="T172" s="124" t="s">
        <v>192</v>
      </c>
      <c r="U172" s="124" t="s">
        <v>749</v>
      </c>
      <c r="V172" s="124" t="s">
        <v>750</v>
      </c>
      <c r="W172" s="124" t="s">
        <v>751</v>
      </c>
      <c r="X172" s="124" t="s">
        <v>120</v>
      </c>
      <c r="Y172" s="128"/>
      <c r="Z172" s="124" t="s">
        <v>120</v>
      </c>
      <c r="AA172" s="128"/>
      <c r="AB172" s="124" t="s">
        <v>120</v>
      </c>
      <c r="AC172" s="124" t="s">
        <v>120</v>
      </c>
      <c r="AD172" s="128"/>
      <c r="AE172" s="124" t="s">
        <v>120</v>
      </c>
      <c r="AF172" s="128"/>
      <c r="AG172" s="124" t="s">
        <v>120</v>
      </c>
      <c r="AH172" s="128"/>
      <c r="AI172" s="124" t="s">
        <v>120</v>
      </c>
      <c r="AJ172" s="128"/>
      <c r="AK172" s="128"/>
      <c r="AL172" s="124" t="s">
        <v>185</v>
      </c>
      <c r="AM172" s="124" t="s">
        <v>141</v>
      </c>
      <c r="AN172" s="124" t="s">
        <v>156</v>
      </c>
      <c r="AO172" s="124" t="s">
        <v>138</v>
      </c>
      <c r="AP172" s="124"/>
    </row>
    <row r="173">
      <c r="A173" s="124" t="s">
        <v>1363</v>
      </c>
      <c r="B173" s="124" t="s">
        <v>1364</v>
      </c>
      <c r="C173" s="124" t="s">
        <v>1365</v>
      </c>
      <c r="D173" s="127">
        <v>40065.0</v>
      </c>
      <c r="E173" s="124" t="s">
        <v>98</v>
      </c>
      <c r="F173" s="124">
        <v>5.510082428E9</v>
      </c>
      <c r="G173" s="124" t="s">
        <v>1368</v>
      </c>
      <c r="H173" s="124" t="s">
        <v>101</v>
      </c>
      <c r="I173" s="124" t="s">
        <v>1371</v>
      </c>
      <c r="J173" s="124" t="s">
        <v>1373</v>
      </c>
      <c r="K173" s="124" t="s">
        <v>1375</v>
      </c>
      <c r="L173" s="124">
        <v>5.540294342E9</v>
      </c>
      <c r="M173" s="124" t="s">
        <v>1377</v>
      </c>
      <c r="N173" s="124" t="s">
        <v>1379</v>
      </c>
      <c r="O173" s="124" t="s">
        <v>1382</v>
      </c>
      <c r="P173" s="129">
        <v>16.0</v>
      </c>
      <c r="Q173" s="130">
        <v>46024.84850694444</v>
      </c>
      <c r="R173" s="124" t="s">
        <v>107</v>
      </c>
      <c r="S173" s="124" t="s">
        <v>109</v>
      </c>
      <c r="T173" s="124" t="s">
        <v>127</v>
      </c>
      <c r="U173" s="124" t="s">
        <v>531</v>
      </c>
      <c r="V173" s="124" t="s">
        <v>532</v>
      </c>
      <c r="W173" s="124" t="s">
        <v>534</v>
      </c>
      <c r="X173" s="124" t="s">
        <v>120</v>
      </c>
      <c r="Y173" s="128"/>
      <c r="Z173" s="124" t="s">
        <v>117</v>
      </c>
      <c r="AA173" s="124" t="s">
        <v>1391</v>
      </c>
      <c r="AB173" s="124" t="s">
        <v>120</v>
      </c>
      <c r="AC173" s="124" t="s">
        <v>120</v>
      </c>
      <c r="AD173" s="128"/>
      <c r="AE173" s="124" t="s">
        <v>120</v>
      </c>
      <c r="AF173" s="128"/>
      <c r="AG173" s="124" t="s">
        <v>120</v>
      </c>
      <c r="AH173" s="128"/>
      <c r="AI173" s="124" t="s">
        <v>120</v>
      </c>
      <c r="AJ173" s="128"/>
      <c r="AK173" s="128"/>
      <c r="AL173" s="124" t="s">
        <v>185</v>
      </c>
      <c r="AM173" s="124" t="s">
        <v>138</v>
      </c>
      <c r="AN173" s="124" t="s">
        <v>216</v>
      </c>
      <c r="AO173" s="124" t="s">
        <v>242</v>
      </c>
      <c r="AP173" s="124"/>
    </row>
    <row r="174">
      <c r="A174" s="124" t="s">
        <v>3343</v>
      </c>
      <c r="B174" s="124" t="s">
        <v>1575</v>
      </c>
      <c r="C174" s="124" t="s">
        <v>3345</v>
      </c>
      <c r="D174" s="127">
        <v>40475.0</v>
      </c>
      <c r="E174" s="124" t="s">
        <v>177</v>
      </c>
      <c r="F174" s="124">
        <v>5.516030142E9</v>
      </c>
      <c r="G174" s="124" t="s">
        <v>1588</v>
      </c>
      <c r="H174" s="124" t="s">
        <v>101</v>
      </c>
      <c r="I174" s="128"/>
      <c r="J174" s="124" t="s">
        <v>1586</v>
      </c>
      <c r="K174" s="124" t="s">
        <v>1588</v>
      </c>
      <c r="L174" s="124">
        <v>5.564927995E9</v>
      </c>
      <c r="M174" s="128"/>
      <c r="N174" s="128"/>
      <c r="O174" s="128"/>
      <c r="P174" s="129">
        <v>15.0</v>
      </c>
      <c r="Q174" s="130">
        <v>46033.43896990741</v>
      </c>
      <c r="R174" s="124" t="s">
        <v>107</v>
      </c>
      <c r="S174" s="124" t="s">
        <v>109</v>
      </c>
      <c r="T174" s="124" t="s">
        <v>160</v>
      </c>
      <c r="U174" s="124" t="s">
        <v>308</v>
      </c>
      <c r="V174" s="124" t="s">
        <v>309</v>
      </c>
      <c r="W174" s="124" t="s">
        <v>310</v>
      </c>
      <c r="X174" s="124" t="s">
        <v>120</v>
      </c>
      <c r="Y174" s="128"/>
      <c r="Z174" s="124" t="s">
        <v>117</v>
      </c>
      <c r="AA174" s="124" t="s">
        <v>1729</v>
      </c>
      <c r="AB174" s="124" t="s">
        <v>120</v>
      </c>
      <c r="AC174" s="128"/>
      <c r="AD174" s="128"/>
      <c r="AE174" s="124" t="s">
        <v>120</v>
      </c>
      <c r="AF174" s="128"/>
      <c r="AG174" s="124" t="s">
        <v>120</v>
      </c>
      <c r="AH174" s="128"/>
      <c r="AI174" s="124" t="s">
        <v>120</v>
      </c>
      <c r="AJ174" s="128"/>
      <c r="AK174" s="128"/>
      <c r="AL174" s="124" t="s">
        <v>141</v>
      </c>
      <c r="AM174" s="124" t="s">
        <v>129</v>
      </c>
      <c r="AN174" s="124" t="s">
        <v>240</v>
      </c>
      <c r="AO174" s="124" t="s">
        <v>138</v>
      </c>
      <c r="AP174" s="124"/>
    </row>
    <row r="175">
      <c r="A175" s="124" t="s">
        <v>3347</v>
      </c>
      <c r="B175" s="124" t="s">
        <v>3348</v>
      </c>
      <c r="C175" s="124" t="s">
        <v>3349</v>
      </c>
      <c r="D175" s="127">
        <v>40390.0</v>
      </c>
      <c r="E175" s="124" t="s">
        <v>177</v>
      </c>
      <c r="F175" s="124" t="s">
        <v>3350</v>
      </c>
      <c r="G175" s="124" t="s">
        <v>3351</v>
      </c>
      <c r="H175" s="124" t="s">
        <v>101</v>
      </c>
      <c r="I175" s="128"/>
      <c r="J175" s="124" t="s">
        <v>3352</v>
      </c>
      <c r="K175" s="124" t="s">
        <v>3351</v>
      </c>
      <c r="L175" s="124" t="s">
        <v>3353</v>
      </c>
      <c r="M175" s="128"/>
      <c r="N175" s="128"/>
      <c r="O175" s="128"/>
      <c r="P175" s="129">
        <v>15.0</v>
      </c>
      <c r="Q175" s="130">
        <v>46040.936840277776</v>
      </c>
      <c r="R175" s="124" t="s">
        <v>107</v>
      </c>
      <c r="S175" s="124" t="s">
        <v>109</v>
      </c>
      <c r="T175" s="124" t="s">
        <v>192</v>
      </c>
      <c r="U175" s="124" t="s">
        <v>485</v>
      </c>
      <c r="V175" s="124" t="s">
        <v>486</v>
      </c>
      <c r="W175" s="124" t="s">
        <v>487</v>
      </c>
      <c r="X175" s="124" t="s">
        <v>120</v>
      </c>
      <c r="Y175" s="128"/>
      <c r="Z175" s="124" t="s">
        <v>120</v>
      </c>
      <c r="AA175" s="128"/>
      <c r="AB175" s="124" t="s">
        <v>120</v>
      </c>
      <c r="AC175" s="124" t="s">
        <v>120</v>
      </c>
      <c r="AD175" s="128"/>
      <c r="AE175" s="124" t="s">
        <v>120</v>
      </c>
      <c r="AF175" s="128"/>
      <c r="AG175" s="124" t="s">
        <v>120</v>
      </c>
      <c r="AH175" s="128"/>
      <c r="AI175" s="124" t="s">
        <v>120</v>
      </c>
      <c r="AJ175" s="128"/>
      <c r="AK175" s="128"/>
      <c r="AL175" s="124" t="s">
        <v>138</v>
      </c>
      <c r="AM175" s="124" t="s">
        <v>129</v>
      </c>
      <c r="AN175" s="124" t="s">
        <v>156</v>
      </c>
      <c r="AO175" s="124" t="s">
        <v>242</v>
      </c>
      <c r="AP175" s="124"/>
    </row>
    <row r="176">
      <c r="A176" s="124" t="s">
        <v>1461</v>
      </c>
      <c r="B176" s="124" t="s">
        <v>1462</v>
      </c>
      <c r="C176" s="124" t="s">
        <v>1463</v>
      </c>
      <c r="D176" s="127">
        <v>41085.0</v>
      </c>
      <c r="E176" s="124" t="s">
        <v>177</v>
      </c>
      <c r="F176" s="124">
        <v>5.56971602E9</v>
      </c>
      <c r="G176" s="124" t="s">
        <v>1467</v>
      </c>
      <c r="H176" s="124" t="s">
        <v>382</v>
      </c>
      <c r="I176" s="124" t="s">
        <v>1468</v>
      </c>
      <c r="J176" s="124" t="s">
        <v>1469</v>
      </c>
      <c r="K176" s="124" t="s">
        <v>1470</v>
      </c>
      <c r="L176" s="124">
        <v>5.514126075E9</v>
      </c>
      <c r="M176" s="128"/>
      <c r="N176" s="128"/>
      <c r="O176" s="128"/>
      <c r="P176" s="129">
        <v>13.0</v>
      </c>
      <c r="Q176" s="130">
        <v>46037.83657407408</v>
      </c>
      <c r="R176" s="124" t="s">
        <v>107</v>
      </c>
      <c r="S176" s="124" t="s">
        <v>109</v>
      </c>
      <c r="T176" s="124" t="s">
        <v>111</v>
      </c>
      <c r="U176" s="124" t="s">
        <v>657</v>
      </c>
      <c r="V176" s="124" t="s">
        <v>659</v>
      </c>
      <c r="W176" s="124" t="s">
        <v>662</v>
      </c>
      <c r="X176" s="124" t="s">
        <v>120</v>
      </c>
      <c r="Y176" s="128"/>
      <c r="Z176" s="124" t="s">
        <v>117</v>
      </c>
      <c r="AA176" s="124" t="s">
        <v>458</v>
      </c>
      <c r="AB176" s="124" t="s">
        <v>120</v>
      </c>
      <c r="AC176" s="128"/>
      <c r="AD176" s="128"/>
      <c r="AE176" s="124" t="s">
        <v>120</v>
      </c>
      <c r="AF176" s="124" t="s">
        <v>667</v>
      </c>
      <c r="AG176" s="124" t="s">
        <v>120</v>
      </c>
      <c r="AH176" s="124" t="s">
        <v>667</v>
      </c>
      <c r="AI176" s="124" t="s">
        <v>120</v>
      </c>
      <c r="AJ176" s="124" t="s">
        <v>667</v>
      </c>
      <c r="AK176" s="124" t="s">
        <v>667</v>
      </c>
      <c r="AL176" s="124" t="s">
        <v>141</v>
      </c>
      <c r="AM176" s="124" t="s">
        <v>129</v>
      </c>
      <c r="AN176" s="124" t="s">
        <v>185</v>
      </c>
      <c r="AO176" s="124" t="s">
        <v>156</v>
      </c>
      <c r="AP176" s="124"/>
    </row>
    <row r="177">
      <c r="A177" s="124" t="s">
        <v>3354</v>
      </c>
      <c r="B177" s="124" t="s">
        <v>1513</v>
      </c>
      <c r="C177" s="124" t="s">
        <v>3355</v>
      </c>
      <c r="D177" s="127">
        <v>39582.0</v>
      </c>
      <c r="E177" s="124" t="s">
        <v>177</v>
      </c>
      <c r="F177" s="124">
        <v>5.583696879E9</v>
      </c>
      <c r="G177" s="124" t="s">
        <v>3356</v>
      </c>
      <c r="H177" s="124" t="s">
        <v>150</v>
      </c>
      <c r="I177" s="128"/>
      <c r="J177" s="124" t="s">
        <v>1519</v>
      </c>
      <c r="K177" s="124" t="s">
        <v>1521</v>
      </c>
      <c r="L177" s="124">
        <v>5.586136085E9</v>
      </c>
      <c r="M177" s="128"/>
      <c r="N177" s="128"/>
      <c r="O177" s="128"/>
      <c r="P177" s="129">
        <v>17.0</v>
      </c>
      <c r="Q177" s="130">
        <v>46020.475636574076</v>
      </c>
      <c r="R177" s="124" t="s">
        <v>107</v>
      </c>
      <c r="S177" s="124" t="s">
        <v>109</v>
      </c>
      <c r="T177" s="124" t="s">
        <v>208</v>
      </c>
      <c r="U177" s="124" t="s">
        <v>428</v>
      </c>
      <c r="V177" s="124" t="s">
        <v>429</v>
      </c>
      <c r="W177" s="124" t="s">
        <v>430</v>
      </c>
      <c r="X177" s="124" t="s">
        <v>120</v>
      </c>
      <c r="Y177" s="128"/>
      <c r="Z177" s="124" t="s">
        <v>117</v>
      </c>
      <c r="AA177" s="124" t="s">
        <v>3357</v>
      </c>
      <c r="AB177" s="124" t="s">
        <v>120</v>
      </c>
      <c r="AC177" s="128"/>
      <c r="AD177" s="128"/>
      <c r="AE177" s="124" t="s">
        <v>120</v>
      </c>
      <c r="AF177" s="128"/>
      <c r="AG177" s="124" t="s">
        <v>120</v>
      </c>
      <c r="AH177" s="128"/>
      <c r="AI177" s="124" t="s">
        <v>120</v>
      </c>
      <c r="AJ177" s="128"/>
      <c r="AK177" s="128"/>
      <c r="AL177" s="124" t="s">
        <v>185</v>
      </c>
      <c r="AM177" s="124" t="s">
        <v>138</v>
      </c>
      <c r="AN177" s="124" t="s">
        <v>124</v>
      </c>
      <c r="AO177" s="124" t="s">
        <v>216</v>
      </c>
      <c r="AP177" s="124"/>
    </row>
    <row r="178">
      <c r="A178" s="124" t="s">
        <v>3358</v>
      </c>
      <c r="B178" s="124" t="s">
        <v>3359</v>
      </c>
      <c r="C178" s="124" t="s">
        <v>3360</v>
      </c>
      <c r="D178" s="127">
        <v>40075.0</v>
      </c>
      <c r="E178" s="124" t="s">
        <v>177</v>
      </c>
      <c r="F178" s="124">
        <v>5.662733404E9</v>
      </c>
      <c r="G178" s="124" t="s">
        <v>3361</v>
      </c>
      <c r="H178" s="124" t="s">
        <v>101</v>
      </c>
      <c r="I178" s="124" t="s">
        <v>979</v>
      </c>
      <c r="J178" s="124" t="s">
        <v>3362</v>
      </c>
      <c r="K178" s="124" t="s">
        <v>3361</v>
      </c>
      <c r="L178" s="124">
        <v>5.546686041E9</v>
      </c>
      <c r="M178" s="128"/>
      <c r="N178" s="128"/>
      <c r="O178" s="128"/>
      <c r="P178" s="129">
        <v>16.0</v>
      </c>
      <c r="Q178" s="130">
        <v>46040.505844907406</v>
      </c>
      <c r="R178" s="124" t="s">
        <v>107</v>
      </c>
      <c r="S178" s="124" t="s">
        <v>109</v>
      </c>
      <c r="T178" s="124" t="s">
        <v>160</v>
      </c>
      <c r="U178" s="124" t="s">
        <v>308</v>
      </c>
      <c r="V178" s="124" t="s">
        <v>309</v>
      </c>
      <c r="W178" s="124" t="s">
        <v>310</v>
      </c>
      <c r="X178" s="124" t="s">
        <v>120</v>
      </c>
      <c r="Y178" s="128"/>
      <c r="Z178" s="124" t="s">
        <v>120</v>
      </c>
      <c r="AA178" s="128"/>
      <c r="AB178" s="124" t="s">
        <v>120</v>
      </c>
      <c r="AC178" s="128"/>
      <c r="AD178" s="128"/>
      <c r="AE178" s="124" t="s">
        <v>120</v>
      </c>
      <c r="AF178" s="128"/>
      <c r="AG178" s="124" t="s">
        <v>120</v>
      </c>
      <c r="AH178" s="128"/>
      <c r="AI178" s="124" t="s">
        <v>120</v>
      </c>
      <c r="AJ178" s="128"/>
      <c r="AK178" s="128"/>
      <c r="AL178" s="124" t="s">
        <v>156</v>
      </c>
      <c r="AM178" s="124" t="s">
        <v>185</v>
      </c>
      <c r="AN178" s="124" t="s">
        <v>124</v>
      </c>
      <c r="AO178" s="124" t="s">
        <v>129</v>
      </c>
      <c r="AP178" s="124"/>
    </row>
    <row r="179">
      <c r="A179" s="124" t="s">
        <v>3363</v>
      </c>
      <c r="B179" s="124" t="s">
        <v>3364</v>
      </c>
      <c r="C179" s="128"/>
      <c r="D179" s="127">
        <v>39494.0</v>
      </c>
      <c r="E179" s="124" t="s">
        <v>98</v>
      </c>
      <c r="F179" s="124">
        <v>5.534243339E9</v>
      </c>
      <c r="G179" s="124" t="s">
        <v>3365</v>
      </c>
      <c r="H179" s="124" t="s">
        <v>101</v>
      </c>
      <c r="I179" s="128"/>
      <c r="J179" s="124" t="s">
        <v>3366</v>
      </c>
      <c r="K179" s="124" t="s">
        <v>3367</v>
      </c>
      <c r="L179" s="124">
        <v>5.560611023E9</v>
      </c>
      <c r="M179" s="128"/>
      <c r="N179" s="128"/>
      <c r="O179" s="128"/>
      <c r="P179" s="129">
        <v>18.0</v>
      </c>
      <c r="Q179" s="130">
        <v>46040.7130787037</v>
      </c>
      <c r="R179" s="124" t="s">
        <v>107</v>
      </c>
      <c r="S179" s="124" t="s">
        <v>109</v>
      </c>
      <c r="T179" s="124" t="s">
        <v>192</v>
      </c>
      <c r="U179" s="124" t="s">
        <v>485</v>
      </c>
      <c r="V179" s="124" t="s">
        <v>486</v>
      </c>
      <c r="W179" s="124" t="s">
        <v>487</v>
      </c>
      <c r="X179" s="124" t="s">
        <v>120</v>
      </c>
      <c r="Y179" s="128"/>
      <c r="Z179" s="124" t="s">
        <v>120</v>
      </c>
      <c r="AA179" s="128"/>
      <c r="AB179" s="124" t="s">
        <v>120</v>
      </c>
      <c r="AC179" s="128"/>
      <c r="AD179" s="128"/>
      <c r="AE179" s="124" t="s">
        <v>120</v>
      </c>
      <c r="AF179" s="128"/>
      <c r="AG179" s="124" t="s">
        <v>120</v>
      </c>
      <c r="AH179" s="128"/>
      <c r="AI179" s="124" t="s">
        <v>120</v>
      </c>
      <c r="AJ179" s="128"/>
      <c r="AK179" s="128"/>
      <c r="AL179" s="124" t="s">
        <v>126</v>
      </c>
      <c r="AM179" s="124" t="s">
        <v>240</v>
      </c>
      <c r="AN179" s="124" t="s">
        <v>138</v>
      </c>
      <c r="AO179" s="124" t="s">
        <v>216</v>
      </c>
      <c r="AP179" s="124"/>
    </row>
    <row r="180">
      <c r="A180" s="124" t="s">
        <v>3368</v>
      </c>
      <c r="B180" s="124" t="s">
        <v>3369</v>
      </c>
      <c r="C180" s="124" t="s">
        <v>3370</v>
      </c>
      <c r="D180" s="127">
        <v>40557.0</v>
      </c>
      <c r="E180" s="124" t="s">
        <v>98</v>
      </c>
      <c r="F180" s="124">
        <v>5.532896662E9</v>
      </c>
      <c r="G180" s="124" t="s">
        <v>3371</v>
      </c>
      <c r="H180" s="124" t="s">
        <v>101</v>
      </c>
      <c r="I180" s="128"/>
      <c r="J180" s="124" t="s">
        <v>3372</v>
      </c>
      <c r="K180" s="124" t="s">
        <v>3373</v>
      </c>
      <c r="L180" s="124">
        <v>5.532168963E9</v>
      </c>
      <c r="M180" s="128"/>
      <c r="N180" s="128"/>
      <c r="O180" s="128"/>
      <c r="P180" s="129">
        <v>15.0</v>
      </c>
      <c r="Q180" s="130">
        <v>46040.843831018516</v>
      </c>
      <c r="R180" s="124" t="s">
        <v>107</v>
      </c>
      <c r="S180" s="124" t="s">
        <v>109</v>
      </c>
      <c r="T180" s="124" t="s">
        <v>127</v>
      </c>
      <c r="U180" s="124" t="s">
        <v>234</v>
      </c>
      <c r="V180" s="124" t="s">
        <v>227</v>
      </c>
      <c r="W180" s="124" t="s">
        <v>236</v>
      </c>
      <c r="X180" s="124" t="s">
        <v>120</v>
      </c>
      <c r="Y180" s="128"/>
      <c r="Z180" s="124" t="s">
        <v>120</v>
      </c>
      <c r="AA180" s="128"/>
      <c r="AB180" s="124" t="s">
        <v>120</v>
      </c>
      <c r="AC180" s="128"/>
      <c r="AD180" s="128"/>
      <c r="AE180" s="124" t="s">
        <v>120</v>
      </c>
      <c r="AF180" s="128"/>
      <c r="AG180" s="124" t="s">
        <v>120</v>
      </c>
      <c r="AH180" s="128"/>
      <c r="AI180" s="124" t="s">
        <v>120</v>
      </c>
      <c r="AJ180" s="128"/>
      <c r="AK180" s="128"/>
      <c r="AL180" s="124" t="s">
        <v>129</v>
      </c>
      <c r="AM180" s="124" t="s">
        <v>240</v>
      </c>
      <c r="AN180" s="124" t="s">
        <v>126</v>
      </c>
      <c r="AO180" s="124" t="s">
        <v>216</v>
      </c>
      <c r="AP180" s="124"/>
    </row>
    <row r="181">
      <c r="A181" s="124" t="s">
        <v>1966</v>
      </c>
      <c r="B181" s="124" t="s">
        <v>1967</v>
      </c>
      <c r="C181" s="124" t="s">
        <v>1968</v>
      </c>
      <c r="D181" s="127">
        <v>38649.0</v>
      </c>
      <c r="E181" s="124" t="s">
        <v>98</v>
      </c>
      <c r="F181" s="124">
        <v>5.634567145E9</v>
      </c>
      <c r="G181" s="124" t="s">
        <v>1971</v>
      </c>
      <c r="H181" s="124" t="s">
        <v>101</v>
      </c>
      <c r="I181" s="124" t="s">
        <v>135</v>
      </c>
      <c r="J181" s="124" t="s">
        <v>1973</v>
      </c>
      <c r="K181" s="124" t="s">
        <v>1971</v>
      </c>
      <c r="L181" s="124">
        <v>5.52116911E9</v>
      </c>
      <c r="M181" s="128"/>
      <c r="N181" s="128"/>
      <c r="O181" s="128"/>
      <c r="P181" s="129">
        <v>20.0</v>
      </c>
      <c r="Q181" s="130">
        <v>46040.55924768518</v>
      </c>
      <c r="R181" s="124" t="s">
        <v>231</v>
      </c>
      <c r="S181" s="124" t="s">
        <v>125</v>
      </c>
      <c r="T181" s="124" t="s">
        <v>111</v>
      </c>
      <c r="U181" s="124" t="s">
        <v>112</v>
      </c>
      <c r="V181" s="124" t="s">
        <v>114</v>
      </c>
      <c r="W181" s="124" t="s">
        <v>115</v>
      </c>
      <c r="X181" s="124" t="s">
        <v>120</v>
      </c>
      <c r="Y181" s="128"/>
      <c r="Z181" s="124" t="s">
        <v>120</v>
      </c>
      <c r="AA181" s="128"/>
      <c r="AB181" s="124" t="s">
        <v>120</v>
      </c>
      <c r="AC181" s="128"/>
      <c r="AD181" s="128"/>
      <c r="AE181" s="124" t="s">
        <v>120</v>
      </c>
      <c r="AF181" s="128"/>
      <c r="AG181" s="124" t="s">
        <v>120</v>
      </c>
      <c r="AH181" s="128"/>
      <c r="AI181" s="124" t="s">
        <v>120</v>
      </c>
      <c r="AJ181" s="128"/>
      <c r="AK181" s="128"/>
      <c r="AL181" s="124" t="s">
        <v>141</v>
      </c>
      <c r="AM181" s="124" t="s">
        <v>156</v>
      </c>
      <c r="AN181" s="124" t="s">
        <v>124</v>
      </c>
      <c r="AO181" s="124" t="s">
        <v>240</v>
      </c>
      <c r="AP181" s="124"/>
    </row>
    <row r="182">
      <c r="A182" s="124" t="s">
        <v>3377</v>
      </c>
      <c r="B182" s="124" t="s">
        <v>3379</v>
      </c>
      <c r="C182" s="124" t="s">
        <v>3380</v>
      </c>
      <c r="D182" s="127">
        <v>40695.0</v>
      </c>
      <c r="E182" s="124" t="s">
        <v>177</v>
      </c>
      <c r="F182" s="124">
        <v>5.540752569E9</v>
      </c>
      <c r="G182" s="124" t="s">
        <v>3381</v>
      </c>
      <c r="H182" s="124" t="s">
        <v>150</v>
      </c>
      <c r="I182" s="124" t="s">
        <v>135</v>
      </c>
      <c r="J182" s="124" t="s">
        <v>3382</v>
      </c>
      <c r="K182" s="124" t="s">
        <v>3381</v>
      </c>
      <c r="L182" s="124">
        <v>5.540752569E9</v>
      </c>
      <c r="M182" s="128"/>
      <c r="N182" s="128"/>
      <c r="O182" s="128"/>
      <c r="P182" s="129">
        <v>14.0</v>
      </c>
      <c r="Q182" s="130">
        <v>46034.62709490741</v>
      </c>
      <c r="R182" s="124" t="s">
        <v>107</v>
      </c>
      <c r="S182" s="124" t="s">
        <v>109</v>
      </c>
      <c r="T182" s="124" t="s">
        <v>204</v>
      </c>
      <c r="U182" s="124" t="s">
        <v>295</v>
      </c>
      <c r="V182" s="124" t="s">
        <v>298</v>
      </c>
      <c r="W182" s="124" t="s">
        <v>299</v>
      </c>
      <c r="X182" s="124" t="s">
        <v>120</v>
      </c>
      <c r="Y182" s="128"/>
      <c r="Z182" s="124" t="s">
        <v>120</v>
      </c>
      <c r="AA182" s="128"/>
      <c r="AB182" s="124" t="s">
        <v>120</v>
      </c>
      <c r="AC182" s="128"/>
      <c r="AD182" s="124" t="s">
        <v>135</v>
      </c>
      <c r="AE182" s="124" t="s">
        <v>120</v>
      </c>
      <c r="AF182" s="128"/>
      <c r="AG182" s="124" t="s">
        <v>120</v>
      </c>
      <c r="AH182" s="128"/>
      <c r="AI182" s="124" t="s">
        <v>120</v>
      </c>
      <c r="AJ182" s="128"/>
      <c r="AK182" s="124" t="s">
        <v>135</v>
      </c>
      <c r="AL182" s="124" t="s">
        <v>185</v>
      </c>
      <c r="AM182" s="124" t="s">
        <v>124</v>
      </c>
      <c r="AN182" s="124" t="s">
        <v>216</v>
      </c>
      <c r="AO182" s="124" t="s">
        <v>138</v>
      </c>
      <c r="AP182" s="124"/>
    </row>
    <row r="183">
      <c r="A183" s="124" t="s">
        <v>3383</v>
      </c>
      <c r="B183" s="124" t="s">
        <v>3384</v>
      </c>
      <c r="C183" s="128"/>
      <c r="D183" s="127">
        <v>40167.0</v>
      </c>
      <c r="E183" s="124" t="s">
        <v>177</v>
      </c>
      <c r="F183" s="124">
        <v>5.637505869E9</v>
      </c>
      <c r="G183" s="124" t="s">
        <v>3385</v>
      </c>
      <c r="H183" s="124" t="s">
        <v>101</v>
      </c>
      <c r="I183" s="124" t="s">
        <v>1325</v>
      </c>
      <c r="J183" s="124" t="s">
        <v>3386</v>
      </c>
      <c r="K183" s="124" t="s">
        <v>3387</v>
      </c>
      <c r="L183" s="124">
        <v>5.591888985E9</v>
      </c>
      <c r="M183" s="124" t="s">
        <v>3388</v>
      </c>
      <c r="N183" s="124" t="s">
        <v>3389</v>
      </c>
      <c r="O183" s="124">
        <v>5.582979154E9</v>
      </c>
      <c r="P183" s="129">
        <v>16.0</v>
      </c>
      <c r="Q183" s="130">
        <v>46038.7797337963</v>
      </c>
      <c r="R183" s="124" t="s">
        <v>107</v>
      </c>
      <c r="S183" s="124" t="s">
        <v>109</v>
      </c>
      <c r="T183" s="124" t="s">
        <v>111</v>
      </c>
      <c r="U183" s="124" t="s">
        <v>112</v>
      </c>
      <c r="V183" s="124" t="s">
        <v>114</v>
      </c>
      <c r="W183" s="124" t="s">
        <v>115</v>
      </c>
      <c r="X183" s="124" t="s">
        <v>120</v>
      </c>
      <c r="Y183" s="128"/>
      <c r="Z183" s="124" t="s">
        <v>117</v>
      </c>
      <c r="AA183" s="124" t="s">
        <v>3390</v>
      </c>
      <c r="AB183" s="124" t="s">
        <v>120</v>
      </c>
      <c r="AC183" s="128"/>
      <c r="AD183" s="128"/>
      <c r="AE183" s="124" t="s">
        <v>120</v>
      </c>
      <c r="AF183" s="128"/>
      <c r="AG183" s="124" t="s">
        <v>120</v>
      </c>
      <c r="AH183" s="128"/>
      <c r="AI183" s="124" t="s">
        <v>120</v>
      </c>
      <c r="AJ183" s="128"/>
      <c r="AK183" s="128"/>
      <c r="AL183" s="124" t="s">
        <v>242</v>
      </c>
      <c r="AM183" s="124" t="s">
        <v>126</v>
      </c>
      <c r="AN183" s="124" t="s">
        <v>216</v>
      </c>
      <c r="AO183" s="124" t="s">
        <v>129</v>
      </c>
      <c r="AP183" s="124"/>
    </row>
    <row r="184">
      <c r="A184" s="124" t="s">
        <v>431</v>
      </c>
      <c r="B184" s="124" t="s">
        <v>432</v>
      </c>
      <c r="C184" s="124" t="s">
        <v>434</v>
      </c>
      <c r="D184" s="127">
        <v>40565.0</v>
      </c>
      <c r="E184" s="124" t="s">
        <v>98</v>
      </c>
      <c r="F184" s="124">
        <v>5.571936655E9</v>
      </c>
      <c r="G184" s="124" t="s">
        <v>436</v>
      </c>
      <c r="H184" s="124" t="s">
        <v>110</v>
      </c>
      <c r="I184" s="128"/>
      <c r="J184" s="124" t="s">
        <v>439</v>
      </c>
      <c r="K184" s="124" t="s">
        <v>440</v>
      </c>
      <c r="L184" s="124">
        <v>5.64576689E9</v>
      </c>
      <c r="M184" s="128"/>
      <c r="N184" s="128"/>
      <c r="O184" s="128"/>
      <c r="P184" s="129">
        <v>15.0</v>
      </c>
      <c r="Q184" s="130">
        <v>46045.92314814815</v>
      </c>
      <c r="R184" s="124" t="s">
        <v>107</v>
      </c>
      <c r="S184" s="124" t="s">
        <v>109</v>
      </c>
      <c r="T184" s="124" t="s">
        <v>171</v>
      </c>
      <c r="U184" s="124" t="s">
        <v>444</v>
      </c>
      <c r="V184" s="124" t="s">
        <v>445</v>
      </c>
      <c r="W184" s="124" t="s">
        <v>446</v>
      </c>
      <c r="X184" s="124" t="s">
        <v>117</v>
      </c>
      <c r="Y184" s="124" t="s">
        <v>437</v>
      </c>
      <c r="Z184" s="124" t="s">
        <v>117</v>
      </c>
      <c r="AA184" s="124" t="s">
        <v>450</v>
      </c>
      <c r="AB184" s="124" t="s">
        <v>120</v>
      </c>
      <c r="AC184" s="128"/>
      <c r="AD184" s="128"/>
      <c r="AE184" s="124" t="s">
        <v>120</v>
      </c>
      <c r="AF184" s="128"/>
      <c r="AG184" s="124" t="s">
        <v>120</v>
      </c>
      <c r="AH184" s="128"/>
      <c r="AI184" s="124" t="s">
        <v>117</v>
      </c>
      <c r="AJ184" s="124" t="s">
        <v>454</v>
      </c>
      <c r="AK184" s="128"/>
      <c r="AL184" s="124" t="s">
        <v>138</v>
      </c>
      <c r="AM184" s="124" t="s">
        <v>156</v>
      </c>
      <c r="AN184" s="124" t="s">
        <v>124</v>
      </c>
      <c r="AO184" s="124" t="s">
        <v>240</v>
      </c>
      <c r="AP184" s="124"/>
    </row>
    <row r="185">
      <c r="A185" s="124" t="s">
        <v>1983</v>
      </c>
      <c r="B185" s="124" t="s">
        <v>1984</v>
      </c>
      <c r="C185" s="124" t="s">
        <v>1985</v>
      </c>
      <c r="D185" s="127">
        <v>37603.0</v>
      </c>
      <c r="E185" s="124" t="s">
        <v>98</v>
      </c>
      <c r="F185" s="124">
        <v>5.648385404E9</v>
      </c>
      <c r="G185" s="124" t="s">
        <v>1986</v>
      </c>
      <c r="H185" s="124" t="s">
        <v>101</v>
      </c>
      <c r="I185" s="128"/>
      <c r="J185" s="124" t="s">
        <v>1988</v>
      </c>
      <c r="K185" s="124" t="s">
        <v>1989</v>
      </c>
      <c r="L185" s="124">
        <v>5.532498116E9</v>
      </c>
      <c r="M185" s="128"/>
      <c r="N185" s="128"/>
      <c r="O185" s="128"/>
      <c r="P185" s="129">
        <v>23.0</v>
      </c>
      <c r="Q185" s="130">
        <v>46020.71965277778</v>
      </c>
      <c r="R185" s="124" t="s">
        <v>107</v>
      </c>
      <c r="S185" s="124" t="s">
        <v>125</v>
      </c>
      <c r="T185" s="124" t="s">
        <v>204</v>
      </c>
      <c r="U185" s="124" t="s">
        <v>205</v>
      </c>
      <c r="V185" s="124" t="s">
        <v>206</v>
      </c>
      <c r="W185" s="124" t="s">
        <v>207</v>
      </c>
      <c r="X185" s="124" t="s">
        <v>120</v>
      </c>
      <c r="Y185" s="128"/>
      <c r="Z185" s="124" t="s">
        <v>120</v>
      </c>
      <c r="AA185" s="128"/>
      <c r="AB185" s="124" t="s">
        <v>120</v>
      </c>
      <c r="AC185" s="128"/>
      <c r="AD185" s="128"/>
      <c r="AE185" s="124" t="s">
        <v>120</v>
      </c>
      <c r="AF185" s="128"/>
      <c r="AG185" s="124" t="s">
        <v>120</v>
      </c>
      <c r="AH185" s="128"/>
      <c r="AI185" s="124" t="s">
        <v>120</v>
      </c>
      <c r="AJ185" s="128"/>
      <c r="AK185" s="128"/>
      <c r="AL185" s="124" t="s">
        <v>185</v>
      </c>
      <c r="AM185" s="124" t="s">
        <v>124</v>
      </c>
      <c r="AN185" s="124" t="s">
        <v>138</v>
      </c>
      <c r="AO185" s="124" t="s">
        <v>156</v>
      </c>
      <c r="AP185" s="124"/>
    </row>
    <row r="186">
      <c r="A186" s="124" t="s">
        <v>3394</v>
      </c>
      <c r="B186" s="124" t="s">
        <v>3395</v>
      </c>
      <c r="C186" s="124" t="s">
        <v>3396</v>
      </c>
      <c r="D186" s="127">
        <v>38082.0</v>
      </c>
      <c r="E186" s="124" t="s">
        <v>177</v>
      </c>
      <c r="F186" s="124">
        <v>5.564607584E9</v>
      </c>
      <c r="G186" s="124" t="s">
        <v>3397</v>
      </c>
      <c r="H186" s="124" t="s">
        <v>101</v>
      </c>
      <c r="I186" s="128"/>
      <c r="J186" s="124" t="s">
        <v>3398</v>
      </c>
      <c r="K186" s="124" t="s">
        <v>3397</v>
      </c>
      <c r="L186" s="124">
        <v>5.548065423E9</v>
      </c>
      <c r="M186" s="128"/>
      <c r="N186" s="128"/>
      <c r="O186" s="128"/>
      <c r="P186" s="129">
        <v>21.0</v>
      </c>
      <c r="Q186" s="130">
        <v>46033.509780092594</v>
      </c>
      <c r="R186" s="124" t="s">
        <v>107</v>
      </c>
      <c r="S186" s="124" t="s">
        <v>125</v>
      </c>
      <c r="T186" s="124" t="s">
        <v>160</v>
      </c>
      <c r="U186" s="124" t="s">
        <v>329</v>
      </c>
      <c r="V186" s="124" t="s">
        <v>331</v>
      </c>
      <c r="W186" s="124" t="s">
        <v>332</v>
      </c>
      <c r="X186" s="124" t="s">
        <v>120</v>
      </c>
      <c r="Y186" s="128"/>
      <c r="Z186" s="124" t="s">
        <v>120</v>
      </c>
      <c r="AA186" s="128"/>
      <c r="AB186" s="124" t="s">
        <v>120</v>
      </c>
      <c r="AC186" s="124" t="s">
        <v>120</v>
      </c>
      <c r="AD186" s="128"/>
      <c r="AE186" s="124" t="s">
        <v>120</v>
      </c>
      <c r="AF186" s="128"/>
      <c r="AG186" s="124" t="s">
        <v>120</v>
      </c>
      <c r="AH186" s="128"/>
      <c r="AI186" s="124" t="s">
        <v>120</v>
      </c>
      <c r="AJ186" s="128"/>
      <c r="AK186" s="128"/>
      <c r="AL186" s="124" t="s">
        <v>138</v>
      </c>
      <c r="AM186" s="124" t="s">
        <v>242</v>
      </c>
      <c r="AN186" s="124" t="s">
        <v>216</v>
      </c>
      <c r="AO186" s="124" t="s">
        <v>126</v>
      </c>
      <c r="AP186" s="124"/>
    </row>
    <row r="187">
      <c r="A187" s="124" t="s">
        <v>3399</v>
      </c>
      <c r="B187" s="124" t="s">
        <v>3400</v>
      </c>
      <c r="C187" s="124" t="s">
        <v>3401</v>
      </c>
      <c r="D187" s="127">
        <v>40305.0</v>
      </c>
      <c r="E187" s="124" t="s">
        <v>98</v>
      </c>
      <c r="F187" s="124">
        <v>5.564518546E9</v>
      </c>
      <c r="G187" s="124" t="s">
        <v>3402</v>
      </c>
      <c r="H187" s="124" t="s">
        <v>140</v>
      </c>
      <c r="I187" s="128"/>
      <c r="J187" s="124" t="s">
        <v>3403</v>
      </c>
      <c r="K187" s="124" t="s">
        <v>3404</v>
      </c>
      <c r="L187" s="124">
        <v>5.51817698E9</v>
      </c>
      <c r="M187" s="128"/>
      <c r="N187" s="128"/>
      <c r="O187" s="128"/>
      <c r="P187" s="129">
        <v>15.0</v>
      </c>
      <c r="Q187" s="130">
        <v>46041.333182870374</v>
      </c>
      <c r="R187" s="124" t="s">
        <v>107</v>
      </c>
      <c r="S187" s="124" t="s">
        <v>109</v>
      </c>
      <c r="T187" s="124" t="s">
        <v>111</v>
      </c>
      <c r="U187" s="124" t="s">
        <v>2283</v>
      </c>
      <c r="V187" s="124" t="s">
        <v>2285</v>
      </c>
      <c r="W187" s="124" t="s">
        <v>2286</v>
      </c>
      <c r="X187" s="124" t="s">
        <v>120</v>
      </c>
      <c r="Y187" s="128"/>
      <c r="Z187" s="124" t="s">
        <v>120</v>
      </c>
      <c r="AA187" s="128"/>
      <c r="AB187" s="124" t="s">
        <v>120</v>
      </c>
      <c r="AC187" s="128"/>
      <c r="AD187" s="128"/>
      <c r="AE187" s="124" t="s">
        <v>120</v>
      </c>
      <c r="AF187" s="128"/>
      <c r="AG187" s="124" t="s">
        <v>120</v>
      </c>
      <c r="AH187" s="128"/>
      <c r="AI187" s="124" t="s">
        <v>120</v>
      </c>
      <c r="AJ187" s="128"/>
      <c r="AK187" s="128"/>
      <c r="AL187" s="124" t="s">
        <v>242</v>
      </c>
      <c r="AM187" s="124" t="s">
        <v>156</v>
      </c>
      <c r="AN187" s="124" t="s">
        <v>141</v>
      </c>
      <c r="AO187" s="124" t="s">
        <v>216</v>
      </c>
      <c r="AP187" s="124"/>
    </row>
    <row r="188">
      <c r="A188" s="124" t="s">
        <v>3405</v>
      </c>
      <c r="B188" s="124" t="s">
        <v>3406</v>
      </c>
      <c r="C188" s="124" t="s">
        <v>3407</v>
      </c>
      <c r="D188" s="127">
        <v>39887.0</v>
      </c>
      <c r="E188" s="124" t="s">
        <v>98</v>
      </c>
      <c r="F188" s="124">
        <v>5.516119125E9</v>
      </c>
      <c r="G188" s="124" t="s">
        <v>3408</v>
      </c>
      <c r="H188" s="124" t="s">
        <v>101</v>
      </c>
      <c r="I188" s="128"/>
      <c r="J188" s="124" t="s">
        <v>3409</v>
      </c>
      <c r="K188" s="124" t="s">
        <v>3408</v>
      </c>
      <c r="L188" s="124">
        <v>5.516119125E9</v>
      </c>
      <c r="M188" s="128"/>
      <c r="N188" s="128"/>
      <c r="O188" s="128"/>
      <c r="P188" s="129">
        <v>16.0</v>
      </c>
      <c r="Q188" s="130">
        <v>46038.906435185185</v>
      </c>
      <c r="R188" s="124" t="s">
        <v>107</v>
      </c>
      <c r="S188" s="124" t="s">
        <v>109</v>
      </c>
      <c r="T188" s="124" t="s">
        <v>171</v>
      </c>
      <c r="U188" s="124" t="s">
        <v>2149</v>
      </c>
      <c r="V188" s="124" t="s">
        <v>2141</v>
      </c>
      <c r="W188" s="124" t="s">
        <v>2151</v>
      </c>
      <c r="X188" s="124" t="s">
        <v>120</v>
      </c>
      <c r="Y188" s="128"/>
      <c r="Z188" s="124" t="s">
        <v>120</v>
      </c>
      <c r="AA188" s="128"/>
      <c r="AB188" s="124" t="s">
        <v>120</v>
      </c>
      <c r="AC188" s="124" t="s">
        <v>120</v>
      </c>
      <c r="AD188" s="128"/>
      <c r="AE188" s="124" t="s">
        <v>120</v>
      </c>
      <c r="AF188" s="128"/>
      <c r="AG188" s="124" t="s">
        <v>120</v>
      </c>
      <c r="AH188" s="128"/>
      <c r="AI188" s="124" t="s">
        <v>120</v>
      </c>
      <c r="AJ188" s="128"/>
      <c r="AK188" s="128"/>
      <c r="AL188" s="124" t="s">
        <v>185</v>
      </c>
      <c r="AM188" s="124" t="s">
        <v>129</v>
      </c>
      <c r="AN188" s="124" t="s">
        <v>124</v>
      </c>
      <c r="AO188" s="124" t="s">
        <v>141</v>
      </c>
      <c r="AP188" s="124"/>
    </row>
    <row r="189">
      <c r="A189" s="124" t="s">
        <v>2426</v>
      </c>
      <c r="B189" s="124" t="s">
        <v>2429</v>
      </c>
      <c r="C189" s="124" t="s">
        <v>2430</v>
      </c>
      <c r="D189" s="127">
        <v>41113.0</v>
      </c>
      <c r="E189" s="124" t="s">
        <v>98</v>
      </c>
      <c r="F189" s="124">
        <v>5.513384418E9</v>
      </c>
      <c r="G189" s="124" t="s">
        <v>2431</v>
      </c>
      <c r="H189" s="124" t="s">
        <v>101</v>
      </c>
      <c r="I189" s="124" t="s">
        <v>2434</v>
      </c>
      <c r="J189" s="124" t="s">
        <v>2436</v>
      </c>
      <c r="K189" s="124" t="s">
        <v>2437</v>
      </c>
      <c r="L189" s="124" t="s">
        <v>2438</v>
      </c>
      <c r="M189" s="128"/>
      <c r="N189" s="128"/>
      <c r="O189" s="128"/>
      <c r="P189" s="129">
        <v>13.0</v>
      </c>
      <c r="Q189" s="130">
        <v>46039.751909722225</v>
      </c>
      <c r="R189" s="124" t="s">
        <v>107</v>
      </c>
      <c r="S189" s="124" t="s">
        <v>109</v>
      </c>
      <c r="T189" s="124" t="s">
        <v>127</v>
      </c>
      <c r="U189" s="124" t="s">
        <v>672</v>
      </c>
      <c r="V189" s="124" t="s">
        <v>673</v>
      </c>
      <c r="W189" s="124" t="s">
        <v>674</v>
      </c>
      <c r="X189" s="124" t="s">
        <v>120</v>
      </c>
      <c r="Y189" s="128"/>
      <c r="Z189" s="124" t="s">
        <v>117</v>
      </c>
      <c r="AA189" s="124" t="s">
        <v>1525</v>
      </c>
      <c r="AB189" s="124" t="s">
        <v>120</v>
      </c>
      <c r="AC189" s="124" t="s">
        <v>120</v>
      </c>
      <c r="AD189" s="128"/>
      <c r="AE189" s="124" t="s">
        <v>117</v>
      </c>
      <c r="AF189" s="124" t="s">
        <v>2445</v>
      </c>
      <c r="AG189" s="124" t="s">
        <v>120</v>
      </c>
      <c r="AH189" s="128"/>
      <c r="AI189" s="124" t="s">
        <v>117</v>
      </c>
      <c r="AJ189" s="124" t="s">
        <v>2448</v>
      </c>
      <c r="AK189" s="128"/>
      <c r="AL189" s="124" t="s">
        <v>138</v>
      </c>
      <c r="AM189" s="124" t="s">
        <v>141</v>
      </c>
      <c r="AN189" s="124" t="s">
        <v>185</v>
      </c>
      <c r="AO189" s="124" t="s">
        <v>242</v>
      </c>
      <c r="AP189" s="124"/>
    </row>
    <row r="190">
      <c r="A190" s="124" t="s">
        <v>905</v>
      </c>
      <c r="B190" s="124" t="s">
        <v>906</v>
      </c>
      <c r="C190" s="124" t="s">
        <v>907</v>
      </c>
      <c r="D190" s="127">
        <v>40045.0</v>
      </c>
      <c r="E190" s="124" t="s">
        <v>98</v>
      </c>
      <c r="F190" s="124">
        <v>5.647754235E9</v>
      </c>
      <c r="G190" s="124" t="s">
        <v>911</v>
      </c>
      <c r="H190" s="124" t="s">
        <v>150</v>
      </c>
      <c r="I190" s="128"/>
      <c r="J190" s="124" t="s">
        <v>913</v>
      </c>
      <c r="K190" s="124" t="s">
        <v>914</v>
      </c>
      <c r="L190" s="124">
        <v>5.647753698E9</v>
      </c>
      <c r="M190" s="124" t="s">
        <v>915</v>
      </c>
      <c r="N190" s="124" t="s">
        <v>916</v>
      </c>
      <c r="O190" s="124">
        <v>5.584788686E9</v>
      </c>
      <c r="P190" s="129">
        <v>16.0</v>
      </c>
      <c r="Q190" s="130">
        <v>46020.79752314815</v>
      </c>
      <c r="R190" s="124" t="s">
        <v>107</v>
      </c>
      <c r="S190" s="124" t="s">
        <v>109</v>
      </c>
      <c r="T190" s="124" t="s">
        <v>204</v>
      </c>
      <c r="U190" s="124" t="s">
        <v>367</v>
      </c>
      <c r="V190" s="124" t="s">
        <v>368</v>
      </c>
      <c r="W190" s="124" t="s">
        <v>369</v>
      </c>
      <c r="X190" s="124" t="s">
        <v>117</v>
      </c>
      <c r="Y190" s="128"/>
      <c r="Z190" s="124" t="s">
        <v>117</v>
      </c>
      <c r="AA190" s="128"/>
      <c r="AB190" s="124" t="s">
        <v>117</v>
      </c>
      <c r="AC190" s="124" t="s">
        <v>117</v>
      </c>
      <c r="AD190" s="128"/>
      <c r="AE190" s="124" t="s">
        <v>117</v>
      </c>
      <c r="AF190" s="128"/>
      <c r="AG190" s="124" t="s">
        <v>117</v>
      </c>
      <c r="AH190" s="128"/>
      <c r="AI190" s="124" t="s">
        <v>117</v>
      </c>
      <c r="AJ190" s="128"/>
      <c r="AK190" s="128"/>
      <c r="AL190" s="124" t="s">
        <v>124</v>
      </c>
      <c r="AM190" s="124" t="s">
        <v>141</v>
      </c>
      <c r="AN190" s="124" t="s">
        <v>156</v>
      </c>
      <c r="AO190" s="124" t="s">
        <v>128</v>
      </c>
      <c r="AP190" s="124"/>
    </row>
    <row r="191">
      <c r="A191" s="124" t="s">
        <v>3416</v>
      </c>
      <c r="B191" s="124" t="s">
        <v>3417</v>
      </c>
      <c r="C191" s="124" t="s">
        <v>3418</v>
      </c>
      <c r="D191" s="127">
        <v>40535.0</v>
      </c>
      <c r="E191" s="124" t="s">
        <v>98</v>
      </c>
      <c r="F191" s="124">
        <v>5.573025278E9</v>
      </c>
      <c r="G191" s="124" t="s">
        <v>3419</v>
      </c>
      <c r="H191" s="124" t="s">
        <v>150</v>
      </c>
      <c r="I191" s="124" t="s">
        <v>3420</v>
      </c>
      <c r="J191" s="124" t="s">
        <v>3421</v>
      </c>
      <c r="K191" s="124" t="s">
        <v>3422</v>
      </c>
      <c r="L191" s="124">
        <v>5.588378632E9</v>
      </c>
      <c r="M191" s="124" t="s">
        <v>3423</v>
      </c>
      <c r="N191" s="124" t="s">
        <v>3424</v>
      </c>
      <c r="O191" s="124">
        <v>5.569902224E9</v>
      </c>
      <c r="P191" s="129">
        <v>15.0</v>
      </c>
      <c r="Q191" s="130">
        <v>46026.72869212963</v>
      </c>
      <c r="R191" s="124" t="s">
        <v>107</v>
      </c>
      <c r="S191" s="124" t="s">
        <v>109</v>
      </c>
      <c r="T191" s="124" t="s">
        <v>111</v>
      </c>
      <c r="U191" s="124" t="s">
        <v>2283</v>
      </c>
      <c r="V191" s="124" t="s">
        <v>2285</v>
      </c>
      <c r="W191" s="124" t="s">
        <v>2286</v>
      </c>
      <c r="X191" s="124" t="s">
        <v>120</v>
      </c>
      <c r="Y191" s="124" t="s">
        <v>2397</v>
      </c>
      <c r="Z191" s="124" t="s">
        <v>120</v>
      </c>
      <c r="AA191" s="124" t="s">
        <v>2397</v>
      </c>
      <c r="AB191" s="124" t="s">
        <v>120</v>
      </c>
      <c r="AC191" s="124" t="s">
        <v>120</v>
      </c>
      <c r="AD191" s="124" t="s">
        <v>2397</v>
      </c>
      <c r="AE191" s="124" t="s">
        <v>120</v>
      </c>
      <c r="AF191" s="124" t="s">
        <v>2397</v>
      </c>
      <c r="AG191" s="124" t="s">
        <v>120</v>
      </c>
      <c r="AH191" s="124" t="s">
        <v>2397</v>
      </c>
      <c r="AI191" s="124" t="s">
        <v>120</v>
      </c>
      <c r="AJ191" s="124" t="s">
        <v>2397</v>
      </c>
      <c r="AK191" s="124" t="s">
        <v>3425</v>
      </c>
      <c r="AL191" s="124" t="s">
        <v>156</v>
      </c>
      <c r="AM191" s="124" t="s">
        <v>240</v>
      </c>
      <c r="AN191" s="124" t="s">
        <v>216</v>
      </c>
      <c r="AO191" s="124" t="s">
        <v>138</v>
      </c>
      <c r="AP191" s="124"/>
    </row>
    <row r="192">
      <c r="A192" s="124" t="s">
        <v>1126</v>
      </c>
      <c r="B192" s="124" t="s">
        <v>3426</v>
      </c>
      <c r="C192" s="124" t="s">
        <v>3427</v>
      </c>
      <c r="D192" s="127">
        <v>40653.0</v>
      </c>
      <c r="E192" s="124" t="s">
        <v>98</v>
      </c>
      <c r="F192" s="124">
        <v>5.522529275E9</v>
      </c>
      <c r="G192" s="124" t="s">
        <v>3428</v>
      </c>
      <c r="H192" s="124" t="s">
        <v>140</v>
      </c>
      <c r="I192" s="128"/>
      <c r="J192" s="124" t="s">
        <v>3429</v>
      </c>
      <c r="K192" s="124" t="s">
        <v>3430</v>
      </c>
      <c r="L192" s="124">
        <v>5.545087029E9</v>
      </c>
      <c r="M192" s="128"/>
      <c r="N192" s="128"/>
      <c r="O192" s="128"/>
      <c r="P192" s="129">
        <v>14.0</v>
      </c>
      <c r="Q192" s="130">
        <v>46033.567395833335</v>
      </c>
      <c r="R192" s="124" t="s">
        <v>107</v>
      </c>
      <c r="S192" s="124" t="s">
        <v>109</v>
      </c>
      <c r="T192" s="124" t="s">
        <v>171</v>
      </c>
      <c r="U192" s="124" t="s">
        <v>262</v>
      </c>
      <c r="V192" s="124" t="s">
        <v>263</v>
      </c>
      <c r="W192" s="124" t="s">
        <v>264</v>
      </c>
      <c r="X192" s="124" t="s">
        <v>120</v>
      </c>
      <c r="Y192" s="128"/>
      <c r="Z192" s="124" t="s">
        <v>120</v>
      </c>
      <c r="AA192" s="128"/>
      <c r="AB192" s="124" t="s">
        <v>120</v>
      </c>
      <c r="AC192" s="128"/>
      <c r="AD192" s="128"/>
      <c r="AE192" s="124" t="s">
        <v>120</v>
      </c>
      <c r="AF192" s="128"/>
      <c r="AG192" s="124" t="s">
        <v>120</v>
      </c>
      <c r="AH192" s="128"/>
      <c r="AI192" s="124" t="s">
        <v>120</v>
      </c>
      <c r="AJ192" s="128"/>
      <c r="AK192" s="128"/>
      <c r="AL192" s="124" t="s">
        <v>126</v>
      </c>
      <c r="AM192" s="124" t="s">
        <v>156</v>
      </c>
      <c r="AN192" s="124" t="s">
        <v>124</v>
      </c>
      <c r="AO192" s="124" t="s">
        <v>129</v>
      </c>
      <c r="AP192" s="124"/>
    </row>
    <row r="193">
      <c r="A193" s="124" t="s">
        <v>1603</v>
      </c>
      <c r="B193" s="124" t="s">
        <v>1604</v>
      </c>
      <c r="C193" s="124" t="s">
        <v>1605</v>
      </c>
      <c r="D193" s="127">
        <v>39944.0</v>
      </c>
      <c r="E193" s="124" t="s">
        <v>177</v>
      </c>
      <c r="F193" s="124">
        <v>2.414197617E9</v>
      </c>
      <c r="G193" s="124" t="s">
        <v>1608</v>
      </c>
      <c r="H193" s="124" t="s">
        <v>101</v>
      </c>
      <c r="I193" s="124" t="s">
        <v>584</v>
      </c>
      <c r="J193" s="124" t="s">
        <v>1609</v>
      </c>
      <c r="K193" s="124" t="s">
        <v>1610</v>
      </c>
      <c r="L193" s="124">
        <v>5.537705539E9</v>
      </c>
      <c r="M193" s="128"/>
      <c r="N193" s="128"/>
      <c r="O193" s="128"/>
      <c r="P193" s="129">
        <v>16.0</v>
      </c>
      <c r="Q193" s="130">
        <v>46031.84113425926</v>
      </c>
      <c r="R193" s="124" t="s">
        <v>107</v>
      </c>
      <c r="S193" s="124" t="s">
        <v>109</v>
      </c>
      <c r="T193" s="124" t="s">
        <v>208</v>
      </c>
      <c r="U193" s="124" t="s">
        <v>228</v>
      </c>
      <c r="V193" s="124" t="s">
        <v>229</v>
      </c>
      <c r="W193" s="124" t="s">
        <v>230</v>
      </c>
      <c r="X193" s="124" t="s">
        <v>120</v>
      </c>
      <c r="Y193" s="124" t="s">
        <v>135</v>
      </c>
      <c r="Z193" s="124" t="s">
        <v>120</v>
      </c>
      <c r="AA193" s="124" t="s">
        <v>135</v>
      </c>
      <c r="AB193" s="124" t="s">
        <v>117</v>
      </c>
      <c r="AC193" s="124" t="s">
        <v>117</v>
      </c>
      <c r="AD193" s="124" t="s">
        <v>1620</v>
      </c>
      <c r="AE193" s="124" t="s">
        <v>120</v>
      </c>
      <c r="AF193" s="124" t="s">
        <v>135</v>
      </c>
      <c r="AG193" s="124" t="s">
        <v>120</v>
      </c>
      <c r="AH193" s="124" t="s">
        <v>135</v>
      </c>
      <c r="AI193" s="124" t="s">
        <v>120</v>
      </c>
      <c r="AJ193" s="124" t="s">
        <v>135</v>
      </c>
      <c r="AK193" s="124" t="s">
        <v>135</v>
      </c>
      <c r="AL193" s="124" t="s">
        <v>141</v>
      </c>
      <c r="AM193" s="124" t="s">
        <v>129</v>
      </c>
      <c r="AN193" s="124" t="s">
        <v>138</v>
      </c>
      <c r="AO193" s="124" t="s">
        <v>124</v>
      </c>
      <c r="AP193" s="124"/>
    </row>
    <row r="194">
      <c r="A194" s="124" t="s">
        <v>3431</v>
      </c>
      <c r="B194" s="124" t="s">
        <v>3432</v>
      </c>
      <c r="C194" s="124" t="s">
        <v>3433</v>
      </c>
      <c r="D194" s="127">
        <v>40513.0</v>
      </c>
      <c r="E194" s="124" t="s">
        <v>177</v>
      </c>
      <c r="F194" s="124">
        <v>5.562227856E9</v>
      </c>
      <c r="G194" s="124" t="s">
        <v>3434</v>
      </c>
      <c r="H194" s="124" t="s">
        <v>101</v>
      </c>
      <c r="I194" s="128"/>
      <c r="J194" s="124" t="s">
        <v>3435</v>
      </c>
      <c r="K194" s="124" t="s">
        <v>3436</v>
      </c>
      <c r="L194" s="124">
        <v>5.573857247E9</v>
      </c>
      <c r="M194" s="128"/>
      <c r="N194" s="128"/>
      <c r="O194" s="128"/>
      <c r="P194" s="129">
        <v>15.0</v>
      </c>
      <c r="Q194" s="130">
        <v>46040.893159722225</v>
      </c>
      <c r="R194" s="124" t="s">
        <v>107</v>
      </c>
      <c r="S194" s="124" t="s">
        <v>109</v>
      </c>
      <c r="T194" s="124" t="s">
        <v>192</v>
      </c>
      <c r="U194" s="124" t="s">
        <v>485</v>
      </c>
      <c r="V194" s="124" t="s">
        <v>486</v>
      </c>
      <c r="W194" s="124" t="s">
        <v>487</v>
      </c>
      <c r="X194" s="124" t="s">
        <v>120</v>
      </c>
      <c r="Y194" s="128"/>
      <c r="Z194" s="124" t="s">
        <v>120</v>
      </c>
      <c r="AA194" s="128"/>
      <c r="AB194" s="124" t="s">
        <v>120</v>
      </c>
      <c r="AC194" s="128"/>
      <c r="AD194" s="128"/>
      <c r="AE194" s="124" t="s">
        <v>120</v>
      </c>
      <c r="AF194" s="128"/>
      <c r="AG194" s="124" t="s">
        <v>120</v>
      </c>
      <c r="AH194" s="128"/>
      <c r="AI194" s="124" t="s">
        <v>120</v>
      </c>
      <c r="AJ194" s="128"/>
      <c r="AK194" s="128"/>
      <c r="AL194" s="124" t="s">
        <v>156</v>
      </c>
      <c r="AM194" s="124" t="s">
        <v>124</v>
      </c>
      <c r="AN194" s="124" t="s">
        <v>185</v>
      </c>
      <c r="AO194" s="124" t="s">
        <v>242</v>
      </c>
      <c r="AP194" s="124"/>
    </row>
    <row r="195">
      <c r="A195" s="124" t="s">
        <v>317</v>
      </c>
      <c r="B195" s="124" t="s">
        <v>318</v>
      </c>
      <c r="C195" s="128"/>
      <c r="D195" s="127">
        <v>40518.0</v>
      </c>
      <c r="E195" s="124" t="s">
        <v>177</v>
      </c>
      <c r="F195" s="124">
        <v>5.643224477E9</v>
      </c>
      <c r="G195" s="124" t="s">
        <v>319</v>
      </c>
      <c r="H195" s="124" t="s">
        <v>150</v>
      </c>
      <c r="I195" s="124" t="s">
        <v>320</v>
      </c>
      <c r="J195" s="124" t="s">
        <v>321</v>
      </c>
      <c r="K195" s="124" t="s">
        <v>323</v>
      </c>
      <c r="L195" s="124">
        <v>5.634693681E9</v>
      </c>
      <c r="M195" s="128"/>
      <c r="N195" s="128"/>
      <c r="O195" s="128"/>
      <c r="P195" s="129">
        <v>15.0</v>
      </c>
      <c r="Q195" s="130">
        <v>46033.474803240744</v>
      </c>
      <c r="R195" s="124" t="s">
        <v>107</v>
      </c>
      <c r="S195" s="124" t="s">
        <v>109</v>
      </c>
      <c r="T195" s="124" t="s">
        <v>160</v>
      </c>
      <c r="U195" s="124" t="s">
        <v>329</v>
      </c>
      <c r="V195" s="124" t="s">
        <v>331</v>
      </c>
      <c r="W195" s="124" t="s">
        <v>332</v>
      </c>
      <c r="X195" s="124" t="s">
        <v>117</v>
      </c>
      <c r="Y195" s="124" t="s">
        <v>320</v>
      </c>
      <c r="Z195" s="124" t="s">
        <v>117</v>
      </c>
      <c r="AA195" s="124" t="s">
        <v>333</v>
      </c>
      <c r="AB195" s="124" t="s">
        <v>117</v>
      </c>
      <c r="AC195" s="124" t="s">
        <v>117</v>
      </c>
      <c r="AD195" s="124" t="s">
        <v>334</v>
      </c>
      <c r="AE195" s="124" t="s">
        <v>117</v>
      </c>
      <c r="AF195" s="124" t="s">
        <v>335</v>
      </c>
      <c r="AG195" s="124" t="s">
        <v>120</v>
      </c>
      <c r="AH195" s="128"/>
      <c r="AI195" s="124" t="s">
        <v>120</v>
      </c>
      <c r="AJ195" s="128"/>
      <c r="AK195" s="124" t="s">
        <v>336</v>
      </c>
      <c r="AL195" s="124" t="s">
        <v>185</v>
      </c>
      <c r="AM195" s="124" t="s">
        <v>240</v>
      </c>
      <c r="AN195" s="124" t="s">
        <v>126</v>
      </c>
      <c r="AO195" s="124" t="s">
        <v>124</v>
      </c>
      <c r="AP195" s="124"/>
    </row>
    <row r="196">
      <c r="A196" s="124" t="s">
        <v>510</v>
      </c>
      <c r="B196" s="124" t="s">
        <v>512</v>
      </c>
      <c r="C196" s="124" t="s">
        <v>513</v>
      </c>
      <c r="D196" s="127">
        <v>40627.0</v>
      </c>
      <c r="E196" s="124" t="s">
        <v>98</v>
      </c>
      <c r="F196" s="124">
        <v>5.573406241E9</v>
      </c>
      <c r="G196" s="124" t="s">
        <v>514</v>
      </c>
      <c r="H196" s="124" t="s">
        <v>150</v>
      </c>
      <c r="I196" s="124" t="s">
        <v>516</v>
      </c>
      <c r="J196" s="124" t="s">
        <v>517</v>
      </c>
      <c r="K196" s="124" t="s">
        <v>519</v>
      </c>
      <c r="L196" s="124">
        <v>5.533352183E9</v>
      </c>
      <c r="M196" s="124" t="s">
        <v>521</v>
      </c>
      <c r="N196" s="124" t="s">
        <v>514</v>
      </c>
      <c r="O196" s="124">
        <v>5.573406241E9</v>
      </c>
      <c r="P196" s="129">
        <v>14.0</v>
      </c>
      <c r="Q196" s="130">
        <v>46037.452685185184</v>
      </c>
      <c r="R196" s="124" t="s">
        <v>107</v>
      </c>
      <c r="S196" s="124" t="s">
        <v>109</v>
      </c>
      <c r="T196" s="124" t="s">
        <v>171</v>
      </c>
      <c r="U196" s="124" t="s">
        <v>526</v>
      </c>
      <c r="V196" s="124" t="s">
        <v>527</v>
      </c>
      <c r="W196" s="124" t="s">
        <v>528</v>
      </c>
      <c r="X196" s="124" t="s">
        <v>117</v>
      </c>
      <c r="Y196" s="124" t="s">
        <v>529</v>
      </c>
      <c r="Z196" s="124" t="s">
        <v>117</v>
      </c>
      <c r="AA196" s="124" t="s">
        <v>3439</v>
      </c>
      <c r="AB196" s="124" t="s">
        <v>120</v>
      </c>
      <c r="AC196" s="128"/>
      <c r="AD196" s="128"/>
      <c r="AE196" s="124" t="s">
        <v>120</v>
      </c>
      <c r="AF196" s="128"/>
      <c r="AG196" s="124" t="s">
        <v>120</v>
      </c>
      <c r="AH196" s="128"/>
      <c r="AI196" s="124" t="s">
        <v>117</v>
      </c>
      <c r="AJ196" s="124" t="s">
        <v>536</v>
      </c>
      <c r="AK196" s="128"/>
      <c r="AL196" s="124" t="s">
        <v>156</v>
      </c>
      <c r="AM196" s="124" t="s">
        <v>126</v>
      </c>
      <c r="AN196" s="124" t="s">
        <v>129</v>
      </c>
      <c r="AO196" s="124" t="s">
        <v>124</v>
      </c>
      <c r="AP196" s="124"/>
    </row>
    <row r="197">
      <c r="A197" s="124" t="s">
        <v>2455</v>
      </c>
      <c r="B197" s="124" t="s">
        <v>2457</v>
      </c>
      <c r="C197" s="124" t="s">
        <v>2459</v>
      </c>
      <c r="D197" s="127">
        <v>40451.0</v>
      </c>
      <c r="E197" s="124" t="s">
        <v>177</v>
      </c>
      <c r="F197" s="124">
        <v>5.533930331E9</v>
      </c>
      <c r="G197" s="124" t="s">
        <v>2460</v>
      </c>
      <c r="H197" s="124" t="s">
        <v>382</v>
      </c>
      <c r="I197" s="124" t="s">
        <v>2461</v>
      </c>
      <c r="J197" s="124" t="s">
        <v>2462</v>
      </c>
      <c r="K197" s="124" t="s">
        <v>2463</v>
      </c>
      <c r="L197" s="124">
        <v>5.527316121E9</v>
      </c>
      <c r="M197" s="124" t="s">
        <v>2464</v>
      </c>
      <c r="N197" s="124" t="s">
        <v>2460</v>
      </c>
      <c r="O197" s="124">
        <v>5.533930331E9</v>
      </c>
      <c r="P197" s="129">
        <v>15.0</v>
      </c>
      <c r="Q197" s="130">
        <v>46032.40730324074</v>
      </c>
      <c r="R197" s="124" t="s">
        <v>107</v>
      </c>
      <c r="S197" s="124" t="s">
        <v>109</v>
      </c>
      <c r="T197" s="124" t="s">
        <v>160</v>
      </c>
      <c r="U197" s="124" t="s">
        <v>279</v>
      </c>
      <c r="V197" s="124" t="s">
        <v>280</v>
      </c>
      <c r="W197" s="124" t="s">
        <v>282</v>
      </c>
      <c r="X197" s="124" t="s">
        <v>120</v>
      </c>
      <c r="Y197" s="128"/>
      <c r="Z197" s="124" t="s">
        <v>120</v>
      </c>
      <c r="AA197" s="128"/>
      <c r="AB197" s="124" t="s">
        <v>120</v>
      </c>
      <c r="AC197" s="124" t="s">
        <v>120</v>
      </c>
      <c r="AD197" s="128"/>
      <c r="AE197" s="124" t="s">
        <v>117</v>
      </c>
      <c r="AF197" s="124" t="s">
        <v>366</v>
      </c>
      <c r="AG197" s="124" t="s">
        <v>120</v>
      </c>
      <c r="AH197" s="128"/>
      <c r="AI197" s="124" t="s">
        <v>120</v>
      </c>
      <c r="AJ197" s="128"/>
      <c r="AK197" s="128"/>
      <c r="AL197" s="124" t="s">
        <v>138</v>
      </c>
      <c r="AM197" s="124" t="s">
        <v>156</v>
      </c>
      <c r="AN197" s="124" t="s">
        <v>129</v>
      </c>
      <c r="AO197" s="124" t="s">
        <v>124</v>
      </c>
      <c r="AP197" s="124"/>
    </row>
    <row r="198">
      <c r="A198" s="124" t="s">
        <v>3440</v>
      </c>
      <c r="B198" s="124" t="s">
        <v>3441</v>
      </c>
      <c r="C198" s="128"/>
      <c r="D198" s="127">
        <v>40843.0</v>
      </c>
      <c r="E198" s="124" t="s">
        <v>98</v>
      </c>
      <c r="F198" s="124">
        <v>5.641782506E9</v>
      </c>
      <c r="G198" s="124" t="s">
        <v>3443</v>
      </c>
      <c r="H198" s="124" t="s">
        <v>150</v>
      </c>
      <c r="I198" s="128"/>
      <c r="J198" s="124" t="s">
        <v>3444</v>
      </c>
      <c r="K198" s="124" t="s">
        <v>3445</v>
      </c>
      <c r="L198" s="124">
        <v>5.561569832E9</v>
      </c>
      <c r="M198" s="128"/>
      <c r="N198" s="128"/>
      <c r="O198" s="128"/>
      <c r="P198" s="129">
        <v>14.0</v>
      </c>
      <c r="Q198" s="130">
        <v>46040.94788194444</v>
      </c>
      <c r="R198" s="124" t="s">
        <v>107</v>
      </c>
      <c r="S198" s="124" t="s">
        <v>109</v>
      </c>
      <c r="T198" s="124" t="s">
        <v>208</v>
      </c>
      <c r="U198" s="124" t="s">
        <v>1599</v>
      </c>
      <c r="V198" s="124" t="s">
        <v>1600</v>
      </c>
      <c r="W198" s="124" t="s">
        <v>1602</v>
      </c>
      <c r="X198" s="124" t="s">
        <v>120</v>
      </c>
      <c r="Y198" s="128"/>
      <c r="Z198" s="124" t="s">
        <v>120</v>
      </c>
      <c r="AA198" s="128"/>
      <c r="AB198" s="124" t="s">
        <v>120</v>
      </c>
      <c r="AC198" s="124" t="s">
        <v>120</v>
      </c>
      <c r="AD198" s="128"/>
      <c r="AE198" s="124" t="s">
        <v>120</v>
      </c>
      <c r="AF198" s="128"/>
      <c r="AG198" s="124" t="s">
        <v>120</v>
      </c>
      <c r="AH198" s="128"/>
      <c r="AI198" s="124" t="s">
        <v>120</v>
      </c>
      <c r="AJ198" s="128"/>
      <c r="AK198" s="128"/>
      <c r="AL198" s="124" t="s">
        <v>129</v>
      </c>
      <c r="AM198" s="124" t="s">
        <v>128</v>
      </c>
      <c r="AN198" s="124" t="s">
        <v>242</v>
      </c>
      <c r="AO198" s="124" t="s">
        <v>240</v>
      </c>
      <c r="AP198" s="124"/>
    </row>
    <row r="199">
      <c r="A199" s="124" t="s">
        <v>3446</v>
      </c>
      <c r="B199" s="124" t="s">
        <v>3447</v>
      </c>
      <c r="C199" s="124" t="s">
        <v>3448</v>
      </c>
      <c r="D199" s="127">
        <v>40018.0</v>
      </c>
      <c r="E199" s="124" t="s">
        <v>177</v>
      </c>
      <c r="F199" s="124">
        <v>5.516788766E9</v>
      </c>
      <c r="G199" s="124" t="s">
        <v>3449</v>
      </c>
      <c r="H199" s="124" t="s">
        <v>101</v>
      </c>
      <c r="I199" s="128"/>
      <c r="J199" s="124" t="s">
        <v>3450</v>
      </c>
      <c r="K199" s="124" t="s">
        <v>3451</v>
      </c>
      <c r="L199" s="124">
        <v>5.516788766E9</v>
      </c>
      <c r="M199" s="128"/>
      <c r="N199" s="128"/>
      <c r="O199" s="128"/>
      <c r="P199" s="129">
        <v>16.0</v>
      </c>
      <c r="Q199" s="130">
        <v>46040.6015162037</v>
      </c>
      <c r="R199" s="124" t="s">
        <v>107</v>
      </c>
      <c r="S199" s="124" t="s">
        <v>109</v>
      </c>
      <c r="T199" s="124" t="s">
        <v>192</v>
      </c>
      <c r="U199" s="124" t="s">
        <v>485</v>
      </c>
      <c r="V199" s="124" t="s">
        <v>486</v>
      </c>
      <c r="W199" s="124" t="s">
        <v>487</v>
      </c>
      <c r="X199" s="124" t="s">
        <v>120</v>
      </c>
      <c r="Y199" s="128"/>
      <c r="Z199" s="124" t="s">
        <v>120</v>
      </c>
      <c r="AA199" s="128"/>
      <c r="AB199" s="124" t="s">
        <v>120</v>
      </c>
      <c r="AC199" s="128"/>
      <c r="AD199" s="128"/>
      <c r="AE199" s="124" t="s">
        <v>120</v>
      </c>
      <c r="AF199" s="128"/>
      <c r="AG199" s="124" t="s">
        <v>120</v>
      </c>
      <c r="AH199" s="128"/>
      <c r="AI199" s="124" t="s">
        <v>120</v>
      </c>
      <c r="AJ199" s="128"/>
      <c r="AK199" s="128"/>
      <c r="AL199" s="124" t="s">
        <v>129</v>
      </c>
      <c r="AM199" s="124" t="s">
        <v>138</v>
      </c>
      <c r="AN199" s="124" t="s">
        <v>156</v>
      </c>
      <c r="AO199" s="124" t="s">
        <v>242</v>
      </c>
      <c r="AP199" s="124"/>
    </row>
    <row r="200">
      <c r="A200" s="124" t="s">
        <v>3452</v>
      </c>
      <c r="B200" s="124" t="s">
        <v>3453</v>
      </c>
      <c r="C200" s="124" t="s">
        <v>85</v>
      </c>
      <c r="D200" s="127">
        <v>40012.0</v>
      </c>
      <c r="E200" s="124" t="s">
        <v>177</v>
      </c>
      <c r="F200" s="124">
        <v>5.527761679E9</v>
      </c>
      <c r="G200" s="124" t="s">
        <v>3454</v>
      </c>
      <c r="H200" s="124" t="s">
        <v>150</v>
      </c>
      <c r="I200" s="128"/>
      <c r="J200" s="124" t="s">
        <v>3455</v>
      </c>
      <c r="K200" s="124" t="s">
        <v>3456</v>
      </c>
      <c r="L200" s="124">
        <v>5.528588083E9</v>
      </c>
      <c r="M200" s="124" t="s">
        <v>3457</v>
      </c>
      <c r="N200" s="124" t="s">
        <v>3458</v>
      </c>
      <c r="O200" s="124">
        <v>5.539736627E9</v>
      </c>
      <c r="P200" s="129">
        <v>16.0</v>
      </c>
      <c r="Q200" s="130">
        <v>46026.85826388889</v>
      </c>
      <c r="R200" s="124" t="s">
        <v>107</v>
      </c>
      <c r="S200" s="124" t="s">
        <v>109</v>
      </c>
      <c r="T200" s="124" t="s">
        <v>127</v>
      </c>
      <c r="U200" s="124" t="s">
        <v>234</v>
      </c>
      <c r="V200" s="124" t="s">
        <v>227</v>
      </c>
      <c r="W200" s="124" t="s">
        <v>236</v>
      </c>
      <c r="X200" s="124" t="s">
        <v>120</v>
      </c>
      <c r="Y200" s="128"/>
      <c r="Z200" s="124" t="s">
        <v>120</v>
      </c>
      <c r="AA200" s="128"/>
      <c r="AB200" s="124" t="s">
        <v>120</v>
      </c>
      <c r="AC200" s="128"/>
      <c r="AD200" s="128"/>
      <c r="AE200" s="124" t="s">
        <v>120</v>
      </c>
      <c r="AF200" s="128"/>
      <c r="AG200" s="124" t="s">
        <v>120</v>
      </c>
      <c r="AH200" s="128"/>
      <c r="AI200" s="124" t="s">
        <v>120</v>
      </c>
      <c r="AJ200" s="128"/>
      <c r="AK200" s="128"/>
      <c r="AL200" s="124" t="s">
        <v>240</v>
      </c>
      <c r="AM200" s="124" t="s">
        <v>128</v>
      </c>
      <c r="AN200" s="124" t="s">
        <v>156</v>
      </c>
      <c r="AO200" s="124" t="s">
        <v>216</v>
      </c>
      <c r="AP200" s="124"/>
    </row>
    <row r="201">
      <c r="A201" s="124" t="s">
        <v>349</v>
      </c>
      <c r="B201" s="124" t="s">
        <v>350</v>
      </c>
      <c r="C201" s="124" t="s">
        <v>352</v>
      </c>
      <c r="D201" s="127">
        <v>39963.0</v>
      </c>
      <c r="E201" s="124" t="s">
        <v>98</v>
      </c>
      <c r="F201" s="124">
        <v>5.531356656E9</v>
      </c>
      <c r="G201" s="124" t="s">
        <v>354</v>
      </c>
      <c r="H201" s="124" t="s">
        <v>101</v>
      </c>
      <c r="I201" s="124" t="s">
        <v>356</v>
      </c>
      <c r="J201" s="124" t="s">
        <v>358</v>
      </c>
      <c r="K201" s="124" t="s">
        <v>361</v>
      </c>
      <c r="L201" s="124">
        <v>5.512907122E9</v>
      </c>
      <c r="M201" s="128"/>
      <c r="N201" s="128"/>
      <c r="O201" s="128"/>
      <c r="P201" s="129">
        <v>16.0</v>
      </c>
      <c r="Q201" s="130">
        <v>46033.470613425925</v>
      </c>
      <c r="R201" s="124" t="s">
        <v>107</v>
      </c>
      <c r="S201" s="124" t="s">
        <v>109</v>
      </c>
      <c r="T201" s="124" t="s">
        <v>160</v>
      </c>
      <c r="U201" s="124" t="s">
        <v>329</v>
      </c>
      <c r="V201" s="124" t="s">
        <v>331</v>
      </c>
      <c r="W201" s="124" t="s">
        <v>332</v>
      </c>
      <c r="X201" s="124" t="s">
        <v>117</v>
      </c>
      <c r="Y201" s="124" t="s">
        <v>356</v>
      </c>
      <c r="Z201" s="124" t="s">
        <v>120</v>
      </c>
      <c r="AA201" s="128"/>
      <c r="AB201" s="124" t="s">
        <v>120</v>
      </c>
      <c r="AC201" s="128"/>
      <c r="AD201" s="128"/>
      <c r="AE201" s="124" t="s">
        <v>120</v>
      </c>
      <c r="AF201" s="128"/>
      <c r="AG201" s="124" t="s">
        <v>120</v>
      </c>
      <c r="AH201" s="128"/>
      <c r="AI201" s="124" t="s">
        <v>120</v>
      </c>
      <c r="AJ201" s="128"/>
      <c r="AK201" s="128"/>
      <c r="AL201" s="124" t="s">
        <v>185</v>
      </c>
      <c r="AM201" s="124" t="s">
        <v>240</v>
      </c>
      <c r="AN201" s="124" t="s">
        <v>128</v>
      </c>
      <c r="AO201" s="124" t="s">
        <v>124</v>
      </c>
      <c r="AP201" s="124"/>
    </row>
    <row r="202">
      <c r="A202" s="124" t="s">
        <v>370</v>
      </c>
      <c r="B202" s="124" t="s">
        <v>372</v>
      </c>
      <c r="C202" s="124" t="s">
        <v>374</v>
      </c>
      <c r="D202" s="127">
        <v>39834.0</v>
      </c>
      <c r="E202" s="124" t="s">
        <v>98</v>
      </c>
      <c r="F202" s="124" t="s">
        <v>378</v>
      </c>
      <c r="G202" s="124" t="s">
        <v>379</v>
      </c>
      <c r="H202" s="124" t="s">
        <v>382</v>
      </c>
      <c r="I202" s="124" t="s">
        <v>384</v>
      </c>
      <c r="J202" s="124" t="s">
        <v>385</v>
      </c>
      <c r="K202" s="124" t="s">
        <v>386</v>
      </c>
      <c r="L202" s="124">
        <v>5.580044851E9</v>
      </c>
      <c r="M202" s="124" t="s">
        <v>390</v>
      </c>
      <c r="N202" s="124" t="s">
        <v>393</v>
      </c>
      <c r="O202" s="124">
        <v>5.519776431E9</v>
      </c>
      <c r="P202" s="129">
        <v>17.0</v>
      </c>
      <c r="Q202" s="130">
        <v>46038.59107638889</v>
      </c>
      <c r="R202" s="124" t="s">
        <v>107</v>
      </c>
      <c r="S202" s="124" t="s">
        <v>109</v>
      </c>
      <c r="T202" s="124" t="s">
        <v>111</v>
      </c>
      <c r="U202" s="124" t="s">
        <v>398</v>
      </c>
      <c r="V202" s="124" t="s">
        <v>399</v>
      </c>
      <c r="W202" s="124" t="s">
        <v>400</v>
      </c>
      <c r="X202" s="124" t="s">
        <v>117</v>
      </c>
      <c r="Y202" s="124" t="s">
        <v>403</v>
      </c>
      <c r="Z202" s="124" t="s">
        <v>117</v>
      </c>
      <c r="AA202" s="124" t="s">
        <v>404</v>
      </c>
      <c r="AB202" s="124" t="s">
        <v>117</v>
      </c>
      <c r="AC202" s="124" t="s">
        <v>117</v>
      </c>
      <c r="AD202" s="124" t="s">
        <v>405</v>
      </c>
      <c r="AE202" s="124" t="s">
        <v>117</v>
      </c>
      <c r="AF202" s="124" t="s">
        <v>406</v>
      </c>
      <c r="AG202" s="124" t="s">
        <v>120</v>
      </c>
      <c r="AH202" s="128"/>
      <c r="AI202" s="124" t="s">
        <v>117</v>
      </c>
      <c r="AJ202" s="124" t="s">
        <v>410</v>
      </c>
      <c r="AK202" s="124" t="s">
        <v>411</v>
      </c>
      <c r="AL202" s="124" t="s">
        <v>138</v>
      </c>
      <c r="AM202" s="124" t="s">
        <v>126</v>
      </c>
      <c r="AN202" s="124" t="s">
        <v>185</v>
      </c>
      <c r="AO202" s="124" t="s">
        <v>156</v>
      </c>
      <c r="AP202" s="124"/>
    </row>
    <row r="203">
      <c r="A203" s="124" t="s">
        <v>2614</v>
      </c>
      <c r="B203" s="124" t="s">
        <v>2615</v>
      </c>
      <c r="C203" s="124" t="s">
        <v>2617</v>
      </c>
      <c r="D203" s="127">
        <v>40779.0</v>
      </c>
      <c r="E203" s="124" t="s">
        <v>98</v>
      </c>
      <c r="F203" s="124" t="s">
        <v>2619</v>
      </c>
      <c r="G203" s="124" t="s">
        <v>2622</v>
      </c>
      <c r="H203" s="124" t="s">
        <v>140</v>
      </c>
      <c r="I203" s="128"/>
      <c r="J203" s="124" t="s">
        <v>2624</v>
      </c>
      <c r="K203" s="124" t="s">
        <v>2625</v>
      </c>
      <c r="L203" s="124" t="s">
        <v>2628</v>
      </c>
      <c r="M203" s="128"/>
      <c r="N203" s="128"/>
      <c r="O203" s="128"/>
      <c r="P203" s="129">
        <v>14.0</v>
      </c>
      <c r="Q203" s="130">
        <v>46033.519791666666</v>
      </c>
      <c r="R203" s="124" t="s">
        <v>107</v>
      </c>
      <c r="S203" s="124" t="s">
        <v>109</v>
      </c>
      <c r="T203" s="124" t="s">
        <v>160</v>
      </c>
      <c r="U203" s="124" t="s">
        <v>1265</v>
      </c>
      <c r="V203" s="124" t="s">
        <v>1267</v>
      </c>
      <c r="W203" s="124" t="s">
        <v>1268</v>
      </c>
      <c r="X203" s="124" t="s">
        <v>120</v>
      </c>
      <c r="Y203" s="128"/>
      <c r="Z203" s="124" t="s">
        <v>120</v>
      </c>
      <c r="AA203" s="128"/>
      <c r="AB203" s="124" t="s">
        <v>120</v>
      </c>
      <c r="AC203" s="128"/>
      <c r="AD203" s="128"/>
      <c r="AE203" s="124" t="s">
        <v>120</v>
      </c>
      <c r="AF203" s="128"/>
      <c r="AG203" s="124" t="s">
        <v>117</v>
      </c>
      <c r="AH203" s="124" t="s">
        <v>2634</v>
      </c>
      <c r="AI203" s="124" t="s">
        <v>120</v>
      </c>
      <c r="AJ203" s="128"/>
      <c r="AK203" s="128"/>
      <c r="AL203" s="124" t="s">
        <v>141</v>
      </c>
      <c r="AM203" s="124" t="s">
        <v>242</v>
      </c>
      <c r="AN203" s="124" t="s">
        <v>156</v>
      </c>
      <c r="AO203" s="124" t="s">
        <v>124</v>
      </c>
      <c r="AP203" s="124"/>
    </row>
    <row r="204">
      <c r="A204" s="124" t="s">
        <v>3463</v>
      </c>
      <c r="B204" s="124" t="s">
        <v>3464</v>
      </c>
      <c r="C204" s="124" t="s">
        <v>3465</v>
      </c>
      <c r="D204" s="127">
        <v>39118.0</v>
      </c>
      <c r="E204" s="124" t="s">
        <v>177</v>
      </c>
      <c r="F204" s="124">
        <v>5.516932837E9</v>
      </c>
      <c r="G204" s="124" t="s">
        <v>3467</v>
      </c>
      <c r="H204" s="124" t="s">
        <v>101</v>
      </c>
      <c r="I204" s="128"/>
      <c r="J204" s="124" t="s">
        <v>3468</v>
      </c>
      <c r="K204" s="124" t="s">
        <v>3469</v>
      </c>
      <c r="L204" s="124">
        <v>5.560640527E9</v>
      </c>
      <c r="M204" s="128"/>
      <c r="N204" s="128"/>
      <c r="O204" s="128"/>
      <c r="P204" s="129">
        <v>19.0</v>
      </c>
      <c r="Q204" s="130">
        <v>46026.614328703705</v>
      </c>
      <c r="R204" s="124" t="s">
        <v>107</v>
      </c>
      <c r="S204" s="124" t="s">
        <v>125</v>
      </c>
      <c r="T204" s="124" t="s">
        <v>204</v>
      </c>
      <c r="U204" s="124" t="s">
        <v>367</v>
      </c>
      <c r="V204" s="124" t="s">
        <v>368</v>
      </c>
      <c r="W204" s="124" t="s">
        <v>369</v>
      </c>
      <c r="X204" s="124" t="s">
        <v>120</v>
      </c>
      <c r="Y204" s="128"/>
      <c r="Z204" s="124" t="s">
        <v>120</v>
      </c>
      <c r="AA204" s="128"/>
      <c r="AB204" s="124" t="s">
        <v>120</v>
      </c>
      <c r="AC204" s="124" t="s">
        <v>120</v>
      </c>
      <c r="AD204" s="128"/>
      <c r="AE204" s="124" t="s">
        <v>120</v>
      </c>
      <c r="AF204" s="128"/>
      <c r="AG204" s="124" t="s">
        <v>120</v>
      </c>
      <c r="AH204" s="128"/>
      <c r="AI204" s="124" t="s">
        <v>120</v>
      </c>
      <c r="AJ204" s="128"/>
      <c r="AK204" s="128"/>
      <c r="AL204" s="124" t="s">
        <v>185</v>
      </c>
      <c r="AM204" s="124" t="s">
        <v>126</v>
      </c>
      <c r="AN204" s="124" t="s">
        <v>138</v>
      </c>
      <c r="AO204" s="124" t="s">
        <v>242</v>
      </c>
      <c r="AP204" s="124"/>
    </row>
    <row r="205">
      <c r="A205" s="124" t="s">
        <v>473</v>
      </c>
      <c r="B205" s="124" t="s">
        <v>474</v>
      </c>
      <c r="C205" s="124" t="s">
        <v>477</v>
      </c>
      <c r="D205" s="127">
        <v>37067.0</v>
      </c>
      <c r="E205" s="124" t="s">
        <v>177</v>
      </c>
      <c r="F205" s="124">
        <v>5.573039966E9</v>
      </c>
      <c r="G205" s="124" t="s">
        <v>479</v>
      </c>
      <c r="H205" s="124" t="s">
        <v>101</v>
      </c>
      <c r="I205" s="128"/>
      <c r="J205" s="124" t="s">
        <v>482</v>
      </c>
      <c r="K205" s="124" t="s">
        <v>483</v>
      </c>
      <c r="L205" s="124" t="s">
        <v>484</v>
      </c>
      <c r="M205" s="128"/>
      <c r="N205" s="128"/>
      <c r="O205" s="128"/>
      <c r="P205" s="129">
        <v>24.0</v>
      </c>
      <c r="Q205" s="130">
        <v>46025.93729166667</v>
      </c>
      <c r="R205" s="124" t="s">
        <v>107</v>
      </c>
      <c r="S205" s="124" t="s">
        <v>125</v>
      </c>
      <c r="T205" s="124" t="s">
        <v>192</v>
      </c>
      <c r="U205" s="124" t="s">
        <v>485</v>
      </c>
      <c r="V205" s="124" t="s">
        <v>486</v>
      </c>
      <c r="W205" s="124" t="s">
        <v>487</v>
      </c>
      <c r="X205" s="124" t="s">
        <v>117</v>
      </c>
      <c r="Y205" s="128"/>
      <c r="Z205" s="124" t="s">
        <v>117</v>
      </c>
      <c r="AA205" s="128"/>
      <c r="AB205" s="124" t="s">
        <v>117</v>
      </c>
      <c r="AC205" s="124" t="s">
        <v>117</v>
      </c>
      <c r="AD205" s="128"/>
      <c r="AE205" s="124" t="s">
        <v>117</v>
      </c>
      <c r="AF205" s="128"/>
      <c r="AG205" s="124" t="s">
        <v>117</v>
      </c>
      <c r="AH205" s="128"/>
      <c r="AI205" s="124" t="s">
        <v>117</v>
      </c>
      <c r="AJ205" s="128"/>
      <c r="AK205" s="128"/>
      <c r="AL205" s="124" t="s">
        <v>185</v>
      </c>
      <c r="AM205" s="124" t="s">
        <v>240</v>
      </c>
      <c r="AN205" s="124" t="s">
        <v>216</v>
      </c>
      <c r="AO205" s="124" t="s">
        <v>242</v>
      </c>
      <c r="AP205" s="124"/>
    </row>
    <row r="206">
      <c r="A206" s="124" t="s">
        <v>3475</v>
      </c>
      <c r="B206" s="124" t="s">
        <v>3053</v>
      </c>
      <c r="C206" s="124" t="s">
        <v>3476</v>
      </c>
      <c r="D206" s="127">
        <v>40711.0</v>
      </c>
      <c r="E206" s="124" t="s">
        <v>177</v>
      </c>
      <c r="F206" s="128" t="str">
        <f>+52 56 4109 1648</f>
        <v>#ERROR!</v>
      </c>
      <c r="G206" s="124" t="s">
        <v>3478</v>
      </c>
      <c r="H206" s="124" t="s">
        <v>101</v>
      </c>
      <c r="I206" s="124" t="s">
        <v>1325</v>
      </c>
      <c r="J206" s="124" t="s">
        <v>3056</v>
      </c>
      <c r="K206" s="124" t="s">
        <v>3479</v>
      </c>
      <c r="L206" s="124">
        <v>5.637566732E9</v>
      </c>
      <c r="M206" s="124" t="s">
        <v>3059</v>
      </c>
      <c r="N206" s="124" t="s">
        <v>3057</v>
      </c>
      <c r="O206" s="124">
        <v>5.579959968E9</v>
      </c>
      <c r="P206" s="129">
        <v>14.0</v>
      </c>
      <c r="Q206" s="130">
        <v>46039.82163194445</v>
      </c>
      <c r="R206" s="124" t="s">
        <v>107</v>
      </c>
      <c r="S206" s="124" t="s">
        <v>109</v>
      </c>
      <c r="T206" s="124" t="s">
        <v>204</v>
      </c>
      <c r="U206" s="124" t="s">
        <v>367</v>
      </c>
      <c r="V206" s="124" t="s">
        <v>368</v>
      </c>
      <c r="W206" s="124" t="s">
        <v>369</v>
      </c>
      <c r="X206" s="124" t="s">
        <v>120</v>
      </c>
      <c r="Y206" s="128"/>
      <c r="Z206" s="124" t="s">
        <v>120</v>
      </c>
      <c r="AA206" s="128"/>
      <c r="AB206" s="124" t="s">
        <v>120</v>
      </c>
      <c r="AC206" s="128"/>
      <c r="AD206" s="128"/>
      <c r="AE206" s="124" t="s">
        <v>120</v>
      </c>
      <c r="AF206" s="128"/>
      <c r="AG206" s="124" t="s">
        <v>120</v>
      </c>
      <c r="AH206" s="128"/>
      <c r="AI206" s="124" t="s">
        <v>120</v>
      </c>
      <c r="AJ206" s="128"/>
      <c r="AK206" s="128"/>
      <c r="AL206" s="124" t="s">
        <v>240</v>
      </c>
      <c r="AM206" s="124" t="s">
        <v>128</v>
      </c>
      <c r="AN206" s="124" t="s">
        <v>156</v>
      </c>
      <c r="AO206" s="124" t="s">
        <v>185</v>
      </c>
      <c r="AP206" s="124"/>
    </row>
    <row r="207">
      <c r="A207" s="124" t="s">
        <v>3481</v>
      </c>
      <c r="B207" s="124" t="s">
        <v>3482</v>
      </c>
      <c r="C207" s="124" t="s">
        <v>3483</v>
      </c>
      <c r="D207" s="127">
        <v>41022.0</v>
      </c>
      <c r="E207" s="124" t="s">
        <v>177</v>
      </c>
      <c r="F207" s="124">
        <v>5.518897341E9</v>
      </c>
      <c r="G207" s="124" t="s">
        <v>3484</v>
      </c>
      <c r="H207" s="124" t="s">
        <v>110</v>
      </c>
      <c r="I207" s="124" t="s">
        <v>3485</v>
      </c>
      <c r="J207" s="124" t="s">
        <v>3486</v>
      </c>
      <c r="K207" s="124" t="s">
        <v>3487</v>
      </c>
      <c r="L207" s="124">
        <v>5.532925135E9</v>
      </c>
      <c r="M207" s="124" t="s">
        <v>3489</v>
      </c>
      <c r="N207" s="124" t="s">
        <v>3490</v>
      </c>
      <c r="O207" s="124">
        <v>5.518897341E9</v>
      </c>
      <c r="P207" s="129">
        <v>13.0</v>
      </c>
      <c r="Q207" s="130">
        <v>46031.557488425926</v>
      </c>
      <c r="R207" s="124" t="s">
        <v>107</v>
      </c>
      <c r="S207" s="124" t="s">
        <v>109</v>
      </c>
      <c r="T207" s="124" t="s">
        <v>127</v>
      </c>
      <c r="U207" s="124" t="s">
        <v>130</v>
      </c>
      <c r="V207" s="124" t="s">
        <v>131</v>
      </c>
      <c r="W207" s="124" t="s">
        <v>132</v>
      </c>
      <c r="X207" s="124" t="s">
        <v>120</v>
      </c>
      <c r="Y207" s="124" t="s">
        <v>1325</v>
      </c>
      <c r="Z207" s="124" t="s">
        <v>120</v>
      </c>
      <c r="AA207" s="124" t="s">
        <v>3491</v>
      </c>
      <c r="AB207" s="124" t="s">
        <v>120</v>
      </c>
      <c r="AC207" s="128"/>
      <c r="AD207" s="124" t="s">
        <v>1325</v>
      </c>
      <c r="AE207" s="124" t="s">
        <v>120</v>
      </c>
      <c r="AF207" s="124" t="s">
        <v>1325</v>
      </c>
      <c r="AG207" s="124" t="s">
        <v>120</v>
      </c>
      <c r="AH207" s="124" t="s">
        <v>1325</v>
      </c>
      <c r="AI207" s="124" t="s">
        <v>120</v>
      </c>
      <c r="AJ207" s="124" t="s">
        <v>1325</v>
      </c>
      <c r="AK207" s="124" t="s">
        <v>1325</v>
      </c>
      <c r="AL207" s="124" t="s">
        <v>141</v>
      </c>
      <c r="AM207" s="124" t="s">
        <v>240</v>
      </c>
      <c r="AN207" s="124" t="s">
        <v>126</v>
      </c>
      <c r="AO207" s="124" t="s">
        <v>242</v>
      </c>
      <c r="AP207" s="124"/>
    </row>
    <row r="208">
      <c r="A208" s="124" t="s">
        <v>3493</v>
      </c>
      <c r="B208" s="124" t="s">
        <v>995</v>
      </c>
      <c r="C208" s="124" t="s">
        <v>54</v>
      </c>
      <c r="D208" s="127">
        <v>40372.0</v>
      </c>
      <c r="E208" s="124" t="s">
        <v>177</v>
      </c>
      <c r="F208" s="124" t="s">
        <v>3495</v>
      </c>
      <c r="G208" s="124" t="s">
        <v>3496</v>
      </c>
      <c r="H208" s="124" t="s">
        <v>101</v>
      </c>
      <c r="I208" s="128"/>
      <c r="J208" s="124" t="s">
        <v>1004</v>
      </c>
      <c r="K208" s="124" t="s">
        <v>3496</v>
      </c>
      <c r="L208" s="124" t="s">
        <v>3495</v>
      </c>
      <c r="M208" s="128"/>
      <c r="N208" s="128"/>
      <c r="O208" s="128"/>
      <c r="P208" s="129">
        <v>15.0</v>
      </c>
      <c r="Q208" s="130">
        <v>46034.92427083333</v>
      </c>
      <c r="R208" s="124" t="s">
        <v>107</v>
      </c>
      <c r="S208" s="124" t="s">
        <v>109</v>
      </c>
      <c r="T208" s="124" t="s">
        <v>204</v>
      </c>
      <c r="U208" s="124" t="s">
        <v>699</v>
      </c>
      <c r="V208" s="124" t="s">
        <v>700</v>
      </c>
      <c r="W208" s="124" t="s">
        <v>702</v>
      </c>
      <c r="X208" s="124" t="s">
        <v>120</v>
      </c>
      <c r="Y208" s="128"/>
      <c r="Z208" s="124" t="s">
        <v>120</v>
      </c>
      <c r="AA208" s="128"/>
      <c r="AB208" s="124" t="s">
        <v>120</v>
      </c>
      <c r="AC208" s="124" t="s">
        <v>120</v>
      </c>
      <c r="AD208" s="128"/>
      <c r="AE208" s="124" t="s">
        <v>120</v>
      </c>
      <c r="AF208" s="128"/>
      <c r="AG208" s="124" t="s">
        <v>120</v>
      </c>
      <c r="AH208" s="128"/>
      <c r="AI208" s="124" t="s">
        <v>120</v>
      </c>
      <c r="AJ208" s="128"/>
      <c r="AK208" s="124" t="s">
        <v>135</v>
      </c>
      <c r="AL208" s="124" t="s">
        <v>138</v>
      </c>
      <c r="AM208" s="124" t="s">
        <v>216</v>
      </c>
      <c r="AN208" s="124" t="s">
        <v>185</v>
      </c>
      <c r="AO208" s="124" t="s">
        <v>124</v>
      </c>
      <c r="AP208" s="124"/>
    </row>
    <row r="209">
      <c r="A209" s="124" t="s">
        <v>3500</v>
      </c>
      <c r="B209" s="124" t="s">
        <v>3501</v>
      </c>
      <c r="C209" s="124" t="s">
        <v>3502</v>
      </c>
      <c r="D209" s="127">
        <v>39518.0</v>
      </c>
      <c r="E209" s="124" t="s">
        <v>177</v>
      </c>
      <c r="F209" s="124">
        <v>5.532066305E9</v>
      </c>
      <c r="G209" s="124" t="s">
        <v>3503</v>
      </c>
      <c r="H209" s="124" t="s">
        <v>101</v>
      </c>
      <c r="I209" s="124" t="s">
        <v>1325</v>
      </c>
      <c r="J209" s="124" t="s">
        <v>3504</v>
      </c>
      <c r="K209" s="124" t="s">
        <v>3505</v>
      </c>
      <c r="L209" s="124">
        <v>5.617868282E9</v>
      </c>
      <c r="M209" s="128"/>
      <c r="N209" s="128"/>
      <c r="O209" s="128"/>
      <c r="P209" s="129">
        <v>17.0</v>
      </c>
      <c r="Q209" s="130">
        <v>46040.785995370374</v>
      </c>
      <c r="R209" s="124" t="s">
        <v>107</v>
      </c>
      <c r="S209" s="124" t="s">
        <v>109</v>
      </c>
      <c r="T209" s="124" t="s">
        <v>111</v>
      </c>
      <c r="U209" s="124" t="s">
        <v>398</v>
      </c>
      <c r="V209" s="124" t="s">
        <v>399</v>
      </c>
      <c r="W209" s="124" t="s">
        <v>400</v>
      </c>
      <c r="X209" s="124" t="s">
        <v>120</v>
      </c>
      <c r="Y209" s="128"/>
      <c r="Z209" s="124" t="s">
        <v>120</v>
      </c>
      <c r="AA209" s="128"/>
      <c r="AB209" s="124" t="s">
        <v>120</v>
      </c>
      <c r="AC209" s="128"/>
      <c r="AD209" s="128"/>
      <c r="AE209" s="124" t="s">
        <v>120</v>
      </c>
      <c r="AF209" s="128"/>
      <c r="AG209" s="124" t="s">
        <v>120</v>
      </c>
      <c r="AH209" s="128"/>
      <c r="AI209" s="124" t="s">
        <v>120</v>
      </c>
      <c r="AJ209" s="128"/>
      <c r="AK209" s="128"/>
      <c r="AL209" s="124" t="s">
        <v>128</v>
      </c>
      <c r="AM209" s="124" t="s">
        <v>216</v>
      </c>
      <c r="AN209" s="124" t="s">
        <v>129</v>
      </c>
      <c r="AO209" s="124" t="s">
        <v>141</v>
      </c>
      <c r="AP209" s="124"/>
    </row>
    <row r="210">
      <c r="A210" s="124" t="s">
        <v>3506</v>
      </c>
      <c r="B210" s="124" t="s">
        <v>3507</v>
      </c>
      <c r="C210" s="124" t="s">
        <v>3508</v>
      </c>
      <c r="D210" s="127">
        <v>40877.0</v>
      </c>
      <c r="E210" s="124" t="s">
        <v>98</v>
      </c>
      <c r="F210" s="124">
        <v>5.636121083E9</v>
      </c>
      <c r="G210" s="124" t="s">
        <v>3509</v>
      </c>
      <c r="H210" s="124" t="s">
        <v>101</v>
      </c>
      <c r="I210" s="124" t="s">
        <v>3510</v>
      </c>
      <c r="J210" s="124" t="s">
        <v>3511</v>
      </c>
      <c r="K210" s="124" t="s">
        <v>3512</v>
      </c>
      <c r="L210" s="124">
        <v>5.534575712E9</v>
      </c>
      <c r="M210" s="128"/>
      <c r="N210" s="128"/>
      <c r="O210" s="128"/>
      <c r="P210" s="129">
        <v>14.0</v>
      </c>
      <c r="Q210" s="130">
        <v>46033.8999537037</v>
      </c>
      <c r="R210" s="124" t="s">
        <v>107</v>
      </c>
      <c r="S210" s="124" t="s">
        <v>109</v>
      </c>
      <c r="T210" s="124" t="s">
        <v>192</v>
      </c>
      <c r="U210" s="124" t="s">
        <v>195</v>
      </c>
      <c r="V210" s="124" t="s">
        <v>198</v>
      </c>
      <c r="W210" s="124" t="s">
        <v>200</v>
      </c>
      <c r="X210" s="124" t="s">
        <v>120</v>
      </c>
      <c r="Y210" s="128"/>
      <c r="Z210" s="124" t="s">
        <v>120</v>
      </c>
      <c r="AA210" s="128"/>
      <c r="AB210" s="124" t="s">
        <v>120</v>
      </c>
      <c r="AC210" s="128"/>
      <c r="AD210" s="128"/>
      <c r="AE210" s="124" t="s">
        <v>120</v>
      </c>
      <c r="AF210" s="128"/>
      <c r="AG210" s="124" t="s">
        <v>120</v>
      </c>
      <c r="AH210" s="128"/>
      <c r="AI210" s="124" t="s">
        <v>120</v>
      </c>
      <c r="AJ210" s="128"/>
      <c r="AK210" s="128"/>
      <c r="AL210" s="124" t="s">
        <v>216</v>
      </c>
      <c r="AM210" s="124" t="s">
        <v>138</v>
      </c>
      <c r="AN210" s="124" t="s">
        <v>185</v>
      </c>
      <c r="AO210" s="124" t="s">
        <v>128</v>
      </c>
      <c r="AP210" s="124"/>
    </row>
    <row r="211">
      <c r="A211" s="124" t="s">
        <v>614</v>
      </c>
      <c r="B211" s="124" t="s">
        <v>615</v>
      </c>
      <c r="C211" s="124" t="s">
        <v>616</v>
      </c>
      <c r="D211" s="127">
        <v>37014.0</v>
      </c>
      <c r="E211" s="124" t="s">
        <v>98</v>
      </c>
      <c r="F211" s="124">
        <v>6.421390494E9</v>
      </c>
      <c r="G211" s="124" t="s">
        <v>617</v>
      </c>
      <c r="H211" s="124" t="s">
        <v>110</v>
      </c>
      <c r="I211" s="124" t="s">
        <v>618</v>
      </c>
      <c r="J211" s="124" t="s">
        <v>619</v>
      </c>
      <c r="K211" s="124" t="s">
        <v>621</v>
      </c>
      <c r="L211" s="124">
        <v>6.421374424E9</v>
      </c>
      <c r="M211" s="124" t="s">
        <v>626</v>
      </c>
      <c r="N211" s="124" t="s">
        <v>628</v>
      </c>
      <c r="O211" s="124">
        <v>6.424287151E9</v>
      </c>
      <c r="P211" s="129">
        <v>24.0</v>
      </c>
      <c r="Q211" s="130">
        <v>45970.57938657407</v>
      </c>
      <c r="R211" s="124" t="s">
        <v>546</v>
      </c>
      <c r="S211" s="124" t="s">
        <v>125</v>
      </c>
      <c r="T211" s="124" t="s">
        <v>634</v>
      </c>
      <c r="U211" s="124" t="s">
        <v>635</v>
      </c>
      <c r="V211" s="124" t="s">
        <v>637</v>
      </c>
      <c r="W211" s="124" t="s">
        <v>640</v>
      </c>
      <c r="X211" s="124" t="s">
        <v>120</v>
      </c>
      <c r="Y211" s="128"/>
      <c r="Z211" s="124" t="s">
        <v>120</v>
      </c>
      <c r="AA211" s="128"/>
      <c r="AB211" s="124" t="s">
        <v>117</v>
      </c>
      <c r="AC211" s="124" t="s">
        <v>117</v>
      </c>
      <c r="AD211" s="124" t="s">
        <v>643</v>
      </c>
      <c r="AE211" s="124" t="s">
        <v>120</v>
      </c>
      <c r="AF211" s="128"/>
      <c r="AG211" s="124" t="s">
        <v>120</v>
      </c>
      <c r="AH211" s="128"/>
      <c r="AI211" s="124" t="s">
        <v>117</v>
      </c>
      <c r="AJ211" s="124" t="s">
        <v>644</v>
      </c>
      <c r="AK211" s="128"/>
      <c r="AL211" s="124" t="s">
        <v>138</v>
      </c>
      <c r="AM211" s="124" t="s">
        <v>242</v>
      </c>
      <c r="AN211" s="124" t="s">
        <v>124</v>
      </c>
      <c r="AO211" s="124" t="s">
        <v>141</v>
      </c>
      <c r="AP211" s="124"/>
    </row>
    <row r="212">
      <c r="A212" s="124" t="s">
        <v>3513</v>
      </c>
      <c r="B212" s="124" t="s">
        <v>3514</v>
      </c>
      <c r="C212" s="124" t="s">
        <v>3515</v>
      </c>
      <c r="D212" s="127">
        <v>40958.0</v>
      </c>
      <c r="E212" s="124" t="s">
        <v>177</v>
      </c>
      <c r="F212" s="124">
        <v>5.54872999E9</v>
      </c>
      <c r="G212" s="124" t="s">
        <v>3516</v>
      </c>
      <c r="H212" s="124" t="s">
        <v>150</v>
      </c>
      <c r="I212" s="128"/>
      <c r="J212" s="124" t="s">
        <v>3517</v>
      </c>
      <c r="K212" s="124" t="s">
        <v>3516</v>
      </c>
      <c r="L212" s="124">
        <v>5.560625463E9</v>
      </c>
      <c r="M212" s="128"/>
      <c r="N212" s="128"/>
      <c r="O212" s="128"/>
      <c r="P212" s="129">
        <v>14.0</v>
      </c>
      <c r="Q212" s="130">
        <v>46040.4659837963</v>
      </c>
      <c r="R212" s="124" t="s">
        <v>107</v>
      </c>
      <c r="S212" s="124" t="s">
        <v>109</v>
      </c>
      <c r="T212" s="124" t="s">
        <v>160</v>
      </c>
      <c r="U212" s="124" t="s">
        <v>308</v>
      </c>
      <c r="V212" s="124" t="s">
        <v>309</v>
      </c>
      <c r="W212" s="124" t="s">
        <v>310</v>
      </c>
      <c r="X212" s="124" t="s">
        <v>120</v>
      </c>
      <c r="Y212" s="128"/>
      <c r="Z212" s="124" t="s">
        <v>120</v>
      </c>
      <c r="AA212" s="128"/>
      <c r="AB212" s="124" t="s">
        <v>120</v>
      </c>
      <c r="AC212" s="124" t="s">
        <v>120</v>
      </c>
      <c r="AD212" s="128"/>
      <c r="AE212" s="124" t="s">
        <v>120</v>
      </c>
      <c r="AF212" s="128"/>
      <c r="AG212" s="124" t="s">
        <v>120</v>
      </c>
      <c r="AH212" s="128"/>
      <c r="AI212" s="124" t="s">
        <v>120</v>
      </c>
      <c r="AJ212" s="128"/>
      <c r="AK212" s="128"/>
      <c r="AL212" s="124" t="s">
        <v>124</v>
      </c>
      <c r="AM212" s="124" t="s">
        <v>156</v>
      </c>
      <c r="AN212" s="124" t="s">
        <v>242</v>
      </c>
      <c r="AO212" s="124" t="s">
        <v>240</v>
      </c>
      <c r="AP212" s="124"/>
    </row>
    <row r="213">
      <c r="A213" s="124" t="s">
        <v>3518</v>
      </c>
      <c r="B213" s="124" t="s">
        <v>3519</v>
      </c>
      <c r="C213" s="124" t="s">
        <v>3520</v>
      </c>
      <c r="D213" s="127">
        <v>40459.0</v>
      </c>
      <c r="E213" s="124" t="s">
        <v>177</v>
      </c>
      <c r="F213" s="124">
        <v>5.519360259E9</v>
      </c>
      <c r="G213" s="124" t="s">
        <v>3521</v>
      </c>
      <c r="H213" s="124" t="s">
        <v>101</v>
      </c>
      <c r="I213" s="124" t="s">
        <v>3522</v>
      </c>
      <c r="J213" s="124" t="s">
        <v>3523</v>
      </c>
      <c r="K213" s="124" t="s">
        <v>3524</v>
      </c>
      <c r="L213" s="124">
        <v>5.552172847E9</v>
      </c>
      <c r="M213" s="128"/>
      <c r="N213" s="128"/>
      <c r="O213" s="128"/>
      <c r="P213" s="129">
        <v>15.0</v>
      </c>
      <c r="Q213" s="130">
        <v>46038.66605324074</v>
      </c>
      <c r="R213" s="124" t="s">
        <v>107</v>
      </c>
      <c r="S213" s="124" t="s">
        <v>109</v>
      </c>
      <c r="T213" s="124" t="s">
        <v>171</v>
      </c>
      <c r="U213" s="124" t="s">
        <v>388</v>
      </c>
      <c r="V213" s="124" t="s">
        <v>389</v>
      </c>
      <c r="W213" s="124" t="s">
        <v>392</v>
      </c>
      <c r="X213" s="124" t="s">
        <v>120</v>
      </c>
      <c r="Y213" s="128"/>
      <c r="Z213" s="124" t="s">
        <v>120</v>
      </c>
      <c r="AA213" s="128"/>
      <c r="AB213" s="124" t="s">
        <v>120</v>
      </c>
      <c r="AC213" s="128"/>
      <c r="AD213" s="128"/>
      <c r="AE213" s="124" t="s">
        <v>120</v>
      </c>
      <c r="AF213" s="128"/>
      <c r="AG213" s="124" t="s">
        <v>120</v>
      </c>
      <c r="AH213" s="128"/>
      <c r="AI213" s="124" t="s">
        <v>120</v>
      </c>
      <c r="AJ213" s="128"/>
      <c r="AK213" s="128"/>
      <c r="AL213" s="124" t="s">
        <v>126</v>
      </c>
      <c r="AM213" s="124" t="s">
        <v>240</v>
      </c>
      <c r="AN213" s="124" t="s">
        <v>138</v>
      </c>
      <c r="AO213" s="124" t="s">
        <v>216</v>
      </c>
      <c r="AP213" s="124"/>
    </row>
    <row r="214">
      <c r="A214" s="124" t="s">
        <v>3525</v>
      </c>
      <c r="B214" s="124" t="s">
        <v>3526</v>
      </c>
      <c r="C214" s="124" t="s">
        <v>3527</v>
      </c>
      <c r="D214" s="127">
        <v>40884.0</v>
      </c>
      <c r="E214" s="124" t="s">
        <v>177</v>
      </c>
      <c r="F214" s="124">
        <v>5.539894502E9</v>
      </c>
      <c r="G214" s="124" t="s">
        <v>3528</v>
      </c>
      <c r="H214" s="124" t="s">
        <v>101</v>
      </c>
      <c r="I214" s="128"/>
      <c r="J214" s="124" t="s">
        <v>3529</v>
      </c>
      <c r="K214" s="124" t="s">
        <v>3530</v>
      </c>
      <c r="L214" s="124">
        <v>5.566295204E9</v>
      </c>
      <c r="M214" s="128"/>
      <c r="N214" s="128"/>
      <c r="O214" s="128"/>
      <c r="P214" s="129">
        <v>14.0</v>
      </c>
      <c r="Q214" s="130">
        <v>46034.50450231481</v>
      </c>
      <c r="R214" s="124" t="s">
        <v>107</v>
      </c>
      <c r="S214" s="124" t="s">
        <v>109</v>
      </c>
      <c r="T214" s="124" t="s">
        <v>171</v>
      </c>
      <c r="U214" s="124" t="s">
        <v>638</v>
      </c>
      <c r="V214" s="124" t="s">
        <v>639</v>
      </c>
      <c r="W214" s="124" t="s">
        <v>641</v>
      </c>
      <c r="X214" s="124" t="s">
        <v>120</v>
      </c>
      <c r="Y214" s="128"/>
      <c r="Z214" s="124" t="s">
        <v>120</v>
      </c>
      <c r="AA214" s="128"/>
      <c r="AB214" s="124" t="s">
        <v>120</v>
      </c>
      <c r="AC214" s="128"/>
      <c r="AD214" s="128"/>
      <c r="AE214" s="124" t="s">
        <v>120</v>
      </c>
      <c r="AF214" s="128"/>
      <c r="AG214" s="124" t="s">
        <v>120</v>
      </c>
      <c r="AH214" s="128"/>
      <c r="AI214" s="124" t="s">
        <v>120</v>
      </c>
      <c r="AJ214" s="128"/>
      <c r="AK214" s="128"/>
      <c r="AL214" s="124" t="s">
        <v>141</v>
      </c>
      <c r="AM214" s="124" t="s">
        <v>242</v>
      </c>
      <c r="AN214" s="124" t="s">
        <v>156</v>
      </c>
      <c r="AO214" s="124" t="s">
        <v>185</v>
      </c>
      <c r="AP214" s="124"/>
    </row>
    <row r="215">
      <c r="A215" s="124" t="s">
        <v>3531</v>
      </c>
      <c r="B215" s="124" t="s">
        <v>3532</v>
      </c>
      <c r="C215" s="124" t="s">
        <v>3533</v>
      </c>
      <c r="D215" s="127">
        <v>39932.0</v>
      </c>
      <c r="E215" s="124" t="s">
        <v>98</v>
      </c>
      <c r="F215" s="124">
        <v>5.57837241E9</v>
      </c>
      <c r="G215" s="124" t="s">
        <v>3534</v>
      </c>
      <c r="H215" s="124" t="s">
        <v>101</v>
      </c>
      <c r="I215" s="128"/>
      <c r="J215" s="124" t="s">
        <v>3535</v>
      </c>
      <c r="K215" s="124" t="s">
        <v>3536</v>
      </c>
      <c r="L215" s="124">
        <v>5.664674828E9</v>
      </c>
      <c r="M215" s="128"/>
      <c r="N215" s="128"/>
      <c r="O215" s="128"/>
      <c r="P215" s="129">
        <v>16.0</v>
      </c>
      <c r="Q215" s="130">
        <v>46037.81328703704</v>
      </c>
      <c r="R215" s="124" t="s">
        <v>107</v>
      </c>
      <c r="S215" s="124" t="s">
        <v>109</v>
      </c>
      <c r="T215" s="124" t="s">
        <v>160</v>
      </c>
      <c r="U215" s="124" t="s">
        <v>161</v>
      </c>
      <c r="V215" s="124" t="s">
        <v>163</v>
      </c>
      <c r="W215" s="124" t="s">
        <v>165</v>
      </c>
      <c r="X215" s="124" t="s">
        <v>120</v>
      </c>
      <c r="Y215" s="128"/>
      <c r="Z215" s="124" t="s">
        <v>120</v>
      </c>
      <c r="AA215" s="128"/>
      <c r="AB215" s="124" t="s">
        <v>120</v>
      </c>
      <c r="AC215" s="124" t="s">
        <v>120</v>
      </c>
      <c r="AD215" s="128"/>
      <c r="AE215" s="124" t="s">
        <v>120</v>
      </c>
      <c r="AF215" s="128"/>
      <c r="AG215" s="124" t="s">
        <v>120</v>
      </c>
      <c r="AH215" s="128"/>
      <c r="AI215" s="124" t="s">
        <v>120</v>
      </c>
      <c r="AJ215" s="128"/>
      <c r="AK215" s="128"/>
      <c r="AL215" s="124" t="s">
        <v>126</v>
      </c>
      <c r="AM215" s="124" t="s">
        <v>126</v>
      </c>
      <c r="AN215" s="124" t="s">
        <v>124</v>
      </c>
      <c r="AO215" s="124" t="s">
        <v>185</v>
      </c>
      <c r="AP215" s="124"/>
    </row>
    <row r="216">
      <c r="A216" s="124" t="s">
        <v>1240</v>
      </c>
      <c r="B216" s="124" t="s">
        <v>1241</v>
      </c>
      <c r="C216" s="124" t="s">
        <v>1242</v>
      </c>
      <c r="D216" s="127">
        <v>38891.0</v>
      </c>
      <c r="E216" s="124" t="s">
        <v>177</v>
      </c>
      <c r="F216" s="124">
        <v>7.343305539E9</v>
      </c>
      <c r="G216" s="124" t="s">
        <v>1244</v>
      </c>
      <c r="H216" s="124" t="s">
        <v>101</v>
      </c>
      <c r="I216" s="124" t="s">
        <v>135</v>
      </c>
      <c r="J216" s="124" t="s">
        <v>1246</v>
      </c>
      <c r="K216" s="124" t="s">
        <v>1248</v>
      </c>
      <c r="L216" s="124">
        <v>7.774449065E9</v>
      </c>
      <c r="M216" s="128"/>
      <c r="N216" s="128"/>
      <c r="O216" s="128"/>
      <c r="P216" s="129">
        <v>19.0</v>
      </c>
      <c r="Q216" s="130">
        <v>46040.95711805556</v>
      </c>
      <c r="R216" s="124" t="s">
        <v>260</v>
      </c>
      <c r="S216" s="124" t="s">
        <v>125</v>
      </c>
      <c r="T216" s="124" t="s">
        <v>1022</v>
      </c>
      <c r="U216" s="124" t="s">
        <v>1254</v>
      </c>
      <c r="V216" s="124" t="s">
        <v>1255</v>
      </c>
      <c r="W216" s="124" t="s">
        <v>1256</v>
      </c>
      <c r="X216" s="124" t="s">
        <v>120</v>
      </c>
      <c r="Y216" s="128"/>
      <c r="Z216" s="124" t="s">
        <v>117</v>
      </c>
      <c r="AA216" s="124" t="s">
        <v>285</v>
      </c>
      <c r="AB216" s="124" t="s">
        <v>120</v>
      </c>
      <c r="AC216" s="128"/>
      <c r="AD216" s="124" t="s">
        <v>135</v>
      </c>
      <c r="AE216" s="124" t="s">
        <v>120</v>
      </c>
      <c r="AF216" s="128"/>
      <c r="AG216" s="124" t="s">
        <v>120</v>
      </c>
      <c r="AH216" s="128"/>
      <c r="AI216" s="124" t="s">
        <v>120</v>
      </c>
      <c r="AJ216" s="128"/>
      <c r="AK216" s="128"/>
      <c r="AL216" s="124" t="s">
        <v>129</v>
      </c>
      <c r="AM216" s="124" t="s">
        <v>138</v>
      </c>
      <c r="AN216" s="124" t="s">
        <v>138</v>
      </c>
      <c r="AO216" s="124" t="s">
        <v>128</v>
      </c>
      <c r="AP216" s="124"/>
    </row>
    <row r="217">
      <c r="A217" s="124" t="s">
        <v>3537</v>
      </c>
      <c r="B217" s="124" t="s">
        <v>3538</v>
      </c>
      <c r="C217" s="124" t="s">
        <v>3539</v>
      </c>
      <c r="D217" s="127">
        <v>40596.0</v>
      </c>
      <c r="E217" s="124" t="s">
        <v>177</v>
      </c>
      <c r="F217" s="124">
        <v>7.261845066E9</v>
      </c>
      <c r="G217" s="124" t="s">
        <v>3540</v>
      </c>
      <c r="H217" s="124" t="s">
        <v>101</v>
      </c>
      <c r="I217" s="128"/>
      <c r="J217" s="124" t="s">
        <v>3541</v>
      </c>
      <c r="K217" s="124" t="s">
        <v>3542</v>
      </c>
      <c r="L217" s="124">
        <v>5.526838379E9</v>
      </c>
      <c r="M217" s="128"/>
      <c r="N217" s="128"/>
      <c r="O217" s="128"/>
      <c r="P217" s="129">
        <v>15.0</v>
      </c>
      <c r="Q217" s="130">
        <v>46034.54033564815</v>
      </c>
      <c r="R217" s="124" t="s">
        <v>107</v>
      </c>
      <c r="S217" s="124" t="s">
        <v>109</v>
      </c>
      <c r="T217" s="124" t="s">
        <v>171</v>
      </c>
      <c r="U217" s="124" t="s">
        <v>638</v>
      </c>
      <c r="V217" s="124" t="s">
        <v>639</v>
      </c>
      <c r="W217" s="124" t="s">
        <v>641</v>
      </c>
      <c r="X217" s="124" t="s">
        <v>120</v>
      </c>
      <c r="Y217" s="128"/>
      <c r="Z217" s="124" t="s">
        <v>120</v>
      </c>
      <c r="AA217" s="128"/>
      <c r="AB217" s="124" t="s">
        <v>120</v>
      </c>
      <c r="AC217" s="124" t="s">
        <v>120</v>
      </c>
      <c r="AD217" s="128"/>
      <c r="AE217" s="124" t="s">
        <v>120</v>
      </c>
      <c r="AF217" s="128"/>
      <c r="AG217" s="124" t="s">
        <v>120</v>
      </c>
      <c r="AH217" s="128"/>
      <c r="AI217" s="124" t="s">
        <v>120</v>
      </c>
      <c r="AJ217" s="128"/>
      <c r="AK217" s="128"/>
      <c r="AL217" s="124" t="s">
        <v>141</v>
      </c>
      <c r="AM217" s="124" t="s">
        <v>242</v>
      </c>
      <c r="AN217" s="124" t="s">
        <v>156</v>
      </c>
      <c r="AO217" s="124" t="s">
        <v>185</v>
      </c>
      <c r="AP217" s="124"/>
    </row>
    <row r="218">
      <c r="A218" s="124" t="s">
        <v>3543</v>
      </c>
      <c r="B218" s="124" t="s">
        <v>3544</v>
      </c>
      <c r="C218" s="124" t="s">
        <v>3545</v>
      </c>
      <c r="D218" s="127">
        <v>40534.0</v>
      </c>
      <c r="E218" s="124" t="s">
        <v>177</v>
      </c>
      <c r="F218" s="124">
        <v>5.537806675E9</v>
      </c>
      <c r="G218" s="124" t="s">
        <v>3546</v>
      </c>
      <c r="H218" s="124" t="s">
        <v>382</v>
      </c>
      <c r="I218" s="124" t="s">
        <v>3547</v>
      </c>
      <c r="J218" s="124" t="s">
        <v>3548</v>
      </c>
      <c r="K218" s="124" t="s">
        <v>3549</v>
      </c>
      <c r="L218" s="124">
        <v>5.518636502E9</v>
      </c>
      <c r="M218" s="128"/>
      <c r="N218" s="128"/>
      <c r="O218" s="128"/>
      <c r="P218" s="129">
        <v>15.0</v>
      </c>
      <c r="Q218" s="130">
        <v>46047.50300925926</v>
      </c>
      <c r="R218" s="124" t="s">
        <v>107</v>
      </c>
      <c r="S218" s="124" t="s">
        <v>109</v>
      </c>
      <c r="T218" s="124" t="s">
        <v>192</v>
      </c>
      <c r="U218" s="124" t="s">
        <v>609</v>
      </c>
      <c r="V218" s="124" t="s">
        <v>611</v>
      </c>
      <c r="W218" s="124" t="s">
        <v>612</v>
      </c>
      <c r="X218" s="124" t="s">
        <v>120</v>
      </c>
      <c r="Y218" s="124" t="s">
        <v>120</v>
      </c>
      <c r="Z218" s="124" t="s">
        <v>120</v>
      </c>
      <c r="AA218" s="128"/>
      <c r="AB218" s="124" t="s">
        <v>120</v>
      </c>
      <c r="AC218" s="128"/>
      <c r="AD218" s="128"/>
      <c r="AE218" s="124" t="s">
        <v>120</v>
      </c>
      <c r="AF218" s="128"/>
      <c r="AG218" s="124" t="s">
        <v>120</v>
      </c>
      <c r="AH218" s="128"/>
      <c r="AI218" s="124" t="s">
        <v>120</v>
      </c>
      <c r="AJ218" s="128"/>
      <c r="AK218" s="128"/>
      <c r="AL218" s="124" t="s">
        <v>185</v>
      </c>
      <c r="AM218" s="124" t="s">
        <v>126</v>
      </c>
      <c r="AN218" s="124" t="s">
        <v>242</v>
      </c>
      <c r="AO218" s="124" t="s">
        <v>128</v>
      </c>
      <c r="AP218" s="124"/>
    </row>
    <row r="219">
      <c r="A219" s="124" t="s">
        <v>3550</v>
      </c>
      <c r="B219" s="124" t="s">
        <v>2253</v>
      </c>
      <c r="C219" s="124" t="s">
        <v>3551</v>
      </c>
      <c r="D219" s="127">
        <v>40280.0</v>
      </c>
      <c r="E219" s="124" t="s">
        <v>98</v>
      </c>
      <c r="F219" s="124">
        <v>5.633125941E9</v>
      </c>
      <c r="G219" s="124" t="s">
        <v>3552</v>
      </c>
      <c r="H219" s="124" t="s">
        <v>140</v>
      </c>
      <c r="I219" s="128"/>
      <c r="J219" s="124" t="s">
        <v>2258</v>
      </c>
      <c r="K219" s="124" t="s">
        <v>2259</v>
      </c>
      <c r="L219" s="124">
        <v>5.516457551E9</v>
      </c>
      <c r="M219" s="124" t="s">
        <v>2261</v>
      </c>
      <c r="N219" s="124" t="s">
        <v>2262</v>
      </c>
      <c r="O219" s="124">
        <v>5.52686809E9</v>
      </c>
      <c r="P219" s="129">
        <v>15.0</v>
      </c>
      <c r="Q219" s="130">
        <v>46018.4924537037</v>
      </c>
      <c r="R219" s="124" t="s">
        <v>107</v>
      </c>
      <c r="S219" s="124" t="s">
        <v>109</v>
      </c>
      <c r="T219" s="124" t="s">
        <v>171</v>
      </c>
      <c r="U219" s="124" t="s">
        <v>388</v>
      </c>
      <c r="V219" s="124" t="s">
        <v>389</v>
      </c>
      <c r="W219" s="124" t="s">
        <v>392</v>
      </c>
      <c r="X219" s="124" t="s">
        <v>120</v>
      </c>
      <c r="Y219" s="128"/>
      <c r="Z219" s="124" t="s">
        <v>120</v>
      </c>
      <c r="AA219" s="128"/>
      <c r="AB219" s="124" t="s">
        <v>120</v>
      </c>
      <c r="AC219" s="124" t="s">
        <v>120</v>
      </c>
      <c r="AD219" s="128"/>
      <c r="AE219" s="124" t="s">
        <v>120</v>
      </c>
      <c r="AF219" s="128"/>
      <c r="AG219" s="124" t="s">
        <v>120</v>
      </c>
      <c r="AH219" s="128"/>
      <c r="AI219" s="124" t="s">
        <v>120</v>
      </c>
      <c r="AJ219" s="128"/>
      <c r="AK219" s="128"/>
      <c r="AL219" s="124" t="s">
        <v>185</v>
      </c>
      <c r="AM219" s="124" t="s">
        <v>216</v>
      </c>
      <c r="AN219" s="124" t="s">
        <v>156</v>
      </c>
      <c r="AO219" s="124" t="s">
        <v>124</v>
      </c>
      <c r="AP219" s="124"/>
    </row>
    <row r="220">
      <c r="A220" s="124" t="s">
        <v>1627</v>
      </c>
      <c r="B220" s="124" t="s">
        <v>1060</v>
      </c>
      <c r="C220" s="124" t="s">
        <v>1629</v>
      </c>
      <c r="D220" s="127">
        <v>40417.0</v>
      </c>
      <c r="E220" s="124" t="s">
        <v>98</v>
      </c>
      <c r="F220" s="124">
        <v>5.610338282E9</v>
      </c>
      <c r="G220" s="124" t="s">
        <v>1631</v>
      </c>
      <c r="H220" s="124" t="s">
        <v>101</v>
      </c>
      <c r="I220" s="128"/>
      <c r="J220" s="124" t="s">
        <v>1071</v>
      </c>
      <c r="K220" s="124" t="s">
        <v>1073</v>
      </c>
      <c r="L220" s="124">
        <v>5.518772662E9</v>
      </c>
      <c r="M220" s="128"/>
      <c r="N220" s="128"/>
      <c r="O220" s="128"/>
      <c r="P220" s="129">
        <v>15.0</v>
      </c>
      <c r="Q220" s="130">
        <v>46038.85186342592</v>
      </c>
      <c r="R220" s="124" t="s">
        <v>107</v>
      </c>
      <c r="S220" s="124" t="s">
        <v>109</v>
      </c>
      <c r="T220" s="124" t="s">
        <v>171</v>
      </c>
      <c r="U220" s="124" t="s">
        <v>526</v>
      </c>
      <c r="V220" s="124" t="s">
        <v>527</v>
      </c>
      <c r="W220" s="124" t="s">
        <v>528</v>
      </c>
      <c r="X220" s="124" t="s">
        <v>120</v>
      </c>
      <c r="Y220" s="128"/>
      <c r="Z220" s="124" t="s">
        <v>120</v>
      </c>
      <c r="AA220" s="128"/>
      <c r="AB220" s="124" t="s">
        <v>117</v>
      </c>
      <c r="AC220" s="124" t="s">
        <v>117</v>
      </c>
      <c r="AD220" s="124" t="s">
        <v>1639</v>
      </c>
      <c r="AE220" s="124" t="s">
        <v>117</v>
      </c>
      <c r="AF220" s="124" t="s">
        <v>366</v>
      </c>
      <c r="AG220" s="124" t="s">
        <v>120</v>
      </c>
      <c r="AH220" s="128"/>
      <c r="AI220" s="124" t="s">
        <v>120</v>
      </c>
      <c r="AJ220" s="128"/>
      <c r="AK220" s="128"/>
      <c r="AL220" s="124" t="s">
        <v>124</v>
      </c>
      <c r="AM220" s="124" t="s">
        <v>138</v>
      </c>
      <c r="AN220" s="124" t="s">
        <v>129</v>
      </c>
      <c r="AO220" s="124" t="s">
        <v>128</v>
      </c>
      <c r="AP220" s="124"/>
    </row>
    <row r="221">
      <c r="A221" s="124" t="s">
        <v>1999</v>
      </c>
      <c r="B221" s="124" t="s">
        <v>2000</v>
      </c>
      <c r="C221" s="124" t="s">
        <v>2002</v>
      </c>
      <c r="D221" s="127">
        <v>38578.0</v>
      </c>
      <c r="E221" s="124" t="s">
        <v>177</v>
      </c>
      <c r="F221" s="124">
        <v>5.548772614E9</v>
      </c>
      <c r="G221" s="124" t="s">
        <v>2007</v>
      </c>
      <c r="H221" s="124" t="s">
        <v>101</v>
      </c>
      <c r="I221" s="128"/>
      <c r="J221" s="124" t="s">
        <v>2010</v>
      </c>
      <c r="K221" s="124" t="s">
        <v>2011</v>
      </c>
      <c r="L221" s="124">
        <v>5.548772614E9</v>
      </c>
      <c r="M221" s="128"/>
      <c r="N221" s="128"/>
      <c r="O221" s="128"/>
      <c r="P221" s="129">
        <v>20.0</v>
      </c>
      <c r="Q221" s="130">
        <v>46041.58310185185</v>
      </c>
      <c r="R221" s="124" t="s">
        <v>107</v>
      </c>
      <c r="S221" s="124" t="s">
        <v>125</v>
      </c>
      <c r="T221" s="124" t="s">
        <v>192</v>
      </c>
      <c r="U221" s="124" t="s">
        <v>749</v>
      </c>
      <c r="V221" s="124" t="s">
        <v>750</v>
      </c>
      <c r="W221" s="124" t="s">
        <v>751</v>
      </c>
      <c r="X221" s="124" t="s">
        <v>120</v>
      </c>
      <c r="Y221" s="128"/>
      <c r="Z221" s="124" t="s">
        <v>120</v>
      </c>
      <c r="AA221" s="128"/>
      <c r="AB221" s="124" t="s">
        <v>120</v>
      </c>
      <c r="AC221" s="124" t="s">
        <v>120</v>
      </c>
      <c r="AD221" s="128"/>
      <c r="AE221" s="124" t="s">
        <v>120</v>
      </c>
      <c r="AF221" s="128"/>
      <c r="AG221" s="124" t="s">
        <v>120</v>
      </c>
      <c r="AH221" s="128"/>
      <c r="AI221" s="124" t="s">
        <v>120</v>
      </c>
      <c r="AJ221" s="128"/>
      <c r="AK221" s="128"/>
      <c r="AL221" s="124" t="s">
        <v>185</v>
      </c>
      <c r="AM221" s="124" t="s">
        <v>124</v>
      </c>
      <c r="AN221" s="124" t="s">
        <v>138</v>
      </c>
      <c r="AO221" s="124" t="s">
        <v>242</v>
      </c>
      <c r="AP221" s="124"/>
    </row>
    <row r="222">
      <c r="A222" s="124" t="s">
        <v>934</v>
      </c>
      <c r="B222" s="124" t="s">
        <v>935</v>
      </c>
      <c r="C222" s="124" t="s">
        <v>936</v>
      </c>
      <c r="D222" s="127">
        <v>41207.0</v>
      </c>
      <c r="E222" s="124" t="s">
        <v>98</v>
      </c>
      <c r="F222" s="124">
        <v>5.545629332E9</v>
      </c>
      <c r="G222" s="124" t="s">
        <v>943</v>
      </c>
      <c r="H222" s="124" t="s">
        <v>101</v>
      </c>
      <c r="I222" s="124" t="s">
        <v>945</v>
      </c>
      <c r="J222" s="124" t="s">
        <v>790</v>
      </c>
      <c r="K222" s="124" t="s">
        <v>789</v>
      </c>
      <c r="L222" s="124">
        <v>5.572747291E9</v>
      </c>
      <c r="M222" s="124" t="s">
        <v>950</v>
      </c>
      <c r="N222" s="124" t="s">
        <v>952</v>
      </c>
      <c r="O222" s="124">
        <v>5.519839417E9</v>
      </c>
      <c r="P222" s="129">
        <v>13.0</v>
      </c>
      <c r="Q222" s="130">
        <v>46026.486342592594</v>
      </c>
      <c r="R222" s="124" t="s">
        <v>107</v>
      </c>
      <c r="S222" s="124" t="s">
        <v>109</v>
      </c>
      <c r="T222" s="124" t="s">
        <v>208</v>
      </c>
      <c r="U222" s="124" t="s">
        <v>788</v>
      </c>
      <c r="V222" s="124" t="s">
        <v>789</v>
      </c>
      <c r="W222" s="124" t="s">
        <v>790</v>
      </c>
      <c r="X222" s="124" t="s">
        <v>117</v>
      </c>
      <c r="Y222" s="124" t="s">
        <v>953</v>
      </c>
      <c r="Z222" s="124" t="s">
        <v>120</v>
      </c>
      <c r="AA222" s="128"/>
      <c r="AB222" s="124" t="s">
        <v>120</v>
      </c>
      <c r="AC222" s="124" t="s">
        <v>120</v>
      </c>
      <c r="AD222" s="128"/>
      <c r="AE222" s="124" t="s">
        <v>120</v>
      </c>
      <c r="AF222" s="128"/>
      <c r="AG222" s="124" t="s">
        <v>120</v>
      </c>
      <c r="AH222" s="128"/>
      <c r="AI222" s="124" t="s">
        <v>120</v>
      </c>
      <c r="AJ222" s="128"/>
      <c r="AK222" s="128"/>
      <c r="AL222" s="124" t="s">
        <v>138</v>
      </c>
      <c r="AM222" s="124" t="s">
        <v>240</v>
      </c>
      <c r="AN222" s="124" t="s">
        <v>126</v>
      </c>
      <c r="AO222" s="124" t="s">
        <v>185</v>
      </c>
      <c r="AP222" s="124"/>
    </row>
    <row r="223">
      <c r="A223" s="124" t="s">
        <v>3553</v>
      </c>
      <c r="B223" s="124" t="s">
        <v>3554</v>
      </c>
      <c r="C223" s="124" t="s">
        <v>3555</v>
      </c>
      <c r="D223" s="127">
        <v>40131.0</v>
      </c>
      <c r="E223" s="124" t="s">
        <v>177</v>
      </c>
      <c r="F223" s="124">
        <v>5.566167834E9</v>
      </c>
      <c r="G223" s="124" t="s">
        <v>3556</v>
      </c>
      <c r="H223" s="124" t="s">
        <v>101</v>
      </c>
      <c r="I223" s="124" t="s">
        <v>783</v>
      </c>
      <c r="J223" s="124" t="s">
        <v>3557</v>
      </c>
      <c r="K223" s="124" t="s">
        <v>3558</v>
      </c>
      <c r="L223" s="124">
        <v>5.549072661E9</v>
      </c>
      <c r="M223" s="128"/>
      <c r="N223" s="128"/>
      <c r="O223" s="128"/>
      <c r="P223" s="129">
        <v>16.0</v>
      </c>
      <c r="Q223" s="130">
        <v>46033.372708333336</v>
      </c>
      <c r="R223" s="124" t="s">
        <v>107</v>
      </c>
      <c r="S223" s="124" t="s">
        <v>109</v>
      </c>
      <c r="T223" s="124" t="s">
        <v>160</v>
      </c>
      <c r="U223" s="124" t="s">
        <v>279</v>
      </c>
      <c r="V223" s="124" t="s">
        <v>280</v>
      </c>
      <c r="W223" s="124" t="s">
        <v>282</v>
      </c>
      <c r="X223" s="124" t="s">
        <v>120</v>
      </c>
      <c r="Y223" s="128"/>
      <c r="Z223" s="124" t="s">
        <v>120</v>
      </c>
      <c r="AA223" s="128"/>
      <c r="AB223" s="124" t="s">
        <v>120</v>
      </c>
      <c r="AC223" s="128"/>
      <c r="AD223" s="128"/>
      <c r="AE223" s="124" t="s">
        <v>120</v>
      </c>
      <c r="AF223" s="128"/>
      <c r="AG223" s="124" t="s">
        <v>120</v>
      </c>
      <c r="AH223" s="128"/>
      <c r="AI223" s="124" t="s">
        <v>120</v>
      </c>
      <c r="AJ223" s="128"/>
      <c r="AK223" s="128"/>
      <c r="AL223" s="124" t="s">
        <v>138</v>
      </c>
      <c r="AM223" s="124" t="s">
        <v>129</v>
      </c>
      <c r="AN223" s="124" t="s">
        <v>128</v>
      </c>
      <c r="AO223" s="124" t="s">
        <v>156</v>
      </c>
      <c r="AP223" s="124"/>
    </row>
    <row r="224">
      <c r="A224" s="124" t="s">
        <v>3559</v>
      </c>
      <c r="B224" s="124" t="s">
        <v>3560</v>
      </c>
      <c r="C224" s="124" t="s">
        <v>3561</v>
      </c>
      <c r="D224" s="127">
        <v>39792.0</v>
      </c>
      <c r="E224" s="124" t="s">
        <v>98</v>
      </c>
      <c r="F224" s="124">
        <v>9.181110054E9</v>
      </c>
      <c r="G224" s="124" t="s">
        <v>3562</v>
      </c>
      <c r="H224" s="124" t="s">
        <v>140</v>
      </c>
      <c r="I224" s="128"/>
      <c r="J224" s="124" t="s">
        <v>3563</v>
      </c>
      <c r="K224" s="124" t="s">
        <v>3564</v>
      </c>
      <c r="L224" s="124">
        <v>5.618924302E9</v>
      </c>
      <c r="M224" s="124" t="s">
        <v>3565</v>
      </c>
      <c r="N224" s="124" t="s">
        <v>3566</v>
      </c>
      <c r="O224" s="124">
        <v>5.553375309E9</v>
      </c>
      <c r="P224" s="129">
        <v>17.0</v>
      </c>
      <c r="Q224" s="130">
        <v>46037.49621527778</v>
      </c>
      <c r="R224" s="124" t="s">
        <v>107</v>
      </c>
      <c r="S224" s="124" t="s">
        <v>109</v>
      </c>
      <c r="T224" s="124" t="s">
        <v>171</v>
      </c>
      <c r="U224" s="124" t="s">
        <v>526</v>
      </c>
      <c r="V224" s="124" t="s">
        <v>527</v>
      </c>
      <c r="W224" s="124" t="s">
        <v>528</v>
      </c>
      <c r="X224" s="124" t="s">
        <v>120</v>
      </c>
      <c r="Y224" s="128"/>
      <c r="Z224" s="124" t="s">
        <v>117</v>
      </c>
      <c r="AA224" s="124" t="s">
        <v>3567</v>
      </c>
      <c r="AB224" s="124" t="s">
        <v>120</v>
      </c>
      <c r="AC224" s="128"/>
      <c r="AD224" s="128"/>
      <c r="AE224" s="124" t="s">
        <v>120</v>
      </c>
      <c r="AF224" s="128"/>
      <c r="AG224" s="124" t="s">
        <v>120</v>
      </c>
      <c r="AH224" s="128"/>
      <c r="AI224" s="124" t="s">
        <v>120</v>
      </c>
      <c r="AJ224" s="128"/>
      <c r="AK224" s="128"/>
      <c r="AL224" s="124" t="s">
        <v>185</v>
      </c>
      <c r="AM224" s="124" t="s">
        <v>216</v>
      </c>
      <c r="AN224" s="124" t="s">
        <v>156</v>
      </c>
      <c r="AO224" s="124" t="s">
        <v>138</v>
      </c>
      <c r="AP224" s="124"/>
    </row>
    <row r="225">
      <c r="A225" s="124" t="s">
        <v>919</v>
      </c>
      <c r="B225" s="124" t="s">
        <v>920</v>
      </c>
      <c r="C225" s="124" t="s">
        <v>923</v>
      </c>
      <c r="D225" s="127">
        <v>40182.0</v>
      </c>
      <c r="E225" s="124" t="s">
        <v>177</v>
      </c>
      <c r="F225" s="124">
        <v>5.56860443E9</v>
      </c>
      <c r="G225" s="124" t="s">
        <v>925</v>
      </c>
      <c r="H225" s="124" t="s">
        <v>101</v>
      </c>
      <c r="I225" s="128"/>
      <c r="J225" s="124" t="s">
        <v>928</v>
      </c>
      <c r="K225" s="124" t="s">
        <v>925</v>
      </c>
      <c r="L225" s="124">
        <v>5.612161641E9</v>
      </c>
      <c r="M225" s="128"/>
      <c r="N225" s="128"/>
      <c r="O225" s="128"/>
      <c r="P225" s="129">
        <v>16.0</v>
      </c>
      <c r="Q225" s="130">
        <v>46039.512604166666</v>
      </c>
      <c r="R225" s="124" t="s">
        <v>107</v>
      </c>
      <c r="S225" s="124" t="s">
        <v>109</v>
      </c>
      <c r="T225" s="124" t="s">
        <v>111</v>
      </c>
      <c r="U225" s="124" t="s">
        <v>407</v>
      </c>
      <c r="V225" s="124" t="s">
        <v>408</v>
      </c>
      <c r="W225" s="124" t="s">
        <v>409</v>
      </c>
      <c r="X225" s="124" t="s">
        <v>117</v>
      </c>
      <c r="Y225" s="128"/>
      <c r="Z225" s="124" t="s">
        <v>117</v>
      </c>
      <c r="AA225" s="128"/>
      <c r="AB225" s="124" t="s">
        <v>117</v>
      </c>
      <c r="AC225" s="124" t="s">
        <v>117</v>
      </c>
      <c r="AD225" s="128"/>
      <c r="AE225" s="124" t="s">
        <v>117</v>
      </c>
      <c r="AF225" s="128"/>
      <c r="AG225" s="124" t="s">
        <v>117</v>
      </c>
      <c r="AH225" s="128"/>
      <c r="AI225" s="124" t="s">
        <v>117</v>
      </c>
      <c r="AJ225" s="128"/>
      <c r="AK225" s="128"/>
      <c r="AL225" s="124" t="s">
        <v>138</v>
      </c>
      <c r="AM225" s="124" t="s">
        <v>242</v>
      </c>
      <c r="AN225" s="124" t="s">
        <v>128</v>
      </c>
      <c r="AO225" s="124" t="s">
        <v>141</v>
      </c>
      <c r="AP225" s="124"/>
    </row>
    <row r="226">
      <c r="A226" s="124" t="s">
        <v>3568</v>
      </c>
      <c r="B226" s="124" t="s">
        <v>3569</v>
      </c>
      <c r="C226" s="124" t="s">
        <v>3570</v>
      </c>
      <c r="D226" s="127">
        <v>39957.0</v>
      </c>
      <c r="E226" s="124" t="s">
        <v>98</v>
      </c>
      <c r="F226" s="124">
        <v>5.529594383E9</v>
      </c>
      <c r="G226" s="124" t="s">
        <v>3571</v>
      </c>
      <c r="H226" s="124" t="s">
        <v>140</v>
      </c>
      <c r="I226" s="128"/>
      <c r="J226" s="124" t="s">
        <v>3572</v>
      </c>
      <c r="K226" s="124" t="s">
        <v>3180</v>
      </c>
      <c r="L226" s="124">
        <v>5.529594383E9</v>
      </c>
      <c r="M226" s="128"/>
      <c r="N226" s="128"/>
      <c r="O226" s="128"/>
      <c r="P226" s="129">
        <v>16.0</v>
      </c>
      <c r="Q226" s="130">
        <v>46040.63513888889</v>
      </c>
      <c r="R226" s="124" t="s">
        <v>107</v>
      </c>
      <c r="S226" s="124" t="s">
        <v>109</v>
      </c>
      <c r="T226" s="124" t="s">
        <v>204</v>
      </c>
      <c r="U226" s="124" t="s">
        <v>367</v>
      </c>
      <c r="V226" s="124" t="s">
        <v>368</v>
      </c>
      <c r="W226" s="124" t="s">
        <v>369</v>
      </c>
      <c r="X226" s="124" t="s">
        <v>120</v>
      </c>
      <c r="Y226" s="128"/>
      <c r="Z226" s="124" t="s">
        <v>120</v>
      </c>
      <c r="AA226" s="128"/>
      <c r="AB226" s="124" t="s">
        <v>120</v>
      </c>
      <c r="AC226" s="128"/>
      <c r="AD226" s="128"/>
      <c r="AE226" s="124" t="s">
        <v>120</v>
      </c>
      <c r="AF226" s="128"/>
      <c r="AG226" s="124" t="s">
        <v>120</v>
      </c>
      <c r="AH226" s="128"/>
      <c r="AI226" s="124" t="s">
        <v>120</v>
      </c>
      <c r="AJ226" s="128"/>
      <c r="AK226" s="128"/>
      <c r="AL226" s="124" t="s">
        <v>141</v>
      </c>
      <c r="AM226" s="124" t="s">
        <v>129</v>
      </c>
      <c r="AN226" s="124" t="s">
        <v>240</v>
      </c>
      <c r="AO226" s="124" t="s">
        <v>156</v>
      </c>
      <c r="AP226" s="124"/>
    </row>
    <row r="227">
      <c r="A227" s="124" t="s">
        <v>3573</v>
      </c>
      <c r="B227" s="124" t="s">
        <v>3574</v>
      </c>
      <c r="C227" s="124" t="s">
        <v>3575</v>
      </c>
      <c r="D227" s="127">
        <v>41203.0</v>
      </c>
      <c r="E227" s="124" t="s">
        <v>98</v>
      </c>
      <c r="F227" s="124">
        <v>5.52296491E9</v>
      </c>
      <c r="G227" s="124" t="s">
        <v>3576</v>
      </c>
      <c r="H227" s="124" t="s">
        <v>101</v>
      </c>
      <c r="I227" s="124" t="s">
        <v>3577</v>
      </c>
      <c r="J227" s="124" t="s">
        <v>3578</v>
      </c>
      <c r="K227" s="124" t="s">
        <v>3579</v>
      </c>
      <c r="L227" s="124">
        <v>5.591042254E9</v>
      </c>
      <c r="M227" s="124" t="s">
        <v>3580</v>
      </c>
      <c r="N227" s="124" t="s">
        <v>3581</v>
      </c>
      <c r="O227" s="124">
        <v>5.52296491E9</v>
      </c>
      <c r="P227" s="129">
        <v>13.0</v>
      </c>
      <c r="Q227" s="130">
        <v>46038.85574074074</v>
      </c>
      <c r="R227" s="124" t="s">
        <v>107</v>
      </c>
      <c r="S227" s="124" t="s">
        <v>109</v>
      </c>
      <c r="T227" s="124" t="s">
        <v>111</v>
      </c>
      <c r="U227" s="124" t="s">
        <v>112</v>
      </c>
      <c r="V227" s="124" t="s">
        <v>114</v>
      </c>
      <c r="W227" s="124" t="s">
        <v>115</v>
      </c>
      <c r="X227" s="124" t="s">
        <v>120</v>
      </c>
      <c r="Y227" s="128"/>
      <c r="Z227" s="124" t="s">
        <v>120</v>
      </c>
      <c r="AA227" s="128"/>
      <c r="AB227" s="124" t="s">
        <v>120</v>
      </c>
      <c r="AC227" s="128"/>
      <c r="AD227" s="128"/>
      <c r="AE227" s="124" t="s">
        <v>120</v>
      </c>
      <c r="AF227" s="128"/>
      <c r="AG227" s="124" t="s">
        <v>120</v>
      </c>
      <c r="AH227" s="128"/>
      <c r="AI227" s="124" t="s">
        <v>120</v>
      </c>
      <c r="AJ227" s="128"/>
      <c r="AK227" s="128"/>
      <c r="AL227" s="124" t="s">
        <v>240</v>
      </c>
      <c r="AM227" s="124" t="s">
        <v>156</v>
      </c>
      <c r="AN227" s="124" t="s">
        <v>124</v>
      </c>
      <c r="AO227" s="124" t="s">
        <v>128</v>
      </c>
      <c r="AP227" s="124"/>
    </row>
    <row r="228">
      <c r="A228" s="124" t="s">
        <v>2367</v>
      </c>
      <c r="B228" s="124" t="s">
        <v>3582</v>
      </c>
      <c r="C228" s="124" t="s">
        <v>3583</v>
      </c>
      <c r="D228" s="127">
        <v>40233.0</v>
      </c>
      <c r="E228" s="124" t="s">
        <v>177</v>
      </c>
      <c r="F228" s="124">
        <v>5.611454833E9</v>
      </c>
      <c r="G228" s="124" t="s">
        <v>3584</v>
      </c>
      <c r="H228" s="124" t="s">
        <v>110</v>
      </c>
      <c r="I228" s="128"/>
      <c r="J228" s="124" t="s">
        <v>3585</v>
      </c>
      <c r="K228" s="124" t="s">
        <v>3586</v>
      </c>
      <c r="L228" s="124">
        <v>5.563168732E9</v>
      </c>
      <c r="M228" s="124" t="s">
        <v>3587</v>
      </c>
      <c r="N228" s="124" t="s">
        <v>3584</v>
      </c>
      <c r="O228" s="124">
        <v>5.611454833E9</v>
      </c>
      <c r="P228" s="129">
        <v>16.0</v>
      </c>
      <c r="Q228" s="130">
        <v>46002.834444444445</v>
      </c>
      <c r="R228" s="124" t="s">
        <v>107</v>
      </c>
      <c r="S228" s="124" t="s">
        <v>109</v>
      </c>
      <c r="T228" s="124" t="s">
        <v>204</v>
      </c>
      <c r="U228" s="124" t="s">
        <v>357</v>
      </c>
      <c r="V228" s="124" t="s">
        <v>359</v>
      </c>
      <c r="W228" s="124" t="s">
        <v>362</v>
      </c>
      <c r="X228" s="124" t="s">
        <v>120</v>
      </c>
      <c r="Y228" s="128"/>
      <c r="Z228" s="124" t="s">
        <v>120</v>
      </c>
      <c r="AA228" s="128"/>
      <c r="AB228" s="124" t="s">
        <v>120</v>
      </c>
      <c r="AC228" s="124" t="s">
        <v>120</v>
      </c>
      <c r="AD228" s="128"/>
      <c r="AE228" s="124" t="s">
        <v>120</v>
      </c>
      <c r="AF228" s="128"/>
      <c r="AG228" s="124" t="s">
        <v>120</v>
      </c>
      <c r="AH228" s="128"/>
      <c r="AI228" s="124" t="s">
        <v>120</v>
      </c>
      <c r="AJ228" s="128"/>
      <c r="AK228" s="128"/>
      <c r="AL228" s="124" t="s">
        <v>185</v>
      </c>
      <c r="AM228" s="124" t="s">
        <v>216</v>
      </c>
      <c r="AN228" s="124" t="s">
        <v>242</v>
      </c>
      <c r="AO228" s="124" t="s">
        <v>141</v>
      </c>
      <c r="AP228" s="124"/>
    </row>
    <row r="229">
      <c r="A229" s="124" t="s">
        <v>3354</v>
      </c>
      <c r="B229" s="124" t="s">
        <v>3588</v>
      </c>
      <c r="C229" s="124" t="s">
        <v>24</v>
      </c>
      <c r="D229" s="127">
        <v>40736.0</v>
      </c>
      <c r="E229" s="124" t="s">
        <v>177</v>
      </c>
      <c r="F229" s="124">
        <v>5.667869642E9</v>
      </c>
      <c r="G229" s="124" t="s">
        <v>3589</v>
      </c>
      <c r="H229" s="124" t="s">
        <v>101</v>
      </c>
      <c r="I229" s="128"/>
      <c r="J229" s="124" t="s">
        <v>3590</v>
      </c>
      <c r="K229" s="124" t="s">
        <v>3589</v>
      </c>
      <c r="L229" s="124">
        <v>5.535747777E9</v>
      </c>
      <c r="M229" s="124" t="s">
        <v>3591</v>
      </c>
      <c r="N229" s="124" t="s">
        <v>3592</v>
      </c>
      <c r="O229" s="124">
        <v>4.426265442E9</v>
      </c>
      <c r="P229" s="129">
        <v>14.0</v>
      </c>
      <c r="Q229" s="130">
        <v>46040.47277777778</v>
      </c>
      <c r="R229" s="124" t="s">
        <v>107</v>
      </c>
      <c r="S229" s="124" t="s">
        <v>109</v>
      </c>
      <c r="T229" s="124" t="s">
        <v>111</v>
      </c>
      <c r="U229" s="124" t="s">
        <v>1979</v>
      </c>
      <c r="V229" s="124" t="s">
        <v>1980</v>
      </c>
      <c r="W229" s="124" t="s">
        <v>1981</v>
      </c>
      <c r="X229" s="124" t="s">
        <v>120</v>
      </c>
      <c r="Y229" s="128"/>
      <c r="Z229" s="124" t="s">
        <v>117</v>
      </c>
      <c r="AA229" s="124" t="s">
        <v>3593</v>
      </c>
      <c r="AB229" s="124" t="s">
        <v>120</v>
      </c>
      <c r="AC229" s="128"/>
      <c r="AD229" s="128"/>
      <c r="AE229" s="124" t="s">
        <v>120</v>
      </c>
      <c r="AF229" s="128"/>
      <c r="AG229" s="124" t="s">
        <v>120</v>
      </c>
      <c r="AH229" s="128"/>
      <c r="AI229" s="124" t="s">
        <v>120</v>
      </c>
      <c r="AJ229" s="128"/>
      <c r="AK229" s="128"/>
      <c r="AL229" s="124" t="s">
        <v>129</v>
      </c>
      <c r="AM229" s="124" t="s">
        <v>240</v>
      </c>
      <c r="AN229" s="124" t="s">
        <v>156</v>
      </c>
      <c r="AO229" s="124" t="s">
        <v>185</v>
      </c>
      <c r="AP229" s="124"/>
    </row>
    <row r="230">
      <c r="A230" s="124" t="s">
        <v>651</v>
      </c>
      <c r="B230" s="124" t="s">
        <v>653</v>
      </c>
      <c r="C230" s="124" t="s">
        <v>654</v>
      </c>
      <c r="D230" s="127">
        <v>38148.0</v>
      </c>
      <c r="E230" s="124" t="s">
        <v>98</v>
      </c>
      <c r="F230" s="124">
        <v>5.598792021E9</v>
      </c>
      <c r="G230" s="124" t="s">
        <v>655</v>
      </c>
      <c r="H230" s="124" t="s">
        <v>101</v>
      </c>
      <c r="I230" s="124" t="s">
        <v>656</v>
      </c>
      <c r="J230" s="124" t="s">
        <v>658</v>
      </c>
      <c r="K230" s="124" t="s">
        <v>661</v>
      </c>
      <c r="L230" s="124">
        <v>5.51818515E9</v>
      </c>
      <c r="M230" s="128"/>
      <c r="N230" s="128"/>
      <c r="O230" s="128"/>
      <c r="P230" s="129">
        <v>21.0</v>
      </c>
      <c r="Q230" s="130">
        <v>46033.950532407405</v>
      </c>
      <c r="R230" s="124" t="s">
        <v>107</v>
      </c>
      <c r="S230" s="124" t="s">
        <v>125</v>
      </c>
      <c r="T230" s="124" t="s">
        <v>111</v>
      </c>
      <c r="U230" s="124" t="s">
        <v>657</v>
      </c>
      <c r="V230" s="124" t="s">
        <v>659</v>
      </c>
      <c r="W230" s="124" t="s">
        <v>662</v>
      </c>
      <c r="X230" s="124" t="s">
        <v>120</v>
      </c>
      <c r="Y230" s="128"/>
      <c r="Z230" s="124" t="s">
        <v>117</v>
      </c>
      <c r="AA230" s="124" t="s">
        <v>671</v>
      </c>
      <c r="AB230" s="124" t="s">
        <v>120</v>
      </c>
      <c r="AC230" s="124" t="s">
        <v>120</v>
      </c>
      <c r="AD230" s="128"/>
      <c r="AE230" s="124" t="s">
        <v>120</v>
      </c>
      <c r="AF230" s="128"/>
      <c r="AG230" s="124" t="s">
        <v>120</v>
      </c>
      <c r="AH230" s="128"/>
      <c r="AI230" s="124" t="s">
        <v>120</v>
      </c>
      <c r="AJ230" s="128"/>
      <c r="AK230" s="128"/>
      <c r="AL230" s="124" t="s">
        <v>185</v>
      </c>
      <c r="AM230" s="124" t="s">
        <v>240</v>
      </c>
      <c r="AN230" s="124" t="s">
        <v>124</v>
      </c>
      <c r="AO230" s="124" t="s">
        <v>138</v>
      </c>
      <c r="AP230" s="124"/>
    </row>
    <row r="231">
      <c r="A231" s="124" t="s">
        <v>1646</v>
      </c>
      <c r="B231" s="124" t="s">
        <v>1647</v>
      </c>
      <c r="C231" s="124" t="s">
        <v>1649</v>
      </c>
      <c r="D231" s="127">
        <v>40624.0</v>
      </c>
      <c r="E231" s="124" t="s">
        <v>98</v>
      </c>
      <c r="F231" s="124">
        <v>5.620882283E9</v>
      </c>
      <c r="G231" s="124" t="s">
        <v>1654</v>
      </c>
      <c r="H231" s="124" t="s">
        <v>140</v>
      </c>
      <c r="I231" s="128"/>
      <c r="J231" s="124" t="s">
        <v>1657</v>
      </c>
      <c r="K231" s="124" t="s">
        <v>1658</v>
      </c>
      <c r="L231" s="124">
        <v>5.585786026E9</v>
      </c>
      <c r="M231" s="124" t="s">
        <v>1661</v>
      </c>
      <c r="N231" s="124" t="s">
        <v>1662</v>
      </c>
      <c r="O231" s="124">
        <v>5.551590965E9</v>
      </c>
      <c r="P231" s="129">
        <v>14.0</v>
      </c>
      <c r="Q231" s="130">
        <v>46033.48384259259</v>
      </c>
      <c r="R231" s="124" t="s">
        <v>107</v>
      </c>
      <c r="S231" s="124" t="s">
        <v>109</v>
      </c>
      <c r="T231" s="124" t="s">
        <v>208</v>
      </c>
      <c r="U231" s="124" t="s">
        <v>478</v>
      </c>
      <c r="V231" s="124" t="s">
        <v>480</v>
      </c>
      <c r="W231" s="124" t="s">
        <v>481</v>
      </c>
      <c r="X231" s="124" t="s">
        <v>120</v>
      </c>
      <c r="Y231" s="128"/>
      <c r="Z231" s="124" t="s">
        <v>117</v>
      </c>
      <c r="AA231" s="124" t="s">
        <v>1663</v>
      </c>
      <c r="AB231" s="124" t="s">
        <v>117</v>
      </c>
      <c r="AC231" s="124" t="s">
        <v>117</v>
      </c>
      <c r="AD231" s="124" t="s">
        <v>1664</v>
      </c>
      <c r="AE231" s="124" t="s">
        <v>120</v>
      </c>
      <c r="AF231" s="128"/>
      <c r="AG231" s="124" t="s">
        <v>120</v>
      </c>
      <c r="AH231" s="128"/>
      <c r="AI231" s="124" t="s">
        <v>120</v>
      </c>
      <c r="AJ231" s="128"/>
      <c r="AK231" s="128"/>
      <c r="AL231" s="124" t="s">
        <v>185</v>
      </c>
      <c r="AM231" s="124" t="s">
        <v>242</v>
      </c>
      <c r="AN231" s="124" t="s">
        <v>216</v>
      </c>
      <c r="AO231" s="124" t="s">
        <v>129</v>
      </c>
      <c r="AP231" s="124"/>
    </row>
    <row r="232">
      <c r="A232" s="124" t="s">
        <v>721</v>
      </c>
      <c r="B232" s="124" t="s">
        <v>350</v>
      </c>
      <c r="C232" s="124" t="s">
        <v>722</v>
      </c>
      <c r="D232" s="127">
        <v>37714.0</v>
      </c>
      <c r="E232" s="124" t="s">
        <v>98</v>
      </c>
      <c r="F232" s="124">
        <v>5.538354857E9</v>
      </c>
      <c r="G232" s="124" t="s">
        <v>723</v>
      </c>
      <c r="H232" s="124" t="s">
        <v>150</v>
      </c>
      <c r="I232" s="124" t="s">
        <v>458</v>
      </c>
      <c r="J232" s="124" t="s">
        <v>358</v>
      </c>
      <c r="K232" s="124" t="s">
        <v>361</v>
      </c>
      <c r="L232" s="124">
        <v>5.512907122E9</v>
      </c>
      <c r="M232" s="128"/>
      <c r="N232" s="128"/>
      <c r="O232" s="128"/>
      <c r="P232" s="129">
        <v>22.0</v>
      </c>
      <c r="Q232" s="130">
        <v>46033.50644675926</v>
      </c>
      <c r="R232" s="124" t="s">
        <v>107</v>
      </c>
      <c r="S232" s="124" t="s">
        <v>125</v>
      </c>
      <c r="T232" s="124" t="s">
        <v>160</v>
      </c>
      <c r="U232" s="124" t="s">
        <v>329</v>
      </c>
      <c r="V232" s="124" t="s">
        <v>331</v>
      </c>
      <c r="W232" s="124" t="s">
        <v>332</v>
      </c>
      <c r="X232" s="124" t="s">
        <v>120</v>
      </c>
      <c r="Y232" s="128"/>
      <c r="Z232" s="124" t="s">
        <v>120</v>
      </c>
      <c r="AA232" s="128"/>
      <c r="AB232" s="124" t="s">
        <v>120</v>
      </c>
      <c r="AC232" s="124" t="s">
        <v>120</v>
      </c>
      <c r="AD232" s="128"/>
      <c r="AE232" s="124" t="s">
        <v>120</v>
      </c>
      <c r="AF232" s="128"/>
      <c r="AG232" s="124" t="s">
        <v>120</v>
      </c>
      <c r="AH232" s="128"/>
      <c r="AI232" s="124" t="s">
        <v>120</v>
      </c>
      <c r="AJ232" s="128"/>
      <c r="AK232" s="128"/>
      <c r="AL232" s="124" t="s">
        <v>156</v>
      </c>
      <c r="AM232" s="124" t="s">
        <v>138</v>
      </c>
      <c r="AN232" s="124" t="s">
        <v>216</v>
      </c>
      <c r="AO232" s="124" t="s">
        <v>240</v>
      </c>
      <c r="AP232" s="124"/>
    </row>
    <row r="233">
      <c r="A233" s="124" t="s">
        <v>2028</v>
      </c>
      <c r="B233" s="124" t="s">
        <v>2029</v>
      </c>
      <c r="C233" s="124" t="s">
        <v>2030</v>
      </c>
      <c r="D233" s="127">
        <v>37650.0</v>
      </c>
      <c r="E233" s="124" t="s">
        <v>177</v>
      </c>
      <c r="F233" s="124">
        <v>5.565253053E9</v>
      </c>
      <c r="G233" s="124" t="s">
        <v>2033</v>
      </c>
      <c r="H233" s="124" t="s">
        <v>140</v>
      </c>
      <c r="I233" s="128"/>
      <c r="J233" s="124" t="s">
        <v>2037</v>
      </c>
      <c r="K233" s="124" t="s">
        <v>2038</v>
      </c>
      <c r="L233" s="124">
        <v>5.526927012E9</v>
      </c>
      <c r="M233" s="128"/>
      <c r="N233" s="128"/>
      <c r="O233" s="128"/>
      <c r="P233" s="129">
        <v>23.0</v>
      </c>
      <c r="Q233" s="130">
        <v>46040.52894675926</v>
      </c>
      <c r="R233" s="124" t="s">
        <v>107</v>
      </c>
      <c r="S233" s="124" t="s">
        <v>125</v>
      </c>
      <c r="T233" s="124" t="s">
        <v>192</v>
      </c>
      <c r="U233" s="124" t="s">
        <v>609</v>
      </c>
      <c r="V233" s="124" t="s">
        <v>611</v>
      </c>
      <c r="W233" s="124" t="s">
        <v>612</v>
      </c>
      <c r="X233" s="124" t="s">
        <v>120</v>
      </c>
      <c r="Y233" s="128"/>
      <c r="Z233" s="124" t="s">
        <v>120</v>
      </c>
      <c r="AA233" s="128"/>
      <c r="AB233" s="124" t="s">
        <v>117</v>
      </c>
      <c r="AC233" s="124" t="s">
        <v>117</v>
      </c>
      <c r="AD233" s="124" t="s">
        <v>365</v>
      </c>
      <c r="AE233" s="124" t="s">
        <v>117</v>
      </c>
      <c r="AF233" s="124" t="s">
        <v>366</v>
      </c>
      <c r="AG233" s="124" t="s">
        <v>120</v>
      </c>
      <c r="AH233" s="128"/>
      <c r="AI233" s="124" t="s">
        <v>120</v>
      </c>
      <c r="AJ233" s="128"/>
      <c r="AK233" s="128"/>
      <c r="AL233" s="124" t="s">
        <v>240</v>
      </c>
      <c r="AM233" s="124" t="s">
        <v>185</v>
      </c>
      <c r="AN233" s="124" t="s">
        <v>242</v>
      </c>
      <c r="AO233" s="124" t="s">
        <v>141</v>
      </c>
      <c r="AP233" s="124"/>
    </row>
    <row r="234">
      <c r="A234" s="124" t="s">
        <v>2053</v>
      </c>
      <c r="B234" s="124" t="s">
        <v>2054</v>
      </c>
      <c r="C234" s="124" t="s">
        <v>2055</v>
      </c>
      <c r="D234" s="127">
        <v>38015.0</v>
      </c>
      <c r="E234" s="124" t="s">
        <v>177</v>
      </c>
      <c r="F234" s="124">
        <v>5.621115603E9</v>
      </c>
      <c r="G234" s="124" t="s">
        <v>2056</v>
      </c>
      <c r="H234" s="124" t="s">
        <v>140</v>
      </c>
      <c r="I234" s="124" t="s">
        <v>135</v>
      </c>
      <c r="J234" s="124" t="s">
        <v>2060</v>
      </c>
      <c r="K234" s="124" t="s">
        <v>2063</v>
      </c>
      <c r="L234" s="124">
        <v>5.563040449E9</v>
      </c>
      <c r="M234" s="128"/>
      <c r="N234" s="128"/>
      <c r="O234" s="128"/>
      <c r="P234" s="129">
        <v>22.0</v>
      </c>
      <c r="Q234" s="130">
        <v>46037.5240625</v>
      </c>
      <c r="R234" s="124" t="s">
        <v>107</v>
      </c>
      <c r="S234" s="124" t="s">
        <v>125</v>
      </c>
      <c r="T234" s="124" t="s">
        <v>171</v>
      </c>
      <c r="U234" s="124" t="s">
        <v>638</v>
      </c>
      <c r="V234" s="124" t="s">
        <v>639</v>
      </c>
      <c r="W234" s="124" t="s">
        <v>641</v>
      </c>
      <c r="X234" s="124" t="s">
        <v>120</v>
      </c>
      <c r="Y234" s="128"/>
      <c r="Z234" s="124" t="s">
        <v>120</v>
      </c>
      <c r="AA234" s="128"/>
      <c r="AB234" s="124" t="s">
        <v>120</v>
      </c>
      <c r="AC234" s="128"/>
      <c r="AD234" s="128"/>
      <c r="AE234" s="124" t="s">
        <v>120</v>
      </c>
      <c r="AF234" s="128"/>
      <c r="AG234" s="124" t="s">
        <v>120</v>
      </c>
      <c r="AH234" s="128"/>
      <c r="AI234" s="124" t="s">
        <v>120</v>
      </c>
      <c r="AJ234" s="128"/>
      <c r="AK234" s="128"/>
      <c r="AL234" s="124" t="s">
        <v>138</v>
      </c>
      <c r="AM234" s="124" t="s">
        <v>156</v>
      </c>
      <c r="AN234" s="124" t="s">
        <v>124</v>
      </c>
      <c r="AO234" s="124" t="s">
        <v>128</v>
      </c>
      <c r="AP234" s="124"/>
    </row>
    <row r="235">
      <c r="A235" s="124" t="s">
        <v>3594</v>
      </c>
      <c r="B235" s="124" t="s">
        <v>3595</v>
      </c>
      <c r="C235" s="124" t="s">
        <v>3596</v>
      </c>
      <c r="D235" s="127">
        <v>40322.0</v>
      </c>
      <c r="E235" s="124" t="s">
        <v>177</v>
      </c>
      <c r="F235" s="124">
        <v>5.62516515E9</v>
      </c>
      <c r="G235" s="124" t="s">
        <v>3597</v>
      </c>
      <c r="H235" s="124" t="s">
        <v>382</v>
      </c>
      <c r="I235" s="128"/>
      <c r="J235" s="124" t="s">
        <v>3598</v>
      </c>
      <c r="K235" s="124" t="s">
        <v>3599</v>
      </c>
      <c r="L235" s="124">
        <v>5.540319971E9</v>
      </c>
      <c r="M235" s="128"/>
      <c r="N235" s="128"/>
      <c r="O235" s="128"/>
      <c r="P235" s="129">
        <v>15.0</v>
      </c>
      <c r="Q235" s="130">
        <v>46026.729675925926</v>
      </c>
      <c r="R235" s="124" t="s">
        <v>107</v>
      </c>
      <c r="S235" s="124" t="s">
        <v>109</v>
      </c>
      <c r="T235" s="124" t="s">
        <v>204</v>
      </c>
      <c r="U235" s="124" t="s">
        <v>699</v>
      </c>
      <c r="V235" s="124" t="s">
        <v>700</v>
      </c>
      <c r="W235" s="124" t="s">
        <v>702</v>
      </c>
      <c r="X235" s="124" t="s">
        <v>120</v>
      </c>
      <c r="Y235" s="128"/>
      <c r="Z235" s="124" t="s">
        <v>120</v>
      </c>
      <c r="AA235" s="128"/>
      <c r="AB235" s="124" t="s">
        <v>120</v>
      </c>
      <c r="AC235" s="128"/>
      <c r="AD235" s="128"/>
      <c r="AE235" s="124" t="s">
        <v>120</v>
      </c>
      <c r="AF235" s="128"/>
      <c r="AG235" s="124" t="s">
        <v>120</v>
      </c>
      <c r="AH235" s="128"/>
      <c r="AI235" s="124" t="s">
        <v>120</v>
      </c>
      <c r="AJ235" s="128"/>
      <c r="AK235" s="128"/>
      <c r="AL235" s="124" t="s">
        <v>185</v>
      </c>
      <c r="AM235" s="124" t="s">
        <v>216</v>
      </c>
      <c r="AN235" s="124" t="s">
        <v>128</v>
      </c>
      <c r="AO235" s="124" t="s">
        <v>124</v>
      </c>
      <c r="AP235" s="124"/>
    </row>
    <row r="236">
      <c r="A236" s="124" t="s">
        <v>3600</v>
      </c>
      <c r="B236" s="124" t="s">
        <v>3601</v>
      </c>
      <c r="C236" s="128"/>
      <c r="D236" s="127">
        <v>40444.0</v>
      </c>
      <c r="E236" s="124" t="s">
        <v>98</v>
      </c>
      <c r="F236" s="124">
        <v>5.518386821E9</v>
      </c>
      <c r="G236" s="124" t="s">
        <v>3602</v>
      </c>
      <c r="H236" s="124" t="s">
        <v>101</v>
      </c>
      <c r="I236" s="124" t="s">
        <v>1325</v>
      </c>
      <c r="J236" s="124" t="s">
        <v>3603</v>
      </c>
      <c r="K236" s="124" t="s">
        <v>3602</v>
      </c>
      <c r="L236" s="124">
        <v>5.518386821E9</v>
      </c>
      <c r="M236" s="128"/>
      <c r="N236" s="128"/>
      <c r="O236" s="128"/>
      <c r="P236" s="129">
        <v>15.0</v>
      </c>
      <c r="Q236" s="130">
        <v>46041.79127314815</v>
      </c>
      <c r="R236" s="124" t="s">
        <v>107</v>
      </c>
      <c r="S236" s="124" t="s">
        <v>109</v>
      </c>
      <c r="T236" s="124" t="s">
        <v>111</v>
      </c>
      <c r="U236" s="124" t="s">
        <v>398</v>
      </c>
      <c r="V236" s="124" t="s">
        <v>399</v>
      </c>
      <c r="W236" s="124" t="s">
        <v>400</v>
      </c>
      <c r="X236" s="124" t="s">
        <v>120</v>
      </c>
      <c r="Y236" s="128"/>
      <c r="Z236" s="124" t="s">
        <v>120</v>
      </c>
      <c r="AA236" s="128"/>
      <c r="AB236" s="124" t="s">
        <v>120</v>
      </c>
      <c r="AC236" s="124" t="s">
        <v>120</v>
      </c>
      <c r="AD236" s="128"/>
      <c r="AE236" s="124" t="s">
        <v>120</v>
      </c>
      <c r="AF236" s="128"/>
      <c r="AG236" s="124" t="s">
        <v>120</v>
      </c>
      <c r="AH236" s="128"/>
      <c r="AI236" s="124" t="s">
        <v>120</v>
      </c>
      <c r="AJ236" s="128"/>
      <c r="AK236" s="128"/>
      <c r="AL236" s="124" t="s">
        <v>129</v>
      </c>
      <c r="AM236" s="124" t="s">
        <v>216</v>
      </c>
      <c r="AN236" s="124" t="s">
        <v>124</v>
      </c>
      <c r="AO236" s="124" t="s">
        <v>126</v>
      </c>
      <c r="AP236" s="124"/>
    </row>
    <row r="237">
      <c r="A237" s="124" t="s">
        <v>1676</v>
      </c>
      <c r="B237" s="124" t="s">
        <v>1678</v>
      </c>
      <c r="C237" s="124" t="s">
        <v>1680</v>
      </c>
      <c r="D237" s="127">
        <v>39545.0</v>
      </c>
      <c r="E237" s="124" t="s">
        <v>98</v>
      </c>
      <c r="F237" s="124">
        <v>5.588032892E9</v>
      </c>
      <c r="G237" s="124" t="s">
        <v>1685</v>
      </c>
      <c r="H237" s="124" t="s">
        <v>101</v>
      </c>
      <c r="I237" s="128"/>
      <c r="J237" s="124" t="s">
        <v>1687</v>
      </c>
      <c r="K237" s="124" t="s">
        <v>1688</v>
      </c>
      <c r="L237" s="124">
        <v>5.580325992E9</v>
      </c>
      <c r="M237" s="128"/>
      <c r="N237" s="128"/>
      <c r="O237" s="128"/>
      <c r="P237" s="129">
        <v>17.0</v>
      </c>
      <c r="Q237" s="130">
        <v>46036.9050462963</v>
      </c>
      <c r="R237" s="124" t="s">
        <v>107</v>
      </c>
      <c r="S237" s="124" t="s">
        <v>109</v>
      </c>
      <c r="T237" s="124" t="s">
        <v>160</v>
      </c>
      <c r="U237" s="124" t="s">
        <v>308</v>
      </c>
      <c r="V237" s="124" t="s">
        <v>309</v>
      </c>
      <c r="W237" s="124" t="s">
        <v>310</v>
      </c>
      <c r="X237" s="124" t="s">
        <v>120</v>
      </c>
      <c r="Y237" s="128"/>
      <c r="Z237" s="124" t="s">
        <v>120</v>
      </c>
      <c r="AA237" s="128"/>
      <c r="AB237" s="124" t="s">
        <v>117</v>
      </c>
      <c r="AC237" s="124" t="s">
        <v>117</v>
      </c>
      <c r="AD237" s="124" t="s">
        <v>1699</v>
      </c>
      <c r="AE237" s="124" t="s">
        <v>120</v>
      </c>
      <c r="AF237" s="128"/>
      <c r="AG237" s="124" t="s">
        <v>120</v>
      </c>
      <c r="AH237" s="128"/>
      <c r="AI237" s="124" t="s">
        <v>120</v>
      </c>
      <c r="AJ237" s="128"/>
      <c r="AK237" s="128"/>
      <c r="AL237" s="124" t="s">
        <v>141</v>
      </c>
      <c r="AM237" s="124" t="s">
        <v>242</v>
      </c>
      <c r="AN237" s="124" t="s">
        <v>128</v>
      </c>
      <c r="AO237" s="124" t="s">
        <v>129</v>
      </c>
      <c r="AP237" s="124"/>
    </row>
    <row r="238">
      <c r="A238" s="124" t="s">
        <v>3604</v>
      </c>
      <c r="B238" s="124" t="s">
        <v>3605</v>
      </c>
      <c r="C238" s="124" t="s">
        <v>3606</v>
      </c>
      <c r="D238" s="127">
        <v>34869.0</v>
      </c>
      <c r="E238" s="124" t="s">
        <v>177</v>
      </c>
      <c r="F238" s="124">
        <v>5.560179687E9</v>
      </c>
      <c r="G238" s="124" t="s">
        <v>3607</v>
      </c>
      <c r="H238" s="124" t="s">
        <v>101</v>
      </c>
      <c r="I238" s="124" t="s">
        <v>1901</v>
      </c>
      <c r="J238" s="124" t="s">
        <v>3608</v>
      </c>
      <c r="K238" s="124" t="s">
        <v>3609</v>
      </c>
      <c r="L238" s="124">
        <v>5.56989061E9</v>
      </c>
      <c r="M238" s="128"/>
      <c r="N238" s="128"/>
      <c r="O238" s="128"/>
      <c r="P238" s="129">
        <v>30.0</v>
      </c>
      <c r="Q238" s="130">
        <v>46026.52811342593</v>
      </c>
      <c r="R238" s="124" t="s">
        <v>107</v>
      </c>
      <c r="S238" s="124" t="s">
        <v>125</v>
      </c>
      <c r="T238" s="124" t="s">
        <v>160</v>
      </c>
      <c r="U238" s="124" t="s">
        <v>1739</v>
      </c>
      <c r="V238" s="124" t="s">
        <v>1740</v>
      </c>
      <c r="W238" s="124" t="s">
        <v>1741</v>
      </c>
      <c r="X238" s="124" t="s">
        <v>120</v>
      </c>
      <c r="Y238" s="128"/>
      <c r="Z238" s="124" t="s">
        <v>120</v>
      </c>
      <c r="AA238" s="128"/>
      <c r="AB238" s="124" t="s">
        <v>120</v>
      </c>
      <c r="AC238" s="128"/>
      <c r="AD238" s="128"/>
      <c r="AE238" s="124" t="s">
        <v>120</v>
      </c>
      <c r="AF238" s="128"/>
      <c r="AG238" s="124" t="s">
        <v>120</v>
      </c>
      <c r="AH238" s="128"/>
      <c r="AI238" s="124" t="s">
        <v>120</v>
      </c>
      <c r="AJ238" s="128"/>
      <c r="AK238" s="128"/>
      <c r="AL238" s="124" t="s">
        <v>141</v>
      </c>
      <c r="AM238" s="124" t="s">
        <v>124</v>
      </c>
      <c r="AN238" s="124" t="s">
        <v>126</v>
      </c>
      <c r="AO238" s="124" t="s">
        <v>138</v>
      </c>
      <c r="AP238" s="124"/>
    </row>
    <row r="239">
      <c r="A239" s="124" t="s">
        <v>3610</v>
      </c>
      <c r="B239" s="124" t="s">
        <v>3611</v>
      </c>
      <c r="C239" s="124" t="s">
        <v>37</v>
      </c>
      <c r="D239" s="127">
        <v>39641.0</v>
      </c>
      <c r="E239" s="124" t="s">
        <v>98</v>
      </c>
      <c r="F239" s="124">
        <v>5.564311123E9</v>
      </c>
      <c r="G239" s="124" t="s">
        <v>3612</v>
      </c>
      <c r="H239" s="124" t="s">
        <v>382</v>
      </c>
      <c r="I239" s="128"/>
      <c r="J239" s="124" t="s">
        <v>3613</v>
      </c>
      <c r="K239" s="124" t="s">
        <v>3612</v>
      </c>
      <c r="L239" s="124">
        <v>5.517467916E9</v>
      </c>
      <c r="M239" s="124" t="s">
        <v>3614</v>
      </c>
      <c r="N239" s="124" t="s">
        <v>3615</v>
      </c>
      <c r="O239" s="124">
        <v>9.982707621E9</v>
      </c>
      <c r="P239" s="129">
        <v>17.0</v>
      </c>
      <c r="Q239" s="130">
        <v>46024.67518518519</v>
      </c>
      <c r="R239" s="124" t="s">
        <v>107</v>
      </c>
      <c r="S239" s="124" t="s">
        <v>109</v>
      </c>
      <c r="T239" s="124" t="s">
        <v>192</v>
      </c>
      <c r="U239" s="124" t="s">
        <v>195</v>
      </c>
      <c r="V239" s="124" t="s">
        <v>198</v>
      </c>
      <c r="W239" s="124" t="s">
        <v>200</v>
      </c>
      <c r="X239" s="124" t="s">
        <v>120</v>
      </c>
      <c r="Y239" s="128"/>
      <c r="Z239" s="124" t="s">
        <v>120</v>
      </c>
      <c r="AA239" s="128"/>
      <c r="AB239" s="124" t="s">
        <v>120</v>
      </c>
      <c r="AC239" s="128"/>
      <c r="AD239" s="128"/>
      <c r="AE239" s="124" t="s">
        <v>120</v>
      </c>
      <c r="AF239" s="128"/>
      <c r="AG239" s="124" t="s">
        <v>120</v>
      </c>
      <c r="AH239" s="128"/>
      <c r="AI239" s="124" t="s">
        <v>120</v>
      </c>
      <c r="AJ239" s="128"/>
      <c r="AK239" s="128"/>
      <c r="AL239" s="124" t="s">
        <v>129</v>
      </c>
      <c r="AM239" s="124" t="s">
        <v>126</v>
      </c>
      <c r="AN239" s="124" t="s">
        <v>156</v>
      </c>
      <c r="AO239" s="124" t="s">
        <v>185</v>
      </c>
      <c r="AP239" s="124"/>
    </row>
    <row r="240">
      <c r="A240" s="124" t="s">
        <v>3616</v>
      </c>
      <c r="B240" s="124" t="s">
        <v>3617</v>
      </c>
      <c r="C240" s="124" t="s">
        <v>3618</v>
      </c>
      <c r="D240" s="127">
        <v>40039.0</v>
      </c>
      <c r="E240" s="124" t="s">
        <v>177</v>
      </c>
      <c r="F240" s="124">
        <v>5.527999327E9</v>
      </c>
      <c r="G240" s="124" t="s">
        <v>3619</v>
      </c>
      <c r="H240" s="124" t="s">
        <v>101</v>
      </c>
      <c r="I240" s="124" t="s">
        <v>3620</v>
      </c>
      <c r="J240" s="124" t="s">
        <v>3621</v>
      </c>
      <c r="K240" s="124" t="s">
        <v>3622</v>
      </c>
      <c r="L240" s="124">
        <v>5.578992955E9</v>
      </c>
      <c r="M240" s="124" t="s">
        <v>3623</v>
      </c>
      <c r="N240" s="124" t="s">
        <v>3624</v>
      </c>
      <c r="O240" s="124">
        <v>7.3521861E9</v>
      </c>
      <c r="P240" s="129">
        <v>16.0</v>
      </c>
      <c r="Q240" s="130">
        <v>46033.72758101852</v>
      </c>
      <c r="R240" s="124" t="s">
        <v>107</v>
      </c>
      <c r="S240" s="124" t="s">
        <v>109</v>
      </c>
      <c r="T240" s="124" t="s">
        <v>171</v>
      </c>
      <c r="U240" s="124" t="s">
        <v>173</v>
      </c>
      <c r="V240" s="124" t="s">
        <v>167</v>
      </c>
      <c r="W240" s="124" t="s">
        <v>175</v>
      </c>
      <c r="X240" s="124" t="s">
        <v>120</v>
      </c>
      <c r="Y240" s="128"/>
      <c r="Z240" s="124" t="s">
        <v>120</v>
      </c>
      <c r="AA240" s="128"/>
      <c r="AB240" s="124" t="s">
        <v>120</v>
      </c>
      <c r="AC240" s="128"/>
      <c r="AD240" s="128"/>
      <c r="AE240" s="124" t="s">
        <v>120</v>
      </c>
      <c r="AF240" s="128"/>
      <c r="AG240" s="124" t="s">
        <v>120</v>
      </c>
      <c r="AH240" s="128"/>
      <c r="AI240" s="124" t="s">
        <v>120</v>
      </c>
      <c r="AJ240" s="128"/>
      <c r="AK240" s="128"/>
      <c r="AL240" s="124" t="s">
        <v>126</v>
      </c>
      <c r="AM240" s="124" t="s">
        <v>156</v>
      </c>
      <c r="AN240" s="124" t="s">
        <v>185</v>
      </c>
      <c r="AO240" s="124" t="s">
        <v>124</v>
      </c>
      <c r="AP240" s="124"/>
    </row>
    <row r="241">
      <c r="A241" s="124" t="s">
        <v>3625</v>
      </c>
      <c r="B241" s="124" t="s">
        <v>3626</v>
      </c>
      <c r="C241" s="128"/>
      <c r="D241" s="127">
        <v>41110.0</v>
      </c>
      <c r="E241" s="124" t="s">
        <v>177</v>
      </c>
      <c r="F241" s="124">
        <v>3.411050729E9</v>
      </c>
      <c r="G241" s="124" t="s">
        <v>3627</v>
      </c>
      <c r="H241" s="124" t="s">
        <v>140</v>
      </c>
      <c r="I241" s="128"/>
      <c r="J241" s="124" t="s">
        <v>3628</v>
      </c>
      <c r="K241" s="124" t="s">
        <v>3629</v>
      </c>
      <c r="L241" s="124">
        <v>3.411050729E9</v>
      </c>
      <c r="M241" s="124" t="s">
        <v>3630</v>
      </c>
      <c r="N241" s="124" t="s">
        <v>3631</v>
      </c>
      <c r="O241" s="124">
        <v>5.561794268E9</v>
      </c>
      <c r="P241" s="129">
        <v>13.0</v>
      </c>
      <c r="Q241" s="130">
        <v>46026.743483796294</v>
      </c>
      <c r="R241" s="124" t="s">
        <v>107</v>
      </c>
      <c r="S241" s="124" t="s">
        <v>109</v>
      </c>
      <c r="T241" s="124" t="s">
        <v>204</v>
      </c>
      <c r="U241" s="124" t="s">
        <v>205</v>
      </c>
      <c r="V241" s="124" t="s">
        <v>206</v>
      </c>
      <c r="W241" s="124" t="s">
        <v>207</v>
      </c>
      <c r="X241" s="124" t="s">
        <v>120</v>
      </c>
      <c r="Y241" s="128"/>
      <c r="Z241" s="124" t="s">
        <v>120</v>
      </c>
      <c r="AA241" s="128"/>
      <c r="AB241" s="124" t="s">
        <v>120</v>
      </c>
      <c r="AC241" s="128"/>
      <c r="AD241" s="128"/>
      <c r="AE241" s="124" t="s">
        <v>120</v>
      </c>
      <c r="AF241" s="128"/>
      <c r="AG241" s="124" t="s">
        <v>120</v>
      </c>
      <c r="AH241" s="128"/>
      <c r="AI241" s="124" t="s">
        <v>120</v>
      </c>
      <c r="AJ241" s="128"/>
      <c r="AK241" s="128"/>
      <c r="AL241" s="124" t="s">
        <v>240</v>
      </c>
      <c r="AM241" s="124" t="s">
        <v>138</v>
      </c>
      <c r="AN241" s="124" t="s">
        <v>128</v>
      </c>
      <c r="AO241" s="124" t="s">
        <v>156</v>
      </c>
      <c r="AP241" s="124"/>
    </row>
    <row r="242">
      <c r="A242" s="124" t="s">
        <v>1510</v>
      </c>
      <c r="B242" s="124" t="s">
        <v>1513</v>
      </c>
      <c r="C242" s="124" t="s">
        <v>1514</v>
      </c>
      <c r="D242" s="127">
        <v>40459.0</v>
      </c>
      <c r="E242" s="124" t="s">
        <v>177</v>
      </c>
      <c r="F242" s="124" t="s">
        <v>1515</v>
      </c>
      <c r="G242" s="124" t="s">
        <v>1516</v>
      </c>
      <c r="H242" s="124" t="s">
        <v>150</v>
      </c>
      <c r="I242" s="128"/>
      <c r="J242" s="124" t="s">
        <v>1519</v>
      </c>
      <c r="K242" s="124" t="s">
        <v>1521</v>
      </c>
      <c r="L242" s="124">
        <v>5.586136085E9</v>
      </c>
      <c r="M242" s="128"/>
      <c r="N242" s="128"/>
      <c r="O242" s="128"/>
      <c r="P242" s="129">
        <v>15.0</v>
      </c>
      <c r="Q242" s="130">
        <v>46020.466678240744</v>
      </c>
      <c r="R242" s="124" t="s">
        <v>107</v>
      </c>
      <c r="S242" s="124" t="s">
        <v>109</v>
      </c>
      <c r="T242" s="124" t="s">
        <v>208</v>
      </c>
      <c r="U242" s="124" t="s">
        <v>428</v>
      </c>
      <c r="V242" s="124" t="s">
        <v>429</v>
      </c>
      <c r="W242" s="124" t="s">
        <v>430</v>
      </c>
      <c r="X242" s="124" t="s">
        <v>120</v>
      </c>
      <c r="Y242" s="128"/>
      <c r="Z242" s="124" t="s">
        <v>120</v>
      </c>
      <c r="AA242" s="128"/>
      <c r="AB242" s="124" t="s">
        <v>120</v>
      </c>
      <c r="AC242" s="124" t="s">
        <v>117</v>
      </c>
      <c r="AD242" s="128"/>
      <c r="AE242" s="124" t="s">
        <v>120</v>
      </c>
      <c r="AF242" s="128"/>
      <c r="AG242" s="124" t="s">
        <v>120</v>
      </c>
      <c r="AH242" s="128"/>
      <c r="AI242" s="124" t="s">
        <v>117</v>
      </c>
      <c r="AJ242" s="124" t="s">
        <v>1540</v>
      </c>
      <c r="AK242" s="128"/>
      <c r="AL242" s="124" t="s">
        <v>185</v>
      </c>
      <c r="AM242" s="124" t="s">
        <v>156</v>
      </c>
      <c r="AN242" s="124" t="s">
        <v>124</v>
      </c>
      <c r="AO242" s="124" t="s">
        <v>138</v>
      </c>
      <c r="AP242" s="124"/>
    </row>
    <row r="243">
      <c r="A243" s="124" t="s">
        <v>2073</v>
      </c>
      <c r="B243" s="124" t="s">
        <v>712</v>
      </c>
      <c r="C243" s="124" t="s">
        <v>2074</v>
      </c>
      <c r="D243" s="127">
        <v>37941.0</v>
      </c>
      <c r="E243" s="124" t="s">
        <v>177</v>
      </c>
      <c r="F243" s="124" t="s">
        <v>2076</v>
      </c>
      <c r="G243" s="124" t="s">
        <v>2078</v>
      </c>
      <c r="H243" s="124" t="s">
        <v>110</v>
      </c>
      <c r="I243" s="128"/>
      <c r="J243" s="124" t="s">
        <v>2080</v>
      </c>
      <c r="K243" s="124" t="s">
        <v>2081</v>
      </c>
      <c r="L243" s="124">
        <v>5.513813704E9</v>
      </c>
      <c r="M243" s="128"/>
      <c r="N243" s="128"/>
      <c r="O243" s="128"/>
      <c r="P243" s="129">
        <v>22.0</v>
      </c>
      <c r="Q243" s="130">
        <v>46044.944016203706</v>
      </c>
      <c r="R243" s="124" t="s">
        <v>260</v>
      </c>
      <c r="S243" s="124" t="s">
        <v>125</v>
      </c>
      <c r="T243" s="124" t="s">
        <v>192</v>
      </c>
      <c r="U243" s="124" t="s">
        <v>485</v>
      </c>
      <c r="V243" s="124" t="s">
        <v>486</v>
      </c>
      <c r="W243" s="124" t="s">
        <v>487</v>
      </c>
      <c r="X243" s="124" t="s">
        <v>120</v>
      </c>
      <c r="Y243" s="128"/>
      <c r="Z243" s="124" t="s">
        <v>120</v>
      </c>
      <c r="AA243" s="128"/>
      <c r="AB243" s="124" t="s">
        <v>120</v>
      </c>
      <c r="AC243" s="128"/>
      <c r="AD243" s="128"/>
      <c r="AE243" s="124" t="s">
        <v>120</v>
      </c>
      <c r="AF243" s="128"/>
      <c r="AG243" s="124" t="s">
        <v>120</v>
      </c>
      <c r="AH243" s="128"/>
      <c r="AI243" s="124" t="s">
        <v>120</v>
      </c>
      <c r="AJ243" s="128"/>
      <c r="AK243" s="128"/>
      <c r="AL243" s="124" t="s">
        <v>138</v>
      </c>
      <c r="AM243" s="124" t="s">
        <v>129</v>
      </c>
      <c r="AN243" s="124" t="s">
        <v>124</v>
      </c>
      <c r="AO243" s="124" t="s">
        <v>141</v>
      </c>
      <c r="AP243" s="124"/>
    </row>
    <row r="244">
      <c r="A244" s="124" t="s">
        <v>3632</v>
      </c>
      <c r="B244" s="124" t="s">
        <v>3633</v>
      </c>
      <c r="C244" s="124" t="s">
        <v>3634</v>
      </c>
      <c r="D244" s="127">
        <v>34977.0</v>
      </c>
      <c r="E244" s="124" t="s">
        <v>177</v>
      </c>
      <c r="F244" s="124">
        <v>5.570581262E9</v>
      </c>
      <c r="G244" s="124" t="s">
        <v>3361</v>
      </c>
      <c r="H244" s="124" t="s">
        <v>150</v>
      </c>
      <c r="I244" s="124" t="s">
        <v>979</v>
      </c>
      <c r="J244" s="124" t="s">
        <v>3362</v>
      </c>
      <c r="K244" s="124" t="s">
        <v>3361</v>
      </c>
      <c r="L244" s="124">
        <v>5.546686041E9</v>
      </c>
      <c r="M244" s="128"/>
      <c r="N244" s="128"/>
      <c r="O244" s="128"/>
      <c r="P244" s="129">
        <v>30.0</v>
      </c>
      <c r="Q244" s="130">
        <v>46040.5146875</v>
      </c>
      <c r="R244" s="124" t="s">
        <v>107</v>
      </c>
      <c r="S244" s="124" t="s">
        <v>125</v>
      </c>
      <c r="T244" s="124" t="s">
        <v>160</v>
      </c>
      <c r="U244" s="124" t="s">
        <v>308</v>
      </c>
      <c r="V244" s="124" t="s">
        <v>309</v>
      </c>
      <c r="W244" s="124" t="s">
        <v>310</v>
      </c>
      <c r="X244" s="124" t="s">
        <v>120</v>
      </c>
      <c r="Y244" s="128"/>
      <c r="Z244" s="124" t="s">
        <v>120</v>
      </c>
      <c r="AA244" s="128"/>
      <c r="AB244" s="124" t="s">
        <v>120</v>
      </c>
      <c r="AC244" s="124" t="s">
        <v>120</v>
      </c>
      <c r="AD244" s="128"/>
      <c r="AE244" s="124" t="s">
        <v>120</v>
      </c>
      <c r="AF244" s="128"/>
      <c r="AG244" s="124" t="s">
        <v>120</v>
      </c>
      <c r="AH244" s="128"/>
      <c r="AI244" s="124" t="s">
        <v>120</v>
      </c>
      <c r="AJ244" s="128"/>
      <c r="AK244" s="128"/>
      <c r="AL244" s="124" t="s">
        <v>141</v>
      </c>
      <c r="AM244" s="124" t="s">
        <v>129</v>
      </c>
      <c r="AN244" s="124" t="s">
        <v>242</v>
      </c>
      <c r="AO244" s="124" t="s">
        <v>185</v>
      </c>
      <c r="AP244" s="124"/>
    </row>
    <row r="245">
      <c r="A245" s="124" t="s">
        <v>3635</v>
      </c>
      <c r="B245" s="124" t="s">
        <v>3636</v>
      </c>
      <c r="C245" s="124" t="s">
        <v>3637</v>
      </c>
      <c r="D245" s="127">
        <v>39486.0</v>
      </c>
      <c r="E245" s="124" t="s">
        <v>177</v>
      </c>
      <c r="F245" s="124">
        <v>5.582397952E9</v>
      </c>
      <c r="G245" s="124" t="s">
        <v>3638</v>
      </c>
      <c r="H245" s="124" t="s">
        <v>150</v>
      </c>
      <c r="I245" s="128"/>
      <c r="J245" s="124" t="s">
        <v>3639</v>
      </c>
      <c r="K245" s="124" t="s">
        <v>3640</v>
      </c>
      <c r="L245" s="124">
        <v>5.522184089E9</v>
      </c>
      <c r="M245" s="128"/>
      <c r="N245" s="128"/>
      <c r="O245" s="128"/>
      <c r="P245" s="129">
        <v>18.0</v>
      </c>
      <c r="Q245" s="130">
        <v>46036.83524305555</v>
      </c>
      <c r="R245" s="124" t="s">
        <v>107</v>
      </c>
      <c r="S245" s="124" t="s">
        <v>109</v>
      </c>
      <c r="T245" s="124" t="s">
        <v>192</v>
      </c>
      <c r="U245" s="124" t="s">
        <v>505</v>
      </c>
      <c r="V245" s="124" t="s">
        <v>506</v>
      </c>
      <c r="W245" s="124" t="s">
        <v>507</v>
      </c>
      <c r="X245" s="124" t="s">
        <v>120</v>
      </c>
      <c r="Y245" s="128"/>
      <c r="Z245" s="124" t="s">
        <v>120</v>
      </c>
      <c r="AA245" s="128"/>
      <c r="AB245" s="124" t="s">
        <v>120</v>
      </c>
      <c r="AC245" s="128"/>
      <c r="AD245" s="128"/>
      <c r="AE245" s="124" t="s">
        <v>120</v>
      </c>
      <c r="AF245" s="128"/>
      <c r="AG245" s="124" t="s">
        <v>120</v>
      </c>
      <c r="AH245" s="128"/>
      <c r="AI245" s="124" t="s">
        <v>120</v>
      </c>
      <c r="AJ245" s="128"/>
      <c r="AK245" s="128"/>
      <c r="AL245" s="124" t="s">
        <v>185</v>
      </c>
      <c r="AM245" s="124" t="s">
        <v>141</v>
      </c>
      <c r="AN245" s="124" t="s">
        <v>216</v>
      </c>
      <c r="AO245" s="124" t="s">
        <v>242</v>
      </c>
      <c r="AP245" s="124"/>
    </row>
    <row r="246">
      <c r="A246" s="124" t="s">
        <v>736</v>
      </c>
      <c r="B246" s="124" t="s">
        <v>737</v>
      </c>
      <c r="C246" s="124" t="s">
        <v>738</v>
      </c>
      <c r="D246" s="127">
        <v>39076.0</v>
      </c>
      <c r="E246" s="124" t="s">
        <v>98</v>
      </c>
      <c r="F246" s="124">
        <v>5.511938853E9</v>
      </c>
      <c r="G246" s="124" t="s">
        <v>739</v>
      </c>
      <c r="H246" s="124" t="s">
        <v>140</v>
      </c>
      <c r="I246" s="124" t="s">
        <v>740</v>
      </c>
      <c r="J246" s="124" t="s">
        <v>741</v>
      </c>
      <c r="K246" s="124" t="s">
        <v>742</v>
      </c>
      <c r="L246" s="124">
        <v>5.513442315E9</v>
      </c>
      <c r="M246" s="124" t="s">
        <v>743</v>
      </c>
      <c r="N246" s="124" t="s">
        <v>745</v>
      </c>
      <c r="O246" s="124">
        <v>5.537256597E9</v>
      </c>
      <c r="P246" s="129">
        <v>19.0</v>
      </c>
      <c r="Q246" s="130">
        <v>46038.95716435185</v>
      </c>
      <c r="R246" s="124" t="s">
        <v>107</v>
      </c>
      <c r="S246" s="124" t="s">
        <v>125</v>
      </c>
      <c r="T246" s="124" t="s">
        <v>192</v>
      </c>
      <c r="U246" s="124" t="s">
        <v>749</v>
      </c>
      <c r="V246" s="124" t="s">
        <v>750</v>
      </c>
      <c r="W246" s="124" t="s">
        <v>751</v>
      </c>
      <c r="X246" s="124" t="s">
        <v>120</v>
      </c>
      <c r="Y246" s="128"/>
      <c r="Z246" s="124" t="s">
        <v>120</v>
      </c>
      <c r="AA246" s="128"/>
      <c r="AB246" s="124" t="s">
        <v>120</v>
      </c>
      <c r="AC246" s="128"/>
      <c r="AD246" s="128"/>
      <c r="AE246" s="124" t="s">
        <v>120</v>
      </c>
      <c r="AF246" s="128"/>
      <c r="AG246" s="124" t="s">
        <v>120</v>
      </c>
      <c r="AH246" s="128"/>
      <c r="AI246" s="124" t="s">
        <v>120</v>
      </c>
      <c r="AJ246" s="128"/>
      <c r="AK246" s="128"/>
      <c r="AL246" s="124" t="s">
        <v>138</v>
      </c>
      <c r="AM246" s="124" t="s">
        <v>185</v>
      </c>
      <c r="AN246" s="124" t="s">
        <v>129</v>
      </c>
      <c r="AO246" s="124" t="s">
        <v>242</v>
      </c>
      <c r="AP246" s="124"/>
    </row>
    <row r="247">
      <c r="A247" s="124" t="s">
        <v>136</v>
      </c>
      <c r="B247" s="124" t="s">
        <v>96</v>
      </c>
      <c r="C247" s="124" t="s">
        <v>137</v>
      </c>
      <c r="D247" s="127">
        <v>40805.0</v>
      </c>
      <c r="E247" s="124" t="s">
        <v>98</v>
      </c>
      <c r="F247" s="124">
        <v>5.618779038E9</v>
      </c>
      <c r="G247" s="124" t="s">
        <v>139</v>
      </c>
      <c r="H247" s="124" t="s">
        <v>140</v>
      </c>
      <c r="I247" s="128"/>
      <c r="J247" s="124" t="s">
        <v>143</v>
      </c>
      <c r="K247" s="124" t="s">
        <v>106</v>
      </c>
      <c r="L247" s="124">
        <v>5.566802269E9</v>
      </c>
      <c r="M247" s="124" t="s">
        <v>144</v>
      </c>
      <c r="N247" s="124" t="s">
        <v>145</v>
      </c>
      <c r="O247" s="124">
        <v>0.0</v>
      </c>
      <c r="P247" s="129">
        <v>14.0</v>
      </c>
      <c r="Q247" s="130">
        <v>46040.59625</v>
      </c>
      <c r="R247" s="124" t="s">
        <v>107</v>
      </c>
      <c r="S247" s="124" t="s">
        <v>109</v>
      </c>
      <c r="T247" s="124" t="s">
        <v>111</v>
      </c>
      <c r="U247" s="124" t="s">
        <v>112</v>
      </c>
      <c r="V247" s="124" t="s">
        <v>114</v>
      </c>
      <c r="W247" s="124" t="s">
        <v>115</v>
      </c>
      <c r="X247" s="124" t="s">
        <v>117</v>
      </c>
      <c r="Y247" s="124" t="s">
        <v>142</v>
      </c>
      <c r="Z247" s="124" t="s">
        <v>117</v>
      </c>
      <c r="AA247" s="124" t="s">
        <v>151</v>
      </c>
      <c r="AB247" s="124" t="s">
        <v>117</v>
      </c>
      <c r="AC247" s="124" t="s">
        <v>117</v>
      </c>
      <c r="AD247" s="124" t="s">
        <v>153</v>
      </c>
      <c r="AE247" s="124" t="s">
        <v>120</v>
      </c>
      <c r="AF247" s="128"/>
      <c r="AG247" s="124" t="s">
        <v>120</v>
      </c>
      <c r="AH247" s="128"/>
      <c r="AI247" s="124" t="s">
        <v>120</v>
      </c>
      <c r="AJ247" s="128"/>
      <c r="AK247" s="128"/>
      <c r="AL247" s="124" t="s">
        <v>128</v>
      </c>
      <c r="AM247" s="124" t="s">
        <v>126</v>
      </c>
      <c r="AN247" s="124" t="s">
        <v>156</v>
      </c>
      <c r="AO247" s="124" t="s">
        <v>124</v>
      </c>
      <c r="AP247" s="124"/>
    </row>
    <row r="248">
      <c r="A248" s="124" t="s">
        <v>451</v>
      </c>
      <c r="B248" s="124" t="s">
        <v>1912</v>
      </c>
      <c r="C248" s="124" t="s">
        <v>1913</v>
      </c>
      <c r="D248" s="127">
        <v>40257.0</v>
      </c>
      <c r="E248" s="124" t="s">
        <v>98</v>
      </c>
      <c r="F248" s="124">
        <v>5.642992795E9</v>
      </c>
      <c r="G248" s="124" t="s">
        <v>1920</v>
      </c>
      <c r="H248" s="124" t="s">
        <v>150</v>
      </c>
      <c r="I248" s="124" t="s">
        <v>2351</v>
      </c>
      <c r="J248" s="124" t="s">
        <v>1924</v>
      </c>
      <c r="K248" s="124" t="s">
        <v>1925</v>
      </c>
      <c r="L248" s="124">
        <v>5.546144414E9</v>
      </c>
      <c r="M248" s="124" t="s">
        <v>1928</v>
      </c>
      <c r="N248" s="124" t="s">
        <v>1929</v>
      </c>
      <c r="O248" s="124">
        <v>5.616834998E9</v>
      </c>
      <c r="P248" s="129">
        <v>15.0</v>
      </c>
      <c r="Q248" s="130">
        <v>46025.64896990741</v>
      </c>
      <c r="R248" s="124" t="s">
        <v>546</v>
      </c>
      <c r="S248" s="124" t="s">
        <v>109</v>
      </c>
      <c r="T248" s="124" t="s">
        <v>127</v>
      </c>
      <c r="U248" s="124" t="s">
        <v>531</v>
      </c>
      <c r="V248" s="124" t="s">
        <v>532</v>
      </c>
      <c r="W248" s="124" t="s">
        <v>534</v>
      </c>
      <c r="X248" s="124" t="s">
        <v>120</v>
      </c>
      <c r="Y248" s="128"/>
      <c r="Z248" s="124" t="s">
        <v>120</v>
      </c>
      <c r="AA248" s="128"/>
      <c r="AB248" s="124" t="s">
        <v>120</v>
      </c>
      <c r="AC248" s="128"/>
      <c r="AD248" s="124" t="s">
        <v>2360</v>
      </c>
      <c r="AE248" s="124" t="s">
        <v>117</v>
      </c>
      <c r="AF248" s="124" t="s">
        <v>2362</v>
      </c>
      <c r="AG248" s="124" t="s">
        <v>120</v>
      </c>
      <c r="AH248" s="128"/>
      <c r="AI248" s="124" t="s">
        <v>117</v>
      </c>
      <c r="AJ248" s="124" t="s">
        <v>2364</v>
      </c>
      <c r="AK248" s="128"/>
      <c r="AL248" s="124" t="s">
        <v>185</v>
      </c>
      <c r="AM248" s="124" t="s">
        <v>240</v>
      </c>
      <c r="AN248" s="124" t="s">
        <v>156</v>
      </c>
      <c r="AO248" s="124" t="s">
        <v>124</v>
      </c>
      <c r="AP248" s="124"/>
    </row>
    <row r="249">
      <c r="A249" s="124" t="s">
        <v>2096</v>
      </c>
      <c r="B249" s="124" t="s">
        <v>2097</v>
      </c>
      <c r="C249" s="124" t="s">
        <v>2098</v>
      </c>
      <c r="D249" s="127">
        <v>34686.0</v>
      </c>
      <c r="E249" s="124" t="s">
        <v>177</v>
      </c>
      <c r="F249" s="124">
        <v>5.517713497E9</v>
      </c>
      <c r="G249" s="124" t="s">
        <v>2099</v>
      </c>
      <c r="H249" s="124" t="s">
        <v>150</v>
      </c>
      <c r="I249" s="124" t="s">
        <v>2100</v>
      </c>
      <c r="J249" s="124" t="s">
        <v>2101</v>
      </c>
      <c r="K249" s="124" t="s">
        <v>2102</v>
      </c>
      <c r="L249" s="124">
        <v>5.534506975E9</v>
      </c>
      <c r="M249" s="128"/>
      <c r="N249" s="128"/>
      <c r="O249" s="128"/>
      <c r="P249" s="129">
        <v>31.0</v>
      </c>
      <c r="Q249" s="130">
        <v>46039.58877314815</v>
      </c>
      <c r="R249" s="124" t="s">
        <v>107</v>
      </c>
      <c r="S249" s="124" t="s">
        <v>125</v>
      </c>
      <c r="T249" s="124" t="s">
        <v>208</v>
      </c>
      <c r="U249" s="124" t="s">
        <v>601</v>
      </c>
      <c r="V249" s="124" t="s">
        <v>602</v>
      </c>
      <c r="W249" s="124" t="s">
        <v>603</v>
      </c>
      <c r="X249" s="124" t="s">
        <v>120</v>
      </c>
      <c r="Y249" s="128"/>
      <c r="Z249" s="124" t="s">
        <v>120</v>
      </c>
      <c r="AA249" s="128"/>
      <c r="AB249" s="124" t="s">
        <v>120</v>
      </c>
      <c r="AC249" s="124" t="s">
        <v>120</v>
      </c>
      <c r="AD249" s="128"/>
      <c r="AE249" s="124" t="s">
        <v>120</v>
      </c>
      <c r="AF249" s="128"/>
      <c r="AG249" s="124" t="s">
        <v>120</v>
      </c>
      <c r="AH249" s="128"/>
      <c r="AI249" s="124" t="s">
        <v>120</v>
      </c>
      <c r="AJ249" s="128"/>
      <c r="AK249" s="128"/>
      <c r="AL249" s="124" t="s">
        <v>138</v>
      </c>
      <c r="AM249" s="124" t="s">
        <v>126</v>
      </c>
      <c r="AN249" s="124" t="s">
        <v>242</v>
      </c>
      <c r="AO249" s="124" t="s">
        <v>216</v>
      </c>
      <c r="AP249" s="124"/>
    </row>
    <row r="250">
      <c r="A250" s="124" t="s">
        <v>2115</v>
      </c>
      <c r="B250" s="124" t="s">
        <v>2116</v>
      </c>
      <c r="C250" s="124" t="s">
        <v>2117</v>
      </c>
      <c r="D250" s="127">
        <v>37192.0</v>
      </c>
      <c r="E250" s="124" t="s">
        <v>177</v>
      </c>
      <c r="F250" s="124">
        <v>5.549323227E9</v>
      </c>
      <c r="G250" s="124" t="s">
        <v>2118</v>
      </c>
      <c r="H250" s="124" t="s">
        <v>101</v>
      </c>
      <c r="I250" s="128"/>
      <c r="J250" s="124" t="s">
        <v>2119</v>
      </c>
      <c r="K250" s="124" t="s">
        <v>750</v>
      </c>
      <c r="L250" s="124">
        <v>5.518810516E9</v>
      </c>
      <c r="M250" s="128"/>
      <c r="N250" s="128"/>
      <c r="O250" s="128"/>
      <c r="P250" s="129">
        <v>24.0</v>
      </c>
      <c r="Q250" s="130">
        <v>46026.749189814815</v>
      </c>
      <c r="R250" s="124" t="s">
        <v>107</v>
      </c>
      <c r="S250" s="124" t="s">
        <v>125</v>
      </c>
      <c r="T250" s="124" t="s">
        <v>192</v>
      </c>
      <c r="U250" s="124" t="s">
        <v>749</v>
      </c>
      <c r="V250" s="124" t="s">
        <v>750</v>
      </c>
      <c r="W250" s="124" t="s">
        <v>751</v>
      </c>
      <c r="X250" s="124" t="s">
        <v>120</v>
      </c>
      <c r="Y250" s="128"/>
      <c r="Z250" s="124" t="s">
        <v>117</v>
      </c>
      <c r="AA250" s="124" t="s">
        <v>2126</v>
      </c>
      <c r="AB250" s="124" t="s">
        <v>120</v>
      </c>
      <c r="AC250" s="128"/>
      <c r="AD250" s="128"/>
      <c r="AE250" s="124" t="s">
        <v>120</v>
      </c>
      <c r="AF250" s="128"/>
      <c r="AG250" s="124" t="s">
        <v>120</v>
      </c>
      <c r="AH250" s="128"/>
      <c r="AI250" s="124" t="s">
        <v>120</v>
      </c>
      <c r="AJ250" s="128"/>
      <c r="AK250" s="128"/>
      <c r="AL250" s="124" t="s">
        <v>240</v>
      </c>
      <c r="AM250" s="124" t="s">
        <v>138</v>
      </c>
      <c r="AN250" s="124" t="s">
        <v>128</v>
      </c>
      <c r="AO250" s="124" t="s">
        <v>129</v>
      </c>
      <c r="AP250" s="124"/>
    </row>
    <row r="251">
      <c r="A251" s="124" t="s">
        <v>1486</v>
      </c>
      <c r="B251" s="124" t="s">
        <v>1488</v>
      </c>
      <c r="C251" s="124" t="s">
        <v>1490</v>
      </c>
      <c r="D251" s="127">
        <v>40577.0</v>
      </c>
      <c r="E251" s="124" t="s">
        <v>98</v>
      </c>
      <c r="F251" s="124">
        <v>5.55108371E9</v>
      </c>
      <c r="G251" s="124" t="s">
        <v>1492</v>
      </c>
      <c r="H251" s="124" t="s">
        <v>150</v>
      </c>
      <c r="I251" s="124" t="s">
        <v>1494</v>
      </c>
      <c r="J251" s="124" t="s">
        <v>1443</v>
      </c>
      <c r="K251" s="124" t="s">
        <v>1441</v>
      </c>
      <c r="L251" s="124">
        <v>5.55108371E9</v>
      </c>
      <c r="M251" s="128"/>
      <c r="N251" s="128"/>
      <c r="O251" s="128"/>
      <c r="P251" s="129">
        <v>15.0</v>
      </c>
      <c r="Q251" s="130">
        <v>46026.73986111111</v>
      </c>
      <c r="R251" s="124" t="s">
        <v>107</v>
      </c>
      <c r="S251" s="124" t="s">
        <v>109</v>
      </c>
      <c r="T251" s="124" t="s">
        <v>204</v>
      </c>
      <c r="U251" s="124" t="s">
        <v>357</v>
      </c>
      <c r="V251" s="124" t="s">
        <v>359</v>
      </c>
      <c r="W251" s="124" t="s">
        <v>362</v>
      </c>
      <c r="X251" s="124" t="s">
        <v>120</v>
      </c>
      <c r="Y251" s="128"/>
      <c r="Z251" s="124" t="s">
        <v>117</v>
      </c>
      <c r="AA251" s="124" t="s">
        <v>1503</v>
      </c>
      <c r="AB251" s="124" t="s">
        <v>120</v>
      </c>
      <c r="AC251" s="124" t="s">
        <v>120</v>
      </c>
      <c r="AD251" s="128"/>
      <c r="AE251" s="124" t="s">
        <v>120</v>
      </c>
      <c r="AF251" s="128"/>
      <c r="AG251" s="124" t="s">
        <v>120</v>
      </c>
      <c r="AH251" s="128"/>
      <c r="AI251" s="124" t="s">
        <v>120</v>
      </c>
      <c r="AJ251" s="128"/>
      <c r="AK251" s="128"/>
      <c r="AL251" s="124" t="s">
        <v>141</v>
      </c>
      <c r="AM251" s="124" t="s">
        <v>156</v>
      </c>
      <c r="AN251" s="124" t="s">
        <v>126</v>
      </c>
      <c r="AO251" s="124" t="s">
        <v>216</v>
      </c>
      <c r="AP251" s="124"/>
    </row>
    <row r="252">
      <c r="A252" s="124" t="s">
        <v>3641</v>
      </c>
      <c r="B252" s="124" t="s">
        <v>3642</v>
      </c>
      <c r="C252" s="124" t="s">
        <v>3643</v>
      </c>
      <c r="D252" s="127">
        <v>40796.0</v>
      </c>
      <c r="E252" s="124" t="s">
        <v>98</v>
      </c>
      <c r="F252" s="124">
        <v>5.636792081E9</v>
      </c>
      <c r="G252" s="124" t="s">
        <v>3644</v>
      </c>
      <c r="H252" s="124" t="s">
        <v>101</v>
      </c>
      <c r="I252" s="128"/>
      <c r="J252" s="124" t="s">
        <v>3645</v>
      </c>
      <c r="K252" s="124" t="s">
        <v>3644</v>
      </c>
      <c r="L252" s="124">
        <v>5.5173931E9</v>
      </c>
      <c r="M252" s="128"/>
      <c r="N252" s="128"/>
      <c r="O252" s="128"/>
      <c r="P252" s="129">
        <v>14.0</v>
      </c>
      <c r="Q252" s="130">
        <v>46039.94065972222</v>
      </c>
      <c r="R252" s="124" t="s">
        <v>107</v>
      </c>
      <c r="S252" s="124" t="s">
        <v>109</v>
      </c>
      <c r="T252" s="124" t="s">
        <v>208</v>
      </c>
      <c r="U252" s="124" t="s">
        <v>1599</v>
      </c>
      <c r="V252" s="124" t="s">
        <v>1600</v>
      </c>
      <c r="W252" s="124" t="s">
        <v>1602</v>
      </c>
      <c r="X252" s="124" t="s">
        <v>120</v>
      </c>
      <c r="Y252" s="128"/>
      <c r="Z252" s="124" t="s">
        <v>120</v>
      </c>
      <c r="AA252" s="128"/>
      <c r="AB252" s="124" t="s">
        <v>120</v>
      </c>
      <c r="AC252" s="124" t="s">
        <v>120</v>
      </c>
      <c r="AD252" s="128"/>
      <c r="AE252" s="124" t="s">
        <v>120</v>
      </c>
      <c r="AF252" s="128"/>
      <c r="AG252" s="124" t="s">
        <v>120</v>
      </c>
      <c r="AH252" s="128"/>
      <c r="AI252" s="124" t="s">
        <v>120</v>
      </c>
      <c r="AJ252" s="128"/>
      <c r="AK252" s="128"/>
      <c r="AL252" s="124" t="s">
        <v>141</v>
      </c>
      <c r="AM252" s="124" t="s">
        <v>129</v>
      </c>
      <c r="AN252" s="124" t="s">
        <v>138</v>
      </c>
      <c r="AO252" s="124" t="s">
        <v>216</v>
      </c>
      <c r="AP252" s="124"/>
    </row>
    <row r="253">
      <c r="A253" s="124" t="s">
        <v>1542</v>
      </c>
      <c r="B253" s="124" t="s">
        <v>1543</v>
      </c>
      <c r="C253" s="124" t="s">
        <v>1544</v>
      </c>
      <c r="D253" s="127">
        <v>40653.0</v>
      </c>
      <c r="E253" s="124" t="s">
        <v>177</v>
      </c>
      <c r="F253" s="124">
        <v>5.610274297E9</v>
      </c>
      <c r="G253" s="124" t="s">
        <v>1547</v>
      </c>
      <c r="H253" s="124" t="s">
        <v>140</v>
      </c>
      <c r="I253" s="124" t="s">
        <v>1549</v>
      </c>
      <c r="J253" s="124" t="s">
        <v>1551</v>
      </c>
      <c r="K253" s="124" t="s">
        <v>1547</v>
      </c>
      <c r="L253" s="124">
        <v>5.610274297E9</v>
      </c>
      <c r="M253" s="128"/>
      <c r="N253" s="128"/>
      <c r="O253" s="128"/>
      <c r="P253" s="129">
        <v>14.0</v>
      </c>
      <c r="Q253" s="130">
        <v>46039.70263888889</v>
      </c>
      <c r="R253" s="124" t="s">
        <v>107</v>
      </c>
      <c r="S253" s="124" t="s">
        <v>109</v>
      </c>
      <c r="T253" s="124" t="s">
        <v>204</v>
      </c>
      <c r="U253" s="124" t="s">
        <v>311</v>
      </c>
      <c r="V253" s="124" t="s">
        <v>312</v>
      </c>
      <c r="W253" s="124" t="s">
        <v>313</v>
      </c>
      <c r="X253" s="124" t="s">
        <v>120</v>
      </c>
      <c r="Y253" s="128"/>
      <c r="Z253" s="124" t="s">
        <v>120</v>
      </c>
      <c r="AA253" s="128"/>
      <c r="AB253" s="124" t="s">
        <v>117</v>
      </c>
      <c r="AC253" s="124" t="s">
        <v>117</v>
      </c>
      <c r="AD253" s="124" t="s">
        <v>1566</v>
      </c>
      <c r="AE253" s="124" t="s">
        <v>120</v>
      </c>
      <c r="AF253" s="128"/>
      <c r="AG253" s="124" t="s">
        <v>120</v>
      </c>
      <c r="AH253" s="128"/>
      <c r="AI253" s="124" t="s">
        <v>117</v>
      </c>
      <c r="AJ253" s="124" t="s">
        <v>178</v>
      </c>
      <c r="AK253" s="128"/>
      <c r="AL253" s="124" t="s">
        <v>141</v>
      </c>
      <c r="AM253" s="124" t="s">
        <v>129</v>
      </c>
      <c r="AN253" s="124" t="s">
        <v>138</v>
      </c>
      <c r="AO253" s="124" t="s">
        <v>126</v>
      </c>
      <c r="AP253" s="124"/>
    </row>
    <row r="254">
      <c r="A254" s="124" t="s">
        <v>3230</v>
      </c>
      <c r="B254" s="124" t="s">
        <v>3646</v>
      </c>
      <c r="C254" s="124" t="s">
        <v>3647</v>
      </c>
      <c r="D254" s="127">
        <v>39724.0</v>
      </c>
      <c r="E254" s="124" t="s">
        <v>98</v>
      </c>
      <c r="F254" s="128" t="str">
        <f>+52 56 3377 8229</f>
        <v>#ERROR!</v>
      </c>
      <c r="G254" s="124" t="s">
        <v>3648</v>
      </c>
      <c r="H254" s="124" t="s">
        <v>101</v>
      </c>
      <c r="I254" s="124" t="s">
        <v>120</v>
      </c>
      <c r="J254" s="124" t="s">
        <v>3649</v>
      </c>
      <c r="K254" s="124" t="s">
        <v>3650</v>
      </c>
      <c r="L254" s="128" t="str">
        <f>+52 56 1156 7898</f>
        <v>#ERROR!</v>
      </c>
      <c r="M254" s="124" t="s">
        <v>3651</v>
      </c>
      <c r="N254" s="124" t="s">
        <v>3652</v>
      </c>
      <c r="O254" s="128" t="str">
        <f>+52 56 1156 7898</f>
        <v>#ERROR!</v>
      </c>
      <c r="P254" s="129">
        <v>17.0</v>
      </c>
      <c r="Q254" s="130">
        <v>46037.47555555555</v>
      </c>
      <c r="R254" s="124" t="s">
        <v>107</v>
      </c>
      <c r="S254" s="124" t="s">
        <v>109</v>
      </c>
      <c r="T254" s="124" t="s">
        <v>204</v>
      </c>
      <c r="U254" s="124" t="s">
        <v>357</v>
      </c>
      <c r="V254" s="124" t="s">
        <v>359</v>
      </c>
      <c r="W254" s="124" t="s">
        <v>362</v>
      </c>
      <c r="X254" s="124" t="s">
        <v>120</v>
      </c>
      <c r="Y254" s="128"/>
      <c r="Z254" s="124" t="s">
        <v>120</v>
      </c>
      <c r="AA254" s="128"/>
      <c r="AB254" s="124" t="s">
        <v>120</v>
      </c>
      <c r="AC254" s="124" t="s">
        <v>120</v>
      </c>
      <c r="AD254" s="128"/>
      <c r="AE254" s="124" t="s">
        <v>120</v>
      </c>
      <c r="AF254" s="128"/>
      <c r="AG254" s="124" t="s">
        <v>120</v>
      </c>
      <c r="AH254" s="128"/>
      <c r="AI254" s="124" t="s">
        <v>120</v>
      </c>
      <c r="AJ254" s="128"/>
      <c r="AK254" s="128"/>
      <c r="AL254" s="124" t="s">
        <v>129</v>
      </c>
      <c r="AM254" s="124" t="s">
        <v>156</v>
      </c>
      <c r="AN254" s="124" t="s">
        <v>126</v>
      </c>
      <c r="AO254" s="124" t="s">
        <v>185</v>
      </c>
      <c r="AP254" s="124"/>
    </row>
    <row r="255">
      <c r="A255" s="124" t="s">
        <v>2131</v>
      </c>
      <c r="B255" s="124" t="s">
        <v>2133</v>
      </c>
      <c r="C255" s="124" t="s">
        <v>2134</v>
      </c>
      <c r="D255" s="127">
        <v>38532.0</v>
      </c>
      <c r="E255" s="124" t="s">
        <v>177</v>
      </c>
      <c r="F255" s="124">
        <v>5.565066989E9</v>
      </c>
      <c r="G255" s="124" t="s">
        <v>2137</v>
      </c>
      <c r="H255" s="124" t="s">
        <v>101</v>
      </c>
      <c r="I255" s="128"/>
      <c r="J255" s="124" t="s">
        <v>2139</v>
      </c>
      <c r="K255" s="124" t="s">
        <v>2141</v>
      </c>
      <c r="L255" s="124">
        <v>5.565066989E9</v>
      </c>
      <c r="M255" s="128"/>
      <c r="N255" s="128"/>
      <c r="O255" s="128"/>
      <c r="P255" s="129">
        <v>20.0</v>
      </c>
      <c r="Q255" s="130">
        <v>46030.96766203704</v>
      </c>
      <c r="R255" s="124" t="s">
        <v>107</v>
      </c>
      <c r="S255" s="124" t="s">
        <v>125</v>
      </c>
      <c r="T255" s="124" t="s">
        <v>171</v>
      </c>
      <c r="U255" s="124" t="s">
        <v>2149</v>
      </c>
      <c r="V255" s="124" t="s">
        <v>2141</v>
      </c>
      <c r="W255" s="124" t="s">
        <v>2151</v>
      </c>
      <c r="X255" s="124" t="s">
        <v>120</v>
      </c>
      <c r="Y255" s="124" t="s">
        <v>120</v>
      </c>
      <c r="Z255" s="124" t="s">
        <v>120</v>
      </c>
      <c r="AA255" s="128"/>
      <c r="AB255" s="124" t="s">
        <v>120</v>
      </c>
      <c r="AC255" s="124" t="s">
        <v>120</v>
      </c>
      <c r="AD255" s="128"/>
      <c r="AE255" s="124" t="s">
        <v>120</v>
      </c>
      <c r="AF255" s="128"/>
      <c r="AG255" s="124" t="s">
        <v>120</v>
      </c>
      <c r="AH255" s="128"/>
      <c r="AI255" s="124" t="s">
        <v>120</v>
      </c>
      <c r="AJ255" s="128"/>
      <c r="AK255" s="124" t="s">
        <v>135</v>
      </c>
      <c r="AL255" s="124" t="s">
        <v>129</v>
      </c>
      <c r="AM255" s="124" t="s">
        <v>126</v>
      </c>
      <c r="AN255" s="124" t="s">
        <v>138</v>
      </c>
      <c r="AO255" s="124" t="s">
        <v>138</v>
      </c>
      <c r="AP255" s="124"/>
    </row>
    <row r="256">
      <c r="A256" s="124" t="s">
        <v>3653</v>
      </c>
      <c r="B256" s="124" t="s">
        <v>1604</v>
      </c>
      <c r="C256" s="124" t="s">
        <v>3654</v>
      </c>
      <c r="D256" s="127">
        <v>39496.0</v>
      </c>
      <c r="E256" s="124" t="s">
        <v>98</v>
      </c>
      <c r="F256" s="124">
        <v>5.519330748E9</v>
      </c>
      <c r="G256" s="124" t="s">
        <v>3655</v>
      </c>
      <c r="H256" s="124" t="s">
        <v>101</v>
      </c>
      <c r="I256" s="128"/>
      <c r="J256" s="124" t="s">
        <v>3656</v>
      </c>
      <c r="K256" s="124" t="s">
        <v>1610</v>
      </c>
      <c r="L256" s="124">
        <v>5.537705539E9</v>
      </c>
      <c r="M256" s="128"/>
      <c r="N256" s="128"/>
      <c r="O256" s="128"/>
      <c r="P256" s="129">
        <v>18.0</v>
      </c>
      <c r="Q256" s="130">
        <v>46025.83641203704</v>
      </c>
      <c r="R256" s="124" t="s">
        <v>107</v>
      </c>
      <c r="S256" s="124" t="s">
        <v>109</v>
      </c>
      <c r="T256" s="124" t="s">
        <v>208</v>
      </c>
      <c r="U256" s="124" t="s">
        <v>228</v>
      </c>
      <c r="V256" s="124" t="s">
        <v>229</v>
      </c>
      <c r="W256" s="124" t="s">
        <v>230</v>
      </c>
      <c r="X256" s="124" t="s">
        <v>120</v>
      </c>
      <c r="Y256" s="128"/>
      <c r="Z256" s="124" t="s">
        <v>120</v>
      </c>
      <c r="AA256" s="128"/>
      <c r="AB256" s="124" t="s">
        <v>120</v>
      </c>
      <c r="AC256" s="124" t="s">
        <v>120</v>
      </c>
      <c r="AD256" s="128"/>
      <c r="AE256" s="124" t="s">
        <v>120</v>
      </c>
      <c r="AF256" s="128"/>
      <c r="AG256" s="124" t="s">
        <v>120</v>
      </c>
      <c r="AH256" s="128"/>
      <c r="AI256" s="124" t="s">
        <v>120</v>
      </c>
      <c r="AJ256" s="128"/>
      <c r="AK256" s="128"/>
      <c r="AL256" s="124" t="s">
        <v>185</v>
      </c>
      <c r="AM256" s="124" t="s">
        <v>156</v>
      </c>
      <c r="AN256" s="124" t="s">
        <v>242</v>
      </c>
      <c r="AO256" s="124" t="s">
        <v>138</v>
      </c>
      <c r="AP256" s="124"/>
    </row>
    <row r="257">
      <c r="A257" s="124" t="s">
        <v>2641</v>
      </c>
      <c r="B257" s="124" t="s">
        <v>2643</v>
      </c>
      <c r="C257" s="124" t="s">
        <v>2646</v>
      </c>
      <c r="D257" s="127">
        <v>40221.0</v>
      </c>
      <c r="E257" s="124" t="s">
        <v>98</v>
      </c>
      <c r="F257" s="124" t="s">
        <v>2648</v>
      </c>
      <c r="G257" s="124" t="s">
        <v>2650</v>
      </c>
      <c r="H257" s="124" t="s">
        <v>101</v>
      </c>
      <c r="I257" s="128"/>
      <c r="J257" s="124" t="s">
        <v>2652</v>
      </c>
      <c r="K257" s="124" t="s">
        <v>2653</v>
      </c>
      <c r="L257" s="124">
        <v>5.545993258E9</v>
      </c>
      <c r="M257" s="128"/>
      <c r="N257" s="128"/>
      <c r="O257" s="128"/>
      <c r="P257" s="129">
        <v>16.0</v>
      </c>
      <c r="Q257" s="130">
        <v>46040.64071759259</v>
      </c>
      <c r="R257" s="124" t="s">
        <v>107</v>
      </c>
      <c r="S257" s="124" t="s">
        <v>109</v>
      </c>
      <c r="T257" s="124" t="s">
        <v>192</v>
      </c>
      <c r="U257" s="124" t="s">
        <v>485</v>
      </c>
      <c r="V257" s="124" t="s">
        <v>486</v>
      </c>
      <c r="W257" s="124" t="s">
        <v>487</v>
      </c>
      <c r="X257" s="124" t="s">
        <v>120</v>
      </c>
      <c r="Y257" s="128"/>
      <c r="Z257" s="124" t="s">
        <v>120</v>
      </c>
      <c r="AA257" s="128"/>
      <c r="AB257" s="124" t="s">
        <v>120</v>
      </c>
      <c r="AC257" s="124" t="s">
        <v>120</v>
      </c>
      <c r="AD257" s="128"/>
      <c r="AE257" s="124" t="s">
        <v>120</v>
      </c>
      <c r="AF257" s="128"/>
      <c r="AG257" s="124" t="s">
        <v>117</v>
      </c>
      <c r="AH257" s="124" t="s">
        <v>2659</v>
      </c>
      <c r="AI257" s="124" t="s">
        <v>120</v>
      </c>
      <c r="AJ257" s="128"/>
      <c r="AK257" s="128"/>
      <c r="AL257" s="124" t="s">
        <v>216</v>
      </c>
      <c r="AM257" s="124" t="s">
        <v>141</v>
      </c>
      <c r="AN257" s="124" t="s">
        <v>124</v>
      </c>
      <c r="AO257" s="124" t="s">
        <v>129</v>
      </c>
      <c r="AP257" s="124"/>
    </row>
    <row r="258">
      <c r="A258" s="124" t="s">
        <v>510</v>
      </c>
      <c r="B258" s="124" t="s">
        <v>3657</v>
      </c>
      <c r="C258" s="124" t="s">
        <v>3658</v>
      </c>
      <c r="D258" s="127">
        <v>40914.0</v>
      </c>
      <c r="E258" s="124" t="s">
        <v>98</v>
      </c>
      <c r="F258" s="124">
        <v>5.512475416E9</v>
      </c>
      <c r="G258" s="124" t="s">
        <v>3659</v>
      </c>
      <c r="H258" s="124" t="s">
        <v>140</v>
      </c>
      <c r="I258" s="124" t="s">
        <v>3660</v>
      </c>
      <c r="J258" s="124" t="s">
        <v>3661</v>
      </c>
      <c r="K258" s="124" t="s">
        <v>3662</v>
      </c>
      <c r="L258" s="124">
        <v>5.536499641E9</v>
      </c>
      <c r="M258" s="124" t="s">
        <v>3663</v>
      </c>
      <c r="N258" s="124" t="s">
        <v>3664</v>
      </c>
      <c r="O258" s="124">
        <v>5.518098804E9</v>
      </c>
      <c r="P258" s="129">
        <v>14.0</v>
      </c>
      <c r="Q258" s="130">
        <v>46026.8765162037</v>
      </c>
      <c r="R258" s="124" t="s">
        <v>107</v>
      </c>
      <c r="S258" s="124" t="s">
        <v>109</v>
      </c>
      <c r="T258" s="124" t="s">
        <v>204</v>
      </c>
      <c r="U258" s="124" t="s">
        <v>295</v>
      </c>
      <c r="V258" s="124" t="s">
        <v>298</v>
      </c>
      <c r="W258" s="124" t="s">
        <v>299</v>
      </c>
      <c r="X258" s="124" t="s">
        <v>120</v>
      </c>
      <c r="Y258" s="128"/>
      <c r="Z258" s="124" t="s">
        <v>117</v>
      </c>
      <c r="AA258" s="124" t="s">
        <v>3665</v>
      </c>
      <c r="AB258" s="124" t="s">
        <v>120</v>
      </c>
      <c r="AC258" s="124" t="s">
        <v>120</v>
      </c>
      <c r="AD258" s="128"/>
      <c r="AE258" s="124" t="s">
        <v>120</v>
      </c>
      <c r="AF258" s="128"/>
      <c r="AG258" s="124" t="s">
        <v>120</v>
      </c>
      <c r="AH258" s="128"/>
      <c r="AI258" s="124" t="s">
        <v>120</v>
      </c>
      <c r="AJ258" s="128"/>
      <c r="AK258" s="128"/>
      <c r="AL258" s="124" t="s">
        <v>242</v>
      </c>
      <c r="AM258" s="124" t="s">
        <v>216</v>
      </c>
      <c r="AN258" s="124" t="s">
        <v>156</v>
      </c>
      <c r="AO258" s="124" t="s">
        <v>129</v>
      </c>
      <c r="AP258" s="124"/>
    </row>
    <row r="259">
      <c r="A259" s="124" t="s">
        <v>1334</v>
      </c>
      <c r="B259" s="124" t="s">
        <v>1335</v>
      </c>
      <c r="C259" s="124" t="s">
        <v>1337</v>
      </c>
      <c r="D259" s="127">
        <v>39623.0</v>
      </c>
      <c r="E259" s="124" t="s">
        <v>98</v>
      </c>
      <c r="F259" s="124">
        <v>5.563179379E9</v>
      </c>
      <c r="G259" s="124" t="s">
        <v>1341</v>
      </c>
      <c r="H259" s="124" t="s">
        <v>101</v>
      </c>
      <c r="I259" s="124" t="s">
        <v>1343</v>
      </c>
      <c r="J259" s="124" t="s">
        <v>1346</v>
      </c>
      <c r="K259" s="124" t="s">
        <v>1347</v>
      </c>
      <c r="L259" s="124">
        <v>5.582471633E9</v>
      </c>
      <c r="M259" s="124" t="s">
        <v>1350</v>
      </c>
      <c r="N259" s="124" t="s">
        <v>1352</v>
      </c>
      <c r="O259" s="124">
        <v>5.577152422E9</v>
      </c>
      <c r="P259" s="129">
        <v>17.0</v>
      </c>
      <c r="Q259" s="130">
        <v>46038.82268518519</v>
      </c>
      <c r="R259" s="124" t="s">
        <v>107</v>
      </c>
      <c r="S259" s="124" t="s">
        <v>109</v>
      </c>
      <c r="T259" s="124" t="s">
        <v>160</v>
      </c>
      <c r="U259" s="124" t="s">
        <v>329</v>
      </c>
      <c r="V259" s="124" t="s">
        <v>331</v>
      </c>
      <c r="W259" s="124" t="s">
        <v>332</v>
      </c>
      <c r="X259" s="124" t="s">
        <v>120</v>
      </c>
      <c r="Y259" s="128"/>
      <c r="Z259" s="124" t="s">
        <v>117</v>
      </c>
      <c r="AA259" s="124" t="s">
        <v>1357</v>
      </c>
      <c r="AB259" s="124" t="s">
        <v>117</v>
      </c>
      <c r="AC259" s="124" t="s">
        <v>117</v>
      </c>
      <c r="AD259" s="124" t="s">
        <v>365</v>
      </c>
      <c r="AE259" s="124" t="s">
        <v>117</v>
      </c>
      <c r="AF259" s="124" t="s">
        <v>366</v>
      </c>
      <c r="AG259" s="124" t="s">
        <v>120</v>
      </c>
      <c r="AH259" s="128"/>
      <c r="AI259" s="124" t="s">
        <v>120</v>
      </c>
      <c r="AJ259" s="128"/>
      <c r="AK259" s="128"/>
      <c r="AL259" s="124" t="s">
        <v>141</v>
      </c>
      <c r="AM259" s="124" t="s">
        <v>242</v>
      </c>
      <c r="AN259" s="124" t="s">
        <v>240</v>
      </c>
      <c r="AO259" s="124" t="s">
        <v>124</v>
      </c>
      <c r="AP259" s="124"/>
    </row>
    <row r="260">
      <c r="A260" s="124" t="s">
        <v>3666</v>
      </c>
      <c r="B260" s="124" t="s">
        <v>3667</v>
      </c>
      <c r="C260" s="124" t="s">
        <v>3668</v>
      </c>
      <c r="D260" s="127">
        <v>38322.0</v>
      </c>
      <c r="E260" s="124" t="s">
        <v>177</v>
      </c>
      <c r="F260" s="124">
        <v>5.519387331E9</v>
      </c>
      <c r="G260" s="124" t="s">
        <v>3669</v>
      </c>
      <c r="H260" s="124" t="s">
        <v>150</v>
      </c>
      <c r="I260" s="128"/>
      <c r="J260" s="124" t="s">
        <v>3670</v>
      </c>
      <c r="K260" s="124" t="s">
        <v>3671</v>
      </c>
      <c r="L260" s="124">
        <v>5.535331335E9</v>
      </c>
      <c r="M260" s="128"/>
      <c r="N260" s="128"/>
      <c r="O260" s="128"/>
      <c r="P260" s="129">
        <v>21.0</v>
      </c>
      <c r="Q260" s="130">
        <v>46040.97650462963</v>
      </c>
      <c r="R260" s="124" t="s">
        <v>107</v>
      </c>
      <c r="S260" s="124" t="s">
        <v>125</v>
      </c>
      <c r="T260" s="124" t="s">
        <v>208</v>
      </c>
      <c r="U260" s="124" t="s">
        <v>1599</v>
      </c>
      <c r="V260" s="124" t="s">
        <v>1600</v>
      </c>
      <c r="W260" s="124" t="s">
        <v>1602</v>
      </c>
      <c r="X260" s="124" t="s">
        <v>120</v>
      </c>
      <c r="Y260" s="128"/>
      <c r="Z260" s="124" t="s">
        <v>120</v>
      </c>
      <c r="AA260" s="128"/>
      <c r="AB260" s="124" t="s">
        <v>120</v>
      </c>
      <c r="AC260" s="124" t="s">
        <v>120</v>
      </c>
      <c r="AD260" s="128"/>
      <c r="AE260" s="124" t="s">
        <v>120</v>
      </c>
      <c r="AF260" s="128"/>
      <c r="AG260" s="124" t="s">
        <v>120</v>
      </c>
      <c r="AH260" s="128"/>
      <c r="AI260" s="124" t="s">
        <v>120</v>
      </c>
      <c r="AJ260" s="128"/>
      <c r="AK260" s="128"/>
      <c r="AL260" s="124" t="s">
        <v>126</v>
      </c>
      <c r="AM260" s="124" t="s">
        <v>138</v>
      </c>
      <c r="AN260" s="124" t="s">
        <v>185</v>
      </c>
      <c r="AO260" s="124" t="s">
        <v>124</v>
      </c>
      <c r="AP260" s="124"/>
    </row>
    <row r="261">
      <c r="A261" s="124" t="s">
        <v>2154</v>
      </c>
      <c r="B261" s="124" t="s">
        <v>2155</v>
      </c>
      <c r="C261" s="124" t="s">
        <v>2156</v>
      </c>
      <c r="D261" s="127">
        <v>37886.0</v>
      </c>
      <c r="E261" s="124" t="s">
        <v>98</v>
      </c>
      <c r="F261" s="124">
        <v>9.935612182E9</v>
      </c>
      <c r="G261" s="124" t="s">
        <v>2157</v>
      </c>
      <c r="H261" s="124" t="s">
        <v>140</v>
      </c>
      <c r="I261" s="128"/>
      <c r="J261" s="124" t="s">
        <v>2158</v>
      </c>
      <c r="K261" s="124" t="s">
        <v>2159</v>
      </c>
      <c r="L261" s="124">
        <v>9.931779898E9</v>
      </c>
      <c r="M261" s="124" t="s">
        <v>2160</v>
      </c>
      <c r="N261" s="124" t="s">
        <v>2161</v>
      </c>
      <c r="O261" s="124">
        <v>9.933112769E9</v>
      </c>
      <c r="P261" s="129">
        <v>22.0</v>
      </c>
      <c r="Q261" s="130">
        <v>45970.05950231481</v>
      </c>
      <c r="R261" s="124" t="s">
        <v>546</v>
      </c>
      <c r="S261" s="124" t="s">
        <v>125</v>
      </c>
      <c r="T261" s="124" t="s">
        <v>1953</v>
      </c>
      <c r="U261" s="124" t="s">
        <v>2166</v>
      </c>
      <c r="V261" s="124" t="s">
        <v>2161</v>
      </c>
      <c r="W261" s="124" t="s">
        <v>2170</v>
      </c>
      <c r="X261" s="124" t="s">
        <v>120</v>
      </c>
      <c r="Y261" s="128"/>
      <c r="Z261" s="124" t="s">
        <v>120</v>
      </c>
      <c r="AA261" s="128"/>
      <c r="AB261" s="124" t="s">
        <v>120</v>
      </c>
      <c r="AC261" s="124" t="s">
        <v>120</v>
      </c>
      <c r="AD261" s="128"/>
      <c r="AE261" s="124" t="s">
        <v>120</v>
      </c>
      <c r="AF261" s="128"/>
      <c r="AG261" s="124" t="s">
        <v>120</v>
      </c>
      <c r="AH261" s="128"/>
      <c r="AI261" s="124" t="s">
        <v>117</v>
      </c>
      <c r="AJ261" s="124" t="s">
        <v>2181</v>
      </c>
      <c r="AK261" s="128"/>
      <c r="AL261" s="124" t="s">
        <v>129</v>
      </c>
      <c r="AM261" s="124" t="s">
        <v>138</v>
      </c>
      <c r="AN261" s="124" t="s">
        <v>128</v>
      </c>
      <c r="AO261" s="124" t="s">
        <v>240</v>
      </c>
      <c r="AP261" s="124"/>
    </row>
    <row r="262">
      <c r="A262" s="124" t="s">
        <v>3672</v>
      </c>
      <c r="B262" s="124" t="s">
        <v>3673</v>
      </c>
      <c r="C262" s="124" t="s">
        <v>3674</v>
      </c>
      <c r="D262" s="127">
        <v>39823.0</v>
      </c>
      <c r="E262" s="124" t="s">
        <v>98</v>
      </c>
      <c r="F262" s="124">
        <v>5.547120653E9</v>
      </c>
      <c r="G262" s="124" t="s">
        <v>3675</v>
      </c>
      <c r="H262" s="124" t="s">
        <v>140</v>
      </c>
      <c r="I262" s="128"/>
      <c r="J262" s="124" t="s">
        <v>3676</v>
      </c>
      <c r="K262" s="124" t="s">
        <v>3677</v>
      </c>
      <c r="L262" s="124">
        <v>5.632782761E9</v>
      </c>
      <c r="M262" s="124" t="s">
        <v>3678</v>
      </c>
      <c r="N262" s="124" t="s">
        <v>3679</v>
      </c>
      <c r="O262" s="124">
        <v>5.52570131E9</v>
      </c>
      <c r="P262" s="129">
        <v>17.0</v>
      </c>
      <c r="Q262" s="130">
        <v>46033.481307870374</v>
      </c>
      <c r="R262" s="124" t="s">
        <v>107</v>
      </c>
      <c r="S262" s="124" t="s">
        <v>109</v>
      </c>
      <c r="T262" s="124" t="s">
        <v>192</v>
      </c>
      <c r="U262" s="124" t="s">
        <v>609</v>
      </c>
      <c r="V262" s="124" t="s">
        <v>611</v>
      </c>
      <c r="W262" s="124" t="s">
        <v>612</v>
      </c>
      <c r="X262" s="124" t="s">
        <v>120</v>
      </c>
      <c r="Y262" s="128"/>
      <c r="Z262" s="124" t="s">
        <v>117</v>
      </c>
      <c r="AA262" s="124" t="s">
        <v>1729</v>
      </c>
      <c r="AB262" s="124" t="s">
        <v>120</v>
      </c>
      <c r="AC262" s="128"/>
      <c r="AD262" s="128"/>
      <c r="AE262" s="124" t="s">
        <v>120</v>
      </c>
      <c r="AF262" s="128"/>
      <c r="AG262" s="124" t="s">
        <v>120</v>
      </c>
      <c r="AH262" s="128"/>
      <c r="AI262" s="124" t="s">
        <v>120</v>
      </c>
      <c r="AJ262" s="128"/>
      <c r="AK262" s="128"/>
      <c r="AL262" s="124" t="s">
        <v>129</v>
      </c>
      <c r="AM262" s="124" t="s">
        <v>138</v>
      </c>
      <c r="AN262" s="124" t="s">
        <v>185</v>
      </c>
      <c r="AO262" s="124" t="s">
        <v>156</v>
      </c>
      <c r="AP262" s="124"/>
    </row>
    <row r="263">
      <c r="A263" s="124" t="s">
        <v>3680</v>
      </c>
      <c r="B263" s="124" t="s">
        <v>3681</v>
      </c>
      <c r="C263" s="124" t="s">
        <v>3682</v>
      </c>
      <c r="D263" s="127">
        <v>40431.0</v>
      </c>
      <c r="E263" s="124" t="s">
        <v>177</v>
      </c>
      <c r="F263" s="124">
        <v>5.634257222E9</v>
      </c>
      <c r="G263" s="124" t="s">
        <v>3683</v>
      </c>
      <c r="H263" s="124" t="s">
        <v>150</v>
      </c>
      <c r="I263" s="128"/>
      <c r="J263" s="124" t="s">
        <v>3684</v>
      </c>
      <c r="K263" s="124" t="s">
        <v>3685</v>
      </c>
      <c r="L263" s="124">
        <v>5.559335189E9</v>
      </c>
      <c r="M263" s="128"/>
      <c r="N263" s="128"/>
      <c r="O263" s="128"/>
      <c r="P263" s="129">
        <v>15.0</v>
      </c>
      <c r="Q263" s="130">
        <v>46039.402141203704</v>
      </c>
      <c r="R263" s="124" t="s">
        <v>107</v>
      </c>
      <c r="S263" s="124" t="s">
        <v>109</v>
      </c>
      <c r="T263" s="124" t="s">
        <v>160</v>
      </c>
      <c r="U263" s="124" t="s">
        <v>308</v>
      </c>
      <c r="V263" s="124" t="s">
        <v>309</v>
      </c>
      <c r="W263" s="124" t="s">
        <v>310</v>
      </c>
      <c r="X263" s="124" t="s">
        <v>120</v>
      </c>
      <c r="Y263" s="128"/>
      <c r="Z263" s="124" t="s">
        <v>120</v>
      </c>
      <c r="AA263" s="128"/>
      <c r="AB263" s="124" t="s">
        <v>120</v>
      </c>
      <c r="AC263" s="128"/>
      <c r="AD263" s="128"/>
      <c r="AE263" s="124" t="s">
        <v>120</v>
      </c>
      <c r="AF263" s="128"/>
      <c r="AG263" s="124" t="s">
        <v>120</v>
      </c>
      <c r="AH263" s="128"/>
      <c r="AI263" s="124" t="s">
        <v>120</v>
      </c>
      <c r="AJ263" s="128"/>
      <c r="AK263" s="128"/>
      <c r="AL263" s="124" t="s">
        <v>242</v>
      </c>
      <c r="AM263" s="124" t="s">
        <v>185</v>
      </c>
      <c r="AN263" s="124" t="s">
        <v>128</v>
      </c>
      <c r="AO263" s="124" t="s">
        <v>124</v>
      </c>
      <c r="AP263" s="124"/>
    </row>
    <row r="264">
      <c r="A264" s="124" t="s">
        <v>2508</v>
      </c>
      <c r="B264" s="124" t="s">
        <v>3686</v>
      </c>
      <c r="C264" s="124" t="s">
        <v>3687</v>
      </c>
      <c r="D264" s="127">
        <v>40750.0</v>
      </c>
      <c r="E264" s="124" t="s">
        <v>177</v>
      </c>
      <c r="F264" s="124">
        <v>5.635575044E9</v>
      </c>
      <c r="G264" s="124" t="s">
        <v>3688</v>
      </c>
      <c r="H264" s="124" t="s">
        <v>101</v>
      </c>
      <c r="I264" s="128"/>
      <c r="J264" s="124" t="s">
        <v>3689</v>
      </c>
      <c r="K264" s="124" t="s">
        <v>3690</v>
      </c>
      <c r="L264" s="124">
        <v>5.518134754E9</v>
      </c>
      <c r="M264" s="124" t="s">
        <v>3691</v>
      </c>
      <c r="N264" s="124" t="s">
        <v>3692</v>
      </c>
      <c r="O264" s="124">
        <v>5.518290991E9</v>
      </c>
      <c r="P264" s="129">
        <v>14.0</v>
      </c>
      <c r="Q264" s="130">
        <v>46035.893796296295</v>
      </c>
      <c r="R264" s="124" t="s">
        <v>107</v>
      </c>
      <c r="S264" s="124" t="s">
        <v>109</v>
      </c>
      <c r="T264" s="124" t="s">
        <v>171</v>
      </c>
      <c r="U264" s="124" t="s">
        <v>444</v>
      </c>
      <c r="V264" s="124" t="s">
        <v>445</v>
      </c>
      <c r="W264" s="124" t="s">
        <v>446</v>
      </c>
      <c r="X264" s="124" t="s">
        <v>120</v>
      </c>
      <c r="Y264" s="128"/>
      <c r="Z264" s="124" t="s">
        <v>120</v>
      </c>
      <c r="AA264" s="128"/>
      <c r="AB264" s="124" t="s">
        <v>120</v>
      </c>
      <c r="AC264" s="124" t="s">
        <v>120</v>
      </c>
      <c r="AD264" s="128"/>
      <c r="AE264" s="124" t="s">
        <v>120</v>
      </c>
      <c r="AF264" s="128"/>
      <c r="AG264" s="124" t="s">
        <v>120</v>
      </c>
      <c r="AH264" s="128"/>
      <c r="AI264" s="124" t="s">
        <v>120</v>
      </c>
      <c r="AJ264" s="128"/>
      <c r="AK264" s="128"/>
      <c r="AL264" s="124" t="s">
        <v>129</v>
      </c>
      <c r="AM264" s="124" t="s">
        <v>156</v>
      </c>
      <c r="AN264" s="124" t="s">
        <v>242</v>
      </c>
      <c r="AO264" s="124" t="s">
        <v>240</v>
      </c>
      <c r="AP264" s="124"/>
    </row>
    <row r="265">
      <c r="A265" s="124" t="s">
        <v>2183</v>
      </c>
      <c r="B265" s="124" t="s">
        <v>2184</v>
      </c>
      <c r="C265" s="124" t="s">
        <v>2185</v>
      </c>
      <c r="D265" s="127">
        <v>38569.0</v>
      </c>
      <c r="E265" s="124" t="s">
        <v>177</v>
      </c>
      <c r="F265" s="124">
        <v>5.514176978E9</v>
      </c>
      <c r="G265" s="124" t="s">
        <v>2188</v>
      </c>
      <c r="H265" s="124" t="s">
        <v>101</v>
      </c>
      <c r="I265" s="128"/>
      <c r="J265" s="124" t="s">
        <v>2191</v>
      </c>
      <c r="K265" s="124" t="s">
        <v>2188</v>
      </c>
      <c r="L265" s="124">
        <v>5.531244347E9</v>
      </c>
      <c r="M265" s="128"/>
      <c r="N265" s="128"/>
      <c r="O265" s="128"/>
      <c r="P265" s="129">
        <v>20.0</v>
      </c>
      <c r="Q265" s="130">
        <v>46039.48369212963</v>
      </c>
      <c r="R265" s="124" t="s">
        <v>107</v>
      </c>
      <c r="S265" s="124" t="s">
        <v>125</v>
      </c>
      <c r="T265" s="124" t="s">
        <v>160</v>
      </c>
      <c r="U265" s="124" t="s">
        <v>308</v>
      </c>
      <c r="V265" s="124" t="s">
        <v>309</v>
      </c>
      <c r="W265" s="124" t="s">
        <v>310</v>
      </c>
      <c r="X265" s="124" t="s">
        <v>120</v>
      </c>
      <c r="Y265" s="128"/>
      <c r="Z265" s="124" t="s">
        <v>120</v>
      </c>
      <c r="AA265" s="128"/>
      <c r="AB265" s="124" t="s">
        <v>120</v>
      </c>
      <c r="AC265" s="124" t="s">
        <v>120</v>
      </c>
      <c r="AD265" s="128"/>
      <c r="AE265" s="124" t="s">
        <v>120</v>
      </c>
      <c r="AF265" s="128"/>
      <c r="AG265" s="124" t="s">
        <v>120</v>
      </c>
      <c r="AH265" s="128"/>
      <c r="AI265" s="124" t="s">
        <v>120</v>
      </c>
      <c r="AJ265" s="128"/>
      <c r="AK265" s="128"/>
      <c r="AL265" s="124" t="s">
        <v>242</v>
      </c>
      <c r="AM265" s="124" t="s">
        <v>185</v>
      </c>
      <c r="AN265" s="124" t="s">
        <v>129</v>
      </c>
      <c r="AO265" s="124" t="s">
        <v>156</v>
      </c>
      <c r="AP265" s="124"/>
    </row>
    <row r="266">
      <c r="A266" s="124" t="s">
        <v>982</v>
      </c>
      <c r="B266" s="124" t="s">
        <v>983</v>
      </c>
      <c r="C266" s="124" t="s">
        <v>984</v>
      </c>
      <c r="D266" s="127">
        <v>39939.0</v>
      </c>
      <c r="E266" s="124" t="s">
        <v>177</v>
      </c>
      <c r="F266" s="124">
        <v>5.512819797E9</v>
      </c>
      <c r="G266" s="124" t="s">
        <v>985</v>
      </c>
      <c r="H266" s="124" t="s">
        <v>140</v>
      </c>
      <c r="I266" s="124" t="s">
        <v>525</v>
      </c>
      <c r="J266" s="124" t="s">
        <v>986</v>
      </c>
      <c r="K266" s="124" t="s">
        <v>987</v>
      </c>
      <c r="L266" s="124">
        <v>5.611259935E9</v>
      </c>
      <c r="M266" s="124" t="s">
        <v>988</v>
      </c>
      <c r="N266" s="124" t="s">
        <v>989</v>
      </c>
      <c r="O266" s="124">
        <v>5.567872343E9</v>
      </c>
      <c r="P266" s="129">
        <v>16.0</v>
      </c>
      <c r="Q266" s="130">
        <v>46025.96753472222</v>
      </c>
      <c r="R266" s="124" t="s">
        <v>107</v>
      </c>
      <c r="S266" s="124" t="s">
        <v>109</v>
      </c>
      <c r="T266" s="124" t="s">
        <v>208</v>
      </c>
      <c r="U266" s="124" t="s">
        <v>788</v>
      </c>
      <c r="V266" s="124" t="s">
        <v>789</v>
      </c>
      <c r="W266" s="124" t="s">
        <v>790</v>
      </c>
      <c r="X266" s="124" t="s">
        <v>117</v>
      </c>
      <c r="Y266" s="128"/>
      <c r="Z266" s="124" t="s">
        <v>120</v>
      </c>
      <c r="AA266" s="128"/>
      <c r="AB266" s="124" t="s">
        <v>120</v>
      </c>
      <c r="AC266" s="124" t="s">
        <v>120</v>
      </c>
      <c r="AD266" s="128"/>
      <c r="AE266" s="124" t="s">
        <v>120</v>
      </c>
      <c r="AF266" s="128"/>
      <c r="AG266" s="124" t="s">
        <v>120</v>
      </c>
      <c r="AH266" s="128"/>
      <c r="AI266" s="124" t="s">
        <v>120</v>
      </c>
      <c r="AJ266" s="128"/>
      <c r="AK266" s="124" t="s">
        <v>994</v>
      </c>
      <c r="AL266" s="124" t="s">
        <v>128</v>
      </c>
      <c r="AM266" s="124" t="s">
        <v>156</v>
      </c>
      <c r="AN266" s="124" t="s">
        <v>185</v>
      </c>
      <c r="AO266" s="124" t="s">
        <v>124</v>
      </c>
      <c r="AP266" s="124"/>
    </row>
    <row r="267">
      <c r="A267" s="124" t="s">
        <v>2211</v>
      </c>
      <c r="B267" s="124" t="s">
        <v>2212</v>
      </c>
      <c r="C267" s="124" t="s">
        <v>2214</v>
      </c>
      <c r="D267" s="127">
        <v>36403.0</v>
      </c>
      <c r="E267" s="124" t="s">
        <v>177</v>
      </c>
      <c r="F267" s="124">
        <v>5.6113834E9</v>
      </c>
      <c r="G267" s="124" t="s">
        <v>2216</v>
      </c>
      <c r="H267" s="124" t="s">
        <v>110</v>
      </c>
      <c r="I267" s="128"/>
      <c r="J267" s="124" t="s">
        <v>2217</v>
      </c>
      <c r="K267" s="124" t="s">
        <v>2218</v>
      </c>
      <c r="L267" s="124">
        <v>5.521419973E9</v>
      </c>
      <c r="M267" s="128"/>
      <c r="N267" s="128"/>
      <c r="O267" s="128"/>
      <c r="P267" s="129">
        <v>26.0</v>
      </c>
      <c r="Q267" s="130">
        <v>46040.971180555556</v>
      </c>
      <c r="R267" s="124" t="s">
        <v>107</v>
      </c>
      <c r="S267" s="124" t="s">
        <v>125</v>
      </c>
      <c r="T267" s="124" t="s">
        <v>208</v>
      </c>
      <c r="U267" s="124" t="s">
        <v>1599</v>
      </c>
      <c r="V267" s="124" t="s">
        <v>1600</v>
      </c>
      <c r="W267" s="124" t="s">
        <v>1602</v>
      </c>
      <c r="X267" s="124" t="s">
        <v>120</v>
      </c>
      <c r="Y267" s="128"/>
      <c r="Z267" s="124" t="s">
        <v>120</v>
      </c>
      <c r="AA267" s="128"/>
      <c r="AB267" s="124" t="s">
        <v>120</v>
      </c>
      <c r="AC267" s="124" t="s">
        <v>120</v>
      </c>
      <c r="AD267" s="128"/>
      <c r="AE267" s="124" t="s">
        <v>120</v>
      </c>
      <c r="AF267" s="128"/>
      <c r="AG267" s="124" t="s">
        <v>120</v>
      </c>
      <c r="AH267" s="128"/>
      <c r="AI267" s="124" t="s">
        <v>120</v>
      </c>
      <c r="AJ267" s="128"/>
      <c r="AK267" s="128"/>
      <c r="AL267" s="124" t="s">
        <v>141</v>
      </c>
      <c r="AM267" s="124" t="s">
        <v>129</v>
      </c>
      <c r="AN267" s="124" t="s">
        <v>138</v>
      </c>
      <c r="AO267" s="124" t="s">
        <v>242</v>
      </c>
      <c r="AP267" s="124"/>
    </row>
    <row r="268">
      <c r="A268" s="124" t="s">
        <v>937</v>
      </c>
      <c r="B268" s="124" t="s">
        <v>939</v>
      </c>
      <c r="C268" s="124" t="s">
        <v>941</v>
      </c>
      <c r="D268" s="127">
        <v>40014.0</v>
      </c>
      <c r="E268" s="124" t="s">
        <v>177</v>
      </c>
      <c r="F268" s="124">
        <v>5.574806546E9</v>
      </c>
      <c r="G268" s="124" t="s">
        <v>944</v>
      </c>
      <c r="H268" s="124" t="s">
        <v>150</v>
      </c>
      <c r="I268" s="124" t="s">
        <v>947</v>
      </c>
      <c r="J268" s="124" t="s">
        <v>948</v>
      </c>
      <c r="K268" s="124" t="s">
        <v>944</v>
      </c>
      <c r="L268" s="124">
        <v>2.202344935E9</v>
      </c>
      <c r="M268" s="128"/>
      <c r="N268" s="128"/>
      <c r="O268" s="128"/>
      <c r="P268" s="129">
        <v>16.0</v>
      </c>
      <c r="Q268" s="130">
        <v>46040.81049768518</v>
      </c>
      <c r="R268" s="124" t="s">
        <v>107</v>
      </c>
      <c r="S268" s="124" t="s">
        <v>109</v>
      </c>
      <c r="T268" s="124" t="s">
        <v>192</v>
      </c>
      <c r="U268" s="124" t="s">
        <v>195</v>
      </c>
      <c r="V268" s="124" t="s">
        <v>198</v>
      </c>
      <c r="W268" s="124" t="s">
        <v>200</v>
      </c>
      <c r="X268" s="124" t="s">
        <v>117</v>
      </c>
      <c r="Y268" s="128"/>
      <c r="Z268" s="124" t="s">
        <v>117</v>
      </c>
      <c r="AA268" s="128"/>
      <c r="AB268" s="124" t="s">
        <v>117</v>
      </c>
      <c r="AC268" s="124" t="s">
        <v>117</v>
      </c>
      <c r="AD268" s="128"/>
      <c r="AE268" s="124" t="s">
        <v>117</v>
      </c>
      <c r="AF268" s="128"/>
      <c r="AG268" s="124" t="s">
        <v>117</v>
      </c>
      <c r="AH268" s="128"/>
      <c r="AI268" s="124" t="s">
        <v>117</v>
      </c>
      <c r="AJ268" s="128"/>
      <c r="AK268" s="128"/>
      <c r="AL268" s="124" t="s">
        <v>129</v>
      </c>
      <c r="AM268" s="124" t="s">
        <v>240</v>
      </c>
      <c r="AN268" s="124" t="s">
        <v>138</v>
      </c>
      <c r="AO268" s="124" t="s">
        <v>185</v>
      </c>
      <c r="AP268" s="124"/>
    </row>
    <row r="269">
      <c r="A269" s="124" t="s">
        <v>1093</v>
      </c>
      <c r="B269" s="124" t="s">
        <v>1094</v>
      </c>
      <c r="C269" s="124" t="s">
        <v>1095</v>
      </c>
      <c r="D269" s="127">
        <v>37162.0</v>
      </c>
      <c r="E269" s="124" t="s">
        <v>177</v>
      </c>
      <c r="F269" s="124">
        <v>5.51575297E9</v>
      </c>
      <c r="G269" s="124" t="s">
        <v>1100</v>
      </c>
      <c r="H269" s="124" t="s">
        <v>150</v>
      </c>
      <c r="I269" s="128"/>
      <c r="J269" s="124" t="s">
        <v>1102</v>
      </c>
      <c r="K269" s="124" t="s">
        <v>1104</v>
      </c>
      <c r="L269" s="124">
        <v>5.570715418E9</v>
      </c>
      <c r="M269" s="128"/>
      <c r="N269" s="128"/>
      <c r="O269" s="128"/>
      <c r="P269" s="129">
        <v>24.0</v>
      </c>
      <c r="Q269" s="130">
        <v>46026.81787037037</v>
      </c>
      <c r="R269" s="124" t="s">
        <v>107</v>
      </c>
      <c r="S269" s="124" t="s">
        <v>125</v>
      </c>
      <c r="T269" s="124" t="s">
        <v>160</v>
      </c>
      <c r="U269" s="124" t="s">
        <v>329</v>
      </c>
      <c r="V269" s="124" t="s">
        <v>331</v>
      </c>
      <c r="W269" s="124" t="s">
        <v>332</v>
      </c>
      <c r="X269" s="124" t="s">
        <v>120</v>
      </c>
      <c r="Y269" s="128"/>
      <c r="Z269" s="124" t="s">
        <v>117</v>
      </c>
      <c r="AA269" s="124" t="s">
        <v>1101</v>
      </c>
      <c r="AB269" s="124" t="s">
        <v>120</v>
      </c>
      <c r="AC269" s="124" t="s">
        <v>120</v>
      </c>
      <c r="AD269" s="128"/>
      <c r="AE269" s="124" t="s">
        <v>120</v>
      </c>
      <c r="AF269" s="128"/>
      <c r="AG269" s="124" t="s">
        <v>120</v>
      </c>
      <c r="AH269" s="128"/>
      <c r="AI269" s="124" t="s">
        <v>120</v>
      </c>
      <c r="AJ269" s="128"/>
      <c r="AK269" s="128"/>
      <c r="AL269" s="124" t="s">
        <v>240</v>
      </c>
      <c r="AM269" s="124" t="s">
        <v>138</v>
      </c>
      <c r="AN269" s="124" t="s">
        <v>242</v>
      </c>
      <c r="AO269" s="124" t="s">
        <v>185</v>
      </c>
      <c r="AP269" s="124"/>
    </row>
    <row r="270">
      <c r="A270" s="124" t="s">
        <v>3693</v>
      </c>
      <c r="B270" s="124" t="s">
        <v>3694</v>
      </c>
      <c r="C270" s="128"/>
      <c r="D270" s="127">
        <v>40975.0</v>
      </c>
      <c r="E270" s="124" t="s">
        <v>177</v>
      </c>
      <c r="F270" s="124">
        <v>5.540710941E9</v>
      </c>
      <c r="G270" s="124" t="s">
        <v>3695</v>
      </c>
      <c r="H270" s="124" t="s">
        <v>140</v>
      </c>
      <c r="I270" s="128"/>
      <c r="J270" s="124" t="s">
        <v>3696</v>
      </c>
      <c r="K270" s="124" t="s">
        <v>3695</v>
      </c>
      <c r="L270" s="124">
        <v>5.540710941E9</v>
      </c>
      <c r="M270" s="128"/>
      <c r="N270" s="128"/>
      <c r="O270" s="128"/>
      <c r="P270" s="129">
        <v>13.0</v>
      </c>
      <c r="Q270" s="130">
        <v>46027.54618055555</v>
      </c>
      <c r="R270" s="124" t="s">
        <v>107</v>
      </c>
      <c r="S270" s="124" t="s">
        <v>109</v>
      </c>
      <c r="T270" s="124" t="s">
        <v>171</v>
      </c>
      <c r="U270" s="124" t="s">
        <v>2149</v>
      </c>
      <c r="V270" s="124" t="s">
        <v>2141</v>
      </c>
      <c r="W270" s="124" t="s">
        <v>2151</v>
      </c>
      <c r="X270" s="124" t="s">
        <v>120</v>
      </c>
      <c r="Y270" s="128"/>
      <c r="Z270" s="124" t="s">
        <v>120</v>
      </c>
      <c r="AA270" s="128"/>
      <c r="AB270" s="124" t="s">
        <v>120</v>
      </c>
      <c r="AC270" s="128"/>
      <c r="AD270" s="128"/>
      <c r="AE270" s="124" t="s">
        <v>120</v>
      </c>
      <c r="AF270" s="128"/>
      <c r="AG270" s="124" t="s">
        <v>120</v>
      </c>
      <c r="AH270" s="128"/>
      <c r="AI270" s="124" t="s">
        <v>120</v>
      </c>
      <c r="AJ270" s="128"/>
      <c r="AK270" s="128"/>
      <c r="AL270" s="124" t="s">
        <v>141</v>
      </c>
      <c r="AM270" s="124" t="s">
        <v>126</v>
      </c>
      <c r="AN270" s="124" t="s">
        <v>156</v>
      </c>
      <c r="AO270" s="124" t="s">
        <v>185</v>
      </c>
      <c r="AP270" s="124"/>
    </row>
    <row r="271">
      <c r="A271" s="124" t="s">
        <v>3697</v>
      </c>
      <c r="B271" s="124" t="s">
        <v>3698</v>
      </c>
      <c r="C271" s="128"/>
      <c r="D271" s="127">
        <v>40150.0</v>
      </c>
      <c r="E271" s="124" t="s">
        <v>98</v>
      </c>
      <c r="F271" s="124">
        <v>5.564169361E9</v>
      </c>
      <c r="G271" s="124" t="s">
        <v>3699</v>
      </c>
      <c r="H271" s="124" t="s">
        <v>140</v>
      </c>
      <c r="I271" s="124" t="s">
        <v>135</v>
      </c>
      <c r="J271" s="124" t="s">
        <v>3700</v>
      </c>
      <c r="K271" s="124" t="s">
        <v>3701</v>
      </c>
      <c r="L271" s="124">
        <v>5.619159062E9</v>
      </c>
      <c r="M271" s="128"/>
      <c r="N271" s="128"/>
      <c r="O271" s="128"/>
      <c r="P271" s="129">
        <v>16.0</v>
      </c>
      <c r="Q271" s="130">
        <v>46036.3815625</v>
      </c>
      <c r="R271" s="124" t="s">
        <v>107</v>
      </c>
      <c r="S271" s="124" t="s">
        <v>109</v>
      </c>
      <c r="T271" s="124" t="s">
        <v>208</v>
      </c>
      <c r="U271" s="124" t="s">
        <v>788</v>
      </c>
      <c r="V271" s="124" t="s">
        <v>789</v>
      </c>
      <c r="W271" s="124" t="s">
        <v>790</v>
      </c>
      <c r="X271" s="124" t="s">
        <v>120</v>
      </c>
      <c r="Y271" s="128"/>
      <c r="Z271" s="124" t="s">
        <v>120</v>
      </c>
      <c r="AA271" s="128"/>
      <c r="AB271" s="124" t="s">
        <v>120</v>
      </c>
      <c r="AC271" s="128"/>
      <c r="AD271" s="128"/>
      <c r="AE271" s="124" t="s">
        <v>120</v>
      </c>
      <c r="AF271" s="128"/>
      <c r="AG271" s="124" t="s">
        <v>120</v>
      </c>
      <c r="AH271" s="128"/>
      <c r="AI271" s="124" t="s">
        <v>120</v>
      </c>
      <c r="AJ271" s="128"/>
      <c r="AK271" s="124" t="s">
        <v>135</v>
      </c>
      <c r="AL271" s="124" t="s">
        <v>156</v>
      </c>
      <c r="AM271" s="124" t="s">
        <v>124</v>
      </c>
      <c r="AN271" s="124" t="s">
        <v>126</v>
      </c>
      <c r="AO271" s="124" t="s">
        <v>138</v>
      </c>
      <c r="AP271" s="124"/>
    </row>
    <row r="272">
      <c r="A272" s="124" t="s">
        <v>3702</v>
      </c>
      <c r="B272" s="124" t="s">
        <v>3703</v>
      </c>
      <c r="C272" s="124" t="s">
        <v>3704</v>
      </c>
      <c r="D272" s="127">
        <v>40829.0</v>
      </c>
      <c r="E272" s="124" t="s">
        <v>98</v>
      </c>
      <c r="F272" s="124">
        <v>5.568829028E9</v>
      </c>
      <c r="G272" s="124" t="s">
        <v>3705</v>
      </c>
      <c r="H272" s="124" t="s">
        <v>101</v>
      </c>
      <c r="I272" s="128"/>
      <c r="J272" s="124" t="s">
        <v>3706</v>
      </c>
      <c r="K272" s="124" t="s">
        <v>3707</v>
      </c>
      <c r="L272" s="124">
        <v>5.611440041E9</v>
      </c>
      <c r="M272" s="124" t="s">
        <v>3708</v>
      </c>
      <c r="N272" s="124" t="s">
        <v>3705</v>
      </c>
      <c r="O272" s="124">
        <v>5.523071805E9</v>
      </c>
      <c r="P272" s="129">
        <v>14.0</v>
      </c>
      <c r="Q272" s="130">
        <v>46024.691400462965</v>
      </c>
      <c r="R272" s="124" t="s">
        <v>107</v>
      </c>
      <c r="S272" s="124" t="s">
        <v>109</v>
      </c>
      <c r="T272" s="124" t="s">
        <v>127</v>
      </c>
      <c r="U272" s="124" t="s">
        <v>234</v>
      </c>
      <c r="V272" s="124" t="s">
        <v>227</v>
      </c>
      <c r="W272" s="124" t="s">
        <v>236</v>
      </c>
      <c r="X272" s="124" t="s">
        <v>120</v>
      </c>
      <c r="Y272" s="128"/>
      <c r="Z272" s="124" t="s">
        <v>120</v>
      </c>
      <c r="AA272" s="128"/>
      <c r="AB272" s="124" t="s">
        <v>120</v>
      </c>
      <c r="AC272" s="128"/>
      <c r="AD272" s="128"/>
      <c r="AE272" s="124" t="s">
        <v>120</v>
      </c>
      <c r="AF272" s="128"/>
      <c r="AG272" s="124" t="s">
        <v>120</v>
      </c>
      <c r="AH272" s="128"/>
      <c r="AI272" s="124" t="s">
        <v>120</v>
      </c>
      <c r="AJ272" s="128"/>
      <c r="AK272" s="128"/>
      <c r="AL272" s="124" t="s">
        <v>242</v>
      </c>
      <c r="AM272" s="124" t="s">
        <v>185</v>
      </c>
      <c r="AN272" s="124" t="s">
        <v>129</v>
      </c>
      <c r="AO272" s="124" t="s">
        <v>141</v>
      </c>
      <c r="AP272" s="124"/>
    </row>
    <row r="273">
      <c r="A273" s="124" t="s">
        <v>2450</v>
      </c>
      <c r="B273" s="124" t="s">
        <v>3709</v>
      </c>
      <c r="C273" s="124" t="s">
        <v>3710</v>
      </c>
      <c r="D273" s="127">
        <v>40078.0</v>
      </c>
      <c r="E273" s="124" t="s">
        <v>177</v>
      </c>
      <c r="F273" s="124">
        <v>5.611891588E9</v>
      </c>
      <c r="G273" s="124" t="s">
        <v>3711</v>
      </c>
      <c r="H273" s="124" t="s">
        <v>101</v>
      </c>
      <c r="I273" s="128"/>
      <c r="J273" s="124" t="s">
        <v>3712</v>
      </c>
      <c r="K273" s="124" t="s">
        <v>3713</v>
      </c>
      <c r="L273" s="124">
        <v>5.611891588E9</v>
      </c>
      <c r="M273" s="128"/>
      <c r="N273" s="128"/>
      <c r="O273" s="128"/>
      <c r="P273" s="129">
        <v>16.0</v>
      </c>
      <c r="Q273" s="130">
        <v>46040.53364583333</v>
      </c>
      <c r="R273" s="124" t="s">
        <v>107</v>
      </c>
      <c r="S273" s="124" t="s">
        <v>109</v>
      </c>
      <c r="T273" s="124" t="s">
        <v>204</v>
      </c>
      <c r="U273" s="124" t="s">
        <v>205</v>
      </c>
      <c r="V273" s="124" t="s">
        <v>206</v>
      </c>
      <c r="W273" s="124" t="s">
        <v>207</v>
      </c>
      <c r="X273" s="124" t="s">
        <v>120</v>
      </c>
      <c r="Y273" s="128"/>
      <c r="Z273" s="124" t="s">
        <v>120</v>
      </c>
      <c r="AA273" s="128"/>
      <c r="AB273" s="124" t="s">
        <v>120</v>
      </c>
      <c r="AC273" s="128"/>
      <c r="AD273" s="128"/>
      <c r="AE273" s="124" t="s">
        <v>120</v>
      </c>
      <c r="AF273" s="128"/>
      <c r="AG273" s="124" t="s">
        <v>120</v>
      </c>
      <c r="AH273" s="128"/>
      <c r="AI273" s="124" t="s">
        <v>120</v>
      </c>
      <c r="AJ273" s="128"/>
      <c r="AK273" s="128"/>
      <c r="AL273" s="124" t="s">
        <v>141</v>
      </c>
      <c r="AM273" s="124" t="s">
        <v>138</v>
      </c>
      <c r="AN273" s="124" t="s">
        <v>128</v>
      </c>
      <c r="AO273" s="124" t="s">
        <v>156</v>
      </c>
      <c r="AP273" s="124"/>
    </row>
    <row r="274">
      <c r="A274" s="124" t="s">
        <v>3714</v>
      </c>
      <c r="B274" s="124" t="s">
        <v>2510</v>
      </c>
      <c r="C274" s="124" t="s">
        <v>3715</v>
      </c>
      <c r="D274" s="127">
        <v>40312.0</v>
      </c>
      <c r="E274" s="124" t="s">
        <v>177</v>
      </c>
      <c r="F274" s="124">
        <v>5.563381959E9</v>
      </c>
      <c r="G274" s="124" t="s">
        <v>2515</v>
      </c>
      <c r="H274" s="124" t="s">
        <v>101</v>
      </c>
      <c r="I274" s="124" t="s">
        <v>2513</v>
      </c>
      <c r="J274" s="124" t="s">
        <v>2514</v>
      </c>
      <c r="K274" s="124" t="s">
        <v>2515</v>
      </c>
      <c r="L274" s="124">
        <v>5.527229124E9</v>
      </c>
      <c r="M274" s="124" t="s">
        <v>3716</v>
      </c>
      <c r="N274" s="124" t="s">
        <v>3717</v>
      </c>
      <c r="O274" s="124">
        <v>5.550756595E9</v>
      </c>
      <c r="P274" s="129">
        <v>15.0</v>
      </c>
      <c r="Q274" s="130">
        <v>46033.861238425925</v>
      </c>
      <c r="R274" s="124" t="s">
        <v>546</v>
      </c>
      <c r="S274" s="124" t="s">
        <v>109</v>
      </c>
      <c r="T274" s="124" t="s">
        <v>111</v>
      </c>
      <c r="U274" s="124" t="s">
        <v>657</v>
      </c>
      <c r="V274" s="124" t="s">
        <v>659</v>
      </c>
      <c r="W274" s="124" t="s">
        <v>662</v>
      </c>
      <c r="X274" s="124" t="s">
        <v>120</v>
      </c>
      <c r="Y274" s="128"/>
      <c r="Z274" s="124" t="s">
        <v>120</v>
      </c>
      <c r="AA274" s="128"/>
      <c r="AB274" s="124" t="s">
        <v>120</v>
      </c>
      <c r="AC274" s="128"/>
      <c r="AD274" s="128"/>
      <c r="AE274" s="124" t="s">
        <v>120</v>
      </c>
      <c r="AF274" s="128"/>
      <c r="AG274" s="124" t="s">
        <v>120</v>
      </c>
      <c r="AH274" s="128"/>
      <c r="AI274" s="124" t="s">
        <v>120</v>
      </c>
      <c r="AJ274" s="128"/>
      <c r="AK274" s="128"/>
      <c r="AL274" s="124" t="s">
        <v>129</v>
      </c>
      <c r="AM274" s="124" t="s">
        <v>126</v>
      </c>
      <c r="AN274" s="124" t="s">
        <v>185</v>
      </c>
      <c r="AO274" s="124" t="s">
        <v>128</v>
      </c>
      <c r="AP274" s="124"/>
    </row>
    <row r="275">
      <c r="A275" s="124" t="s">
        <v>3718</v>
      </c>
      <c r="B275" s="124" t="s">
        <v>3719</v>
      </c>
      <c r="C275" s="124" t="s">
        <v>3720</v>
      </c>
      <c r="D275" s="127">
        <v>39956.0</v>
      </c>
      <c r="E275" s="124" t="s">
        <v>177</v>
      </c>
      <c r="F275" s="124">
        <v>5.630856207E9</v>
      </c>
      <c r="G275" s="124" t="s">
        <v>3721</v>
      </c>
      <c r="H275" s="124" t="s">
        <v>140</v>
      </c>
      <c r="I275" s="128"/>
      <c r="J275" s="124" t="s">
        <v>3722</v>
      </c>
      <c r="K275" s="124" t="s">
        <v>3723</v>
      </c>
      <c r="L275" s="124">
        <v>5.621157172E9</v>
      </c>
      <c r="M275" s="124" t="s">
        <v>3724</v>
      </c>
      <c r="N275" s="124" t="s">
        <v>3725</v>
      </c>
      <c r="O275" s="124">
        <v>5.585792169E9</v>
      </c>
      <c r="P275" s="129">
        <v>16.0</v>
      </c>
      <c r="Q275" s="130">
        <v>46020.700891203705</v>
      </c>
      <c r="R275" s="124" t="s">
        <v>107</v>
      </c>
      <c r="S275" s="124" t="s">
        <v>109</v>
      </c>
      <c r="T275" s="124" t="s">
        <v>192</v>
      </c>
      <c r="U275" s="124" t="s">
        <v>485</v>
      </c>
      <c r="V275" s="124" t="s">
        <v>486</v>
      </c>
      <c r="W275" s="124" t="s">
        <v>487</v>
      </c>
      <c r="X275" s="124" t="s">
        <v>120</v>
      </c>
      <c r="Y275" s="128"/>
      <c r="Z275" s="124" t="s">
        <v>120</v>
      </c>
      <c r="AA275" s="128"/>
      <c r="AB275" s="124" t="s">
        <v>120</v>
      </c>
      <c r="AC275" s="124" t="s">
        <v>120</v>
      </c>
      <c r="AD275" s="128"/>
      <c r="AE275" s="124" t="s">
        <v>120</v>
      </c>
      <c r="AF275" s="128"/>
      <c r="AG275" s="124" t="s">
        <v>120</v>
      </c>
      <c r="AH275" s="128"/>
      <c r="AI275" s="124" t="s">
        <v>120</v>
      </c>
      <c r="AJ275" s="128"/>
      <c r="AK275" s="128"/>
      <c r="AL275" s="124" t="s">
        <v>185</v>
      </c>
      <c r="AM275" s="124" t="s">
        <v>138</v>
      </c>
      <c r="AN275" s="124" t="s">
        <v>129</v>
      </c>
      <c r="AO275" s="124" t="s">
        <v>124</v>
      </c>
      <c r="AP275" s="124"/>
    </row>
    <row r="276">
      <c r="A276" s="124" t="s">
        <v>1940</v>
      </c>
      <c r="B276" s="124" t="s">
        <v>3726</v>
      </c>
      <c r="C276" s="124" t="s">
        <v>3727</v>
      </c>
      <c r="D276" s="127">
        <v>40541.0</v>
      </c>
      <c r="E276" s="124" t="s">
        <v>98</v>
      </c>
      <c r="F276" s="124">
        <v>5.532711712E9</v>
      </c>
      <c r="G276" s="124" t="s">
        <v>3728</v>
      </c>
      <c r="H276" s="124" t="s">
        <v>140</v>
      </c>
      <c r="I276" s="128"/>
      <c r="J276" s="124" t="s">
        <v>3729</v>
      </c>
      <c r="K276" s="124" t="s">
        <v>3730</v>
      </c>
      <c r="L276" s="124">
        <v>5.616949542E9</v>
      </c>
      <c r="M276" s="124" t="s">
        <v>3731</v>
      </c>
      <c r="N276" s="124" t="s">
        <v>3732</v>
      </c>
      <c r="O276" s="124">
        <v>5.610047278E9</v>
      </c>
      <c r="P276" s="129">
        <v>15.0</v>
      </c>
      <c r="Q276" s="130">
        <v>46032.81028935185</v>
      </c>
      <c r="R276" s="124" t="s">
        <v>107</v>
      </c>
      <c r="S276" s="124" t="s">
        <v>109</v>
      </c>
      <c r="T276" s="124" t="s">
        <v>127</v>
      </c>
      <c r="U276" s="124" t="s">
        <v>130</v>
      </c>
      <c r="V276" s="124" t="s">
        <v>131</v>
      </c>
      <c r="W276" s="124" t="s">
        <v>132</v>
      </c>
      <c r="X276" s="124" t="s">
        <v>120</v>
      </c>
      <c r="Y276" s="128"/>
      <c r="Z276" s="124" t="s">
        <v>117</v>
      </c>
      <c r="AA276" s="124" t="s">
        <v>3733</v>
      </c>
      <c r="AB276" s="124" t="s">
        <v>120</v>
      </c>
      <c r="AC276" s="128"/>
      <c r="AD276" s="128"/>
      <c r="AE276" s="124" t="s">
        <v>120</v>
      </c>
      <c r="AF276" s="128"/>
      <c r="AG276" s="124" t="s">
        <v>120</v>
      </c>
      <c r="AH276" s="128"/>
      <c r="AI276" s="124" t="s">
        <v>120</v>
      </c>
      <c r="AJ276" s="128"/>
      <c r="AK276" s="128"/>
      <c r="AL276" s="124" t="s">
        <v>216</v>
      </c>
      <c r="AM276" s="124" t="s">
        <v>156</v>
      </c>
      <c r="AN276" s="124" t="s">
        <v>242</v>
      </c>
      <c r="AO276" s="124" t="s">
        <v>138</v>
      </c>
      <c r="AP276" s="124"/>
    </row>
    <row r="277">
      <c r="A277" s="124" t="s">
        <v>3734</v>
      </c>
      <c r="B277" s="124" t="s">
        <v>3735</v>
      </c>
      <c r="C277" s="124" t="s">
        <v>3736</v>
      </c>
      <c r="D277" s="127">
        <v>38094.0</v>
      </c>
      <c r="E277" s="124" t="s">
        <v>177</v>
      </c>
      <c r="F277" s="124">
        <v>5.525583238E9</v>
      </c>
      <c r="G277" s="124" t="s">
        <v>3737</v>
      </c>
      <c r="H277" s="124" t="s">
        <v>101</v>
      </c>
      <c r="I277" s="128"/>
      <c r="J277" s="124" t="s">
        <v>3738</v>
      </c>
      <c r="K277" s="124" t="s">
        <v>3739</v>
      </c>
      <c r="L277" s="124">
        <v>5.533597768E9</v>
      </c>
      <c r="M277" s="128"/>
      <c r="N277" s="128"/>
      <c r="O277" s="128"/>
      <c r="P277" s="129">
        <v>21.0</v>
      </c>
      <c r="Q277" s="130">
        <v>46032.74048611111</v>
      </c>
      <c r="R277" s="124" t="s">
        <v>107</v>
      </c>
      <c r="S277" s="124" t="s">
        <v>125</v>
      </c>
      <c r="T277" s="124" t="s">
        <v>127</v>
      </c>
      <c r="U277" s="124" t="s">
        <v>766</v>
      </c>
      <c r="V277" s="124" t="s">
        <v>767</v>
      </c>
      <c r="W277" s="124" t="s">
        <v>768</v>
      </c>
      <c r="X277" s="124" t="s">
        <v>120</v>
      </c>
      <c r="Y277" s="128"/>
      <c r="Z277" s="124" t="s">
        <v>120</v>
      </c>
      <c r="AA277" s="128"/>
      <c r="AB277" s="124" t="s">
        <v>120</v>
      </c>
      <c r="AC277" s="128"/>
      <c r="AD277" s="128"/>
      <c r="AE277" s="124" t="s">
        <v>120</v>
      </c>
      <c r="AF277" s="128"/>
      <c r="AG277" s="124" t="s">
        <v>120</v>
      </c>
      <c r="AH277" s="128"/>
      <c r="AI277" s="124" t="s">
        <v>120</v>
      </c>
      <c r="AJ277" s="128"/>
      <c r="AK277" s="128"/>
      <c r="AL277" s="124" t="s">
        <v>242</v>
      </c>
      <c r="AM277" s="124" t="s">
        <v>138</v>
      </c>
      <c r="AN277" s="124" t="s">
        <v>216</v>
      </c>
      <c r="AO277" s="124" t="s">
        <v>129</v>
      </c>
      <c r="AP277" s="124"/>
    </row>
    <row r="278">
      <c r="A278" s="124" t="s">
        <v>3740</v>
      </c>
      <c r="B278" s="124" t="s">
        <v>3426</v>
      </c>
      <c r="C278" s="124" t="s">
        <v>3741</v>
      </c>
      <c r="D278" s="127">
        <v>40293.0</v>
      </c>
      <c r="E278" s="124" t="s">
        <v>98</v>
      </c>
      <c r="F278" s="124">
        <v>5.547033078E9</v>
      </c>
      <c r="G278" s="124" t="s">
        <v>3430</v>
      </c>
      <c r="H278" s="124" t="s">
        <v>140</v>
      </c>
      <c r="I278" s="128"/>
      <c r="J278" s="124" t="s">
        <v>3429</v>
      </c>
      <c r="K278" s="124" t="s">
        <v>3430</v>
      </c>
      <c r="L278" s="124">
        <v>5.547033078E9</v>
      </c>
      <c r="M278" s="128"/>
      <c r="N278" s="128"/>
      <c r="O278" s="128"/>
      <c r="P278" s="129">
        <v>15.0</v>
      </c>
      <c r="Q278" s="130">
        <v>46033.56175925926</v>
      </c>
      <c r="R278" s="124" t="s">
        <v>107</v>
      </c>
      <c r="S278" s="124" t="s">
        <v>109</v>
      </c>
      <c r="T278" s="124" t="s">
        <v>171</v>
      </c>
      <c r="U278" s="124" t="s">
        <v>262</v>
      </c>
      <c r="V278" s="124" t="s">
        <v>263</v>
      </c>
      <c r="W278" s="124" t="s">
        <v>264</v>
      </c>
      <c r="X278" s="124" t="s">
        <v>120</v>
      </c>
      <c r="Y278" s="128"/>
      <c r="Z278" s="124" t="s">
        <v>120</v>
      </c>
      <c r="AA278" s="128"/>
      <c r="AB278" s="124" t="s">
        <v>120</v>
      </c>
      <c r="AC278" s="128"/>
      <c r="AD278" s="128"/>
      <c r="AE278" s="124" t="s">
        <v>120</v>
      </c>
      <c r="AF278" s="128"/>
      <c r="AG278" s="124" t="s">
        <v>120</v>
      </c>
      <c r="AH278" s="128"/>
      <c r="AI278" s="124" t="s">
        <v>120</v>
      </c>
      <c r="AJ278" s="128"/>
      <c r="AK278" s="128"/>
      <c r="AL278" s="124" t="s">
        <v>126</v>
      </c>
      <c r="AM278" s="124" t="s">
        <v>156</v>
      </c>
      <c r="AN278" s="124" t="s">
        <v>124</v>
      </c>
      <c r="AO278" s="124" t="s">
        <v>129</v>
      </c>
      <c r="AP278" s="124"/>
    </row>
    <row r="279">
      <c r="A279" s="124" t="s">
        <v>146</v>
      </c>
      <c r="B279" s="124" t="s">
        <v>147</v>
      </c>
      <c r="C279" s="124" t="s">
        <v>148</v>
      </c>
      <c r="D279" s="127">
        <v>38905.0</v>
      </c>
      <c r="E279" s="124" t="s">
        <v>98</v>
      </c>
      <c r="F279" s="124">
        <v>5.582923664E9</v>
      </c>
      <c r="G279" s="124" t="s">
        <v>149</v>
      </c>
      <c r="H279" s="124" t="s">
        <v>150</v>
      </c>
      <c r="I279" s="124" t="s">
        <v>152</v>
      </c>
      <c r="J279" s="124" t="s">
        <v>154</v>
      </c>
      <c r="K279" s="124" t="s">
        <v>155</v>
      </c>
      <c r="L279" s="124">
        <v>5.620360635E9</v>
      </c>
      <c r="M279" s="128"/>
      <c r="N279" s="128"/>
      <c r="O279" s="128"/>
      <c r="P279" s="129">
        <v>19.0</v>
      </c>
      <c r="Q279" s="130">
        <v>46033.52416666667</v>
      </c>
      <c r="R279" s="124" t="s">
        <v>107</v>
      </c>
      <c r="S279" s="124" t="s">
        <v>125</v>
      </c>
      <c r="T279" s="124" t="s">
        <v>160</v>
      </c>
      <c r="U279" s="124" t="s">
        <v>161</v>
      </c>
      <c r="V279" s="124" t="s">
        <v>163</v>
      </c>
      <c r="W279" s="124" t="s">
        <v>165</v>
      </c>
      <c r="X279" s="124" t="s">
        <v>117</v>
      </c>
      <c r="Y279" s="124" t="s">
        <v>168</v>
      </c>
      <c r="Z279" s="124" t="s">
        <v>117</v>
      </c>
      <c r="AA279" s="124" t="s">
        <v>169</v>
      </c>
      <c r="AB279" s="124" t="s">
        <v>120</v>
      </c>
      <c r="AC279" s="128"/>
      <c r="AD279" s="128"/>
      <c r="AE279" s="124" t="s">
        <v>120</v>
      </c>
      <c r="AF279" s="128"/>
      <c r="AG279" s="124" t="s">
        <v>120</v>
      </c>
      <c r="AH279" s="128"/>
      <c r="AI279" s="124" t="s">
        <v>117</v>
      </c>
      <c r="AJ279" s="124" t="s">
        <v>178</v>
      </c>
      <c r="AK279" s="128"/>
      <c r="AL279" s="124" t="s">
        <v>141</v>
      </c>
      <c r="AM279" s="124" t="s">
        <v>156</v>
      </c>
      <c r="AN279" s="124" t="s">
        <v>138</v>
      </c>
      <c r="AO279" s="124" t="s">
        <v>129</v>
      </c>
      <c r="AP279" s="124"/>
    </row>
    <row r="280">
      <c r="A280" s="124" t="s">
        <v>2236</v>
      </c>
      <c r="B280" s="124" t="s">
        <v>2237</v>
      </c>
      <c r="C280" s="124" t="s">
        <v>2238</v>
      </c>
      <c r="D280" s="127">
        <v>37826.0</v>
      </c>
      <c r="E280" s="124" t="s">
        <v>177</v>
      </c>
      <c r="F280" s="124">
        <v>2.882191693E9</v>
      </c>
      <c r="G280" s="124" t="s">
        <v>2239</v>
      </c>
      <c r="H280" s="124" t="s">
        <v>150</v>
      </c>
      <c r="I280" s="128"/>
      <c r="J280" s="124" t="s">
        <v>2240</v>
      </c>
      <c r="K280" s="124" t="s">
        <v>2242</v>
      </c>
      <c r="L280" s="124">
        <v>2.881068656E9</v>
      </c>
      <c r="M280" s="128"/>
      <c r="N280" s="128"/>
      <c r="O280" s="128"/>
      <c r="P280" s="129">
        <v>22.0</v>
      </c>
      <c r="Q280" s="130">
        <v>45975.76122685185</v>
      </c>
      <c r="R280" s="124" t="s">
        <v>546</v>
      </c>
      <c r="S280" s="124" t="s">
        <v>125</v>
      </c>
      <c r="T280" s="124" t="s">
        <v>2247</v>
      </c>
      <c r="U280" s="124" t="s">
        <v>2248</v>
      </c>
      <c r="V280" s="124" t="s">
        <v>2249</v>
      </c>
      <c r="W280" s="124" t="s">
        <v>2251</v>
      </c>
      <c r="X280" s="124" t="s">
        <v>120</v>
      </c>
      <c r="Y280" s="128"/>
      <c r="Z280" s="124" t="s">
        <v>120</v>
      </c>
      <c r="AA280" s="128"/>
      <c r="AB280" s="124" t="s">
        <v>120</v>
      </c>
      <c r="AC280" s="124" t="s">
        <v>120</v>
      </c>
      <c r="AD280" s="128"/>
      <c r="AE280" s="124" t="s">
        <v>117</v>
      </c>
      <c r="AF280" s="124" t="s">
        <v>2257</v>
      </c>
      <c r="AG280" s="124" t="s">
        <v>120</v>
      </c>
      <c r="AH280" s="128"/>
      <c r="AI280" s="124" t="s">
        <v>117</v>
      </c>
      <c r="AJ280" s="124" t="s">
        <v>2260</v>
      </c>
      <c r="AK280" s="128"/>
      <c r="AL280" s="124" t="s">
        <v>124</v>
      </c>
      <c r="AM280" s="124" t="s">
        <v>242</v>
      </c>
      <c r="AN280" s="124" t="s">
        <v>156</v>
      </c>
      <c r="AO280" s="124" t="s">
        <v>185</v>
      </c>
      <c r="AP280" s="124"/>
    </row>
    <row r="281">
      <c r="A281" s="124" t="s">
        <v>2271</v>
      </c>
      <c r="B281" s="124" t="s">
        <v>2657</v>
      </c>
      <c r="C281" s="124" t="s">
        <v>3742</v>
      </c>
      <c r="D281" s="127">
        <v>41138.0</v>
      </c>
      <c r="E281" s="124" t="s">
        <v>177</v>
      </c>
      <c r="F281" s="124">
        <v>5.510074937E9</v>
      </c>
      <c r="G281" s="124" t="s">
        <v>2662</v>
      </c>
      <c r="H281" s="124" t="s">
        <v>101</v>
      </c>
      <c r="I281" s="128"/>
      <c r="J281" s="124" t="s">
        <v>2664</v>
      </c>
      <c r="K281" s="124" t="s">
        <v>2666</v>
      </c>
      <c r="L281" s="124">
        <v>5.540934708E9</v>
      </c>
      <c r="M281" s="128"/>
      <c r="N281" s="128"/>
      <c r="O281" s="128"/>
      <c r="P281" s="129">
        <v>13.0</v>
      </c>
      <c r="Q281" s="130">
        <v>46034.90195601852</v>
      </c>
      <c r="R281" s="124" t="s">
        <v>107</v>
      </c>
      <c r="S281" s="124" t="s">
        <v>109</v>
      </c>
      <c r="T281" s="124" t="s">
        <v>171</v>
      </c>
      <c r="U281" s="124" t="s">
        <v>444</v>
      </c>
      <c r="V281" s="124" t="s">
        <v>445</v>
      </c>
      <c r="W281" s="124" t="s">
        <v>446</v>
      </c>
      <c r="X281" s="124" t="s">
        <v>120</v>
      </c>
      <c r="Y281" s="128"/>
      <c r="Z281" s="124" t="s">
        <v>120</v>
      </c>
      <c r="AA281" s="128"/>
      <c r="AB281" s="124" t="s">
        <v>120</v>
      </c>
      <c r="AC281" s="124" t="s">
        <v>120</v>
      </c>
      <c r="AD281" s="128"/>
      <c r="AE281" s="124" t="s">
        <v>120</v>
      </c>
      <c r="AF281" s="128"/>
      <c r="AG281" s="124" t="s">
        <v>120</v>
      </c>
      <c r="AH281" s="128"/>
      <c r="AI281" s="124" t="s">
        <v>120</v>
      </c>
      <c r="AJ281" s="128"/>
      <c r="AK281" s="128"/>
      <c r="AL281" s="124" t="s">
        <v>141</v>
      </c>
      <c r="AM281" s="124" t="s">
        <v>126</v>
      </c>
      <c r="AN281" s="124" t="s">
        <v>185</v>
      </c>
      <c r="AO281" s="124" t="s">
        <v>242</v>
      </c>
      <c r="AP281" s="124"/>
    </row>
    <row r="282">
      <c r="A282" s="124" t="s">
        <v>1857</v>
      </c>
      <c r="B282" s="124" t="s">
        <v>2263</v>
      </c>
      <c r="C282" s="124" t="s">
        <v>2264</v>
      </c>
      <c r="D282" s="127">
        <v>37293.0</v>
      </c>
      <c r="E282" s="124" t="s">
        <v>177</v>
      </c>
      <c r="F282" s="124" t="s">
        <v>2265</v>
      </c>
      <c r="G282" s="124" t="s">
        <v>2266</v>
      </c>
      <c r="H282" s="124" t="s">
        <v>101</v>
      </c>
      <c r="I282" s="128"/>
      <c r="J282" s="124" t="s">
        <v>2267</v>
      </c>
      <c r="K282" s="124" t="s">
        <v>2268</v>
      </c>
      <c r="L282" s="124">
        <v>5.518338232E9</v>
      </c>
      <c r="M282" s="128"/>
      <c r="N282" s="128"/>
      <c r="O282" s="128"/>
      <c r="P282" s="129">
        <v>24.0</v>
      </c>
      <c r="Q282" s="130">
        <v>46040.761967592596</v>
      </c>
      <c r="R282" s="124" t="s">
        <v>107</v>
      </c>
      <c r="S282" s="124" t="s">
        <v>125</v>
      </c>
      <c r="T282" s="124" t="s">
        <v>111</v>
      </c>
      <c r="U282" s="124" t="s">
        <v>1979</v>
      </c>
      <c r="V282" s="124" t="s">
        <v>1980</v>
      </c>
      <c r="W282" s="124" t="s">
        <v>1981</v>
      </c>
      <c r="X282" s="124" t="s">
        <v>120</v>
      </c>
      <c r="Y282" s="128"/>
      <c r="Z282" s="124" t="s">
        <v>120</v>
      </c>
      <c r="AA282" s="128"/>
      <c r="AB282" s="124" t="s">
        <v>120</v>
      </c>
      <c r="AC282" s="128"/>
      <c r="AD282" s="128"/>
      <c r="AE282" s="124" t="s">
        <v>120</v>
      </c>
      <c r="AF282" s="128"/>
      <c r="AG282" s="124" t="s">
        <v>120</v>
      </c>
      <c r="AH282" s="128"/>
      <c r="AI282" s="124" t="s">
        <v>120</v>
      </c>
      <c r="AJ282" s="128"/>
      <c r="AK282" s="128"/>
      <c r="AL282" s="124" t="s">
        <v>138</v>
      </c>
      <c r="AM282" s="124" t="s">
        <v>128</v>
      </c>
      <c r="AN282" s="124" t="s">
        <v>124</v>
      </c>
      <c r="AO282" s="124" t="s">
        <v>185</v>
      </c>
      <c r="AP282" s="124"/>
    </row>
    <row r="283">
      <c r="A283" s="124" t="s">
        <v>1285</v>
      </c>
      <c r="B283" s="124" t="s">
        <v>1575</v>
      </c>
      <c r="C283" s="124" t="s">
        <v>1576</v>
      </c>
      <c r="D283" s="127">
        <v>39727.0</v>
      </c>
      <c r="E283" s="124" t="s">
        <v>98</v>
      </c>
      <c r="F283" s="124">
        <v>5.548718075E9</v>
      </c>
      <c r="G283" s="124" t="s">
        <v>1584</v>
      </c>
      <c r="H283" s="124" t="s">
        <v>110</v>
      </c>
      <c r="I283" s="128"/>
      <c r="J283" s="124" t="s">
        <v>1586</v>
      </c>
      <c r="K283" s="124" t="s">
        <v>1588</v>
      </c>
      <c r="L283" s="124">
        <v>5.564927995E9</v>
      </c>
      <c r="M283" s="128"/>
      <c r="N283" s="128"/>
      <c r="O283" s="128"/>
      <c r="P283" s="129">
        <v>17.0</v>
      </c>
      <c r="Q283" s="130">
        <v>46033.44185185185</v>
      </c>
      <c r="R283" s="124" t="s">
        <v>107</v>
      </c>
      <c r="S283" s="124" t="s">
        <v>109</v>
      </c>
      <c r="T283" s="124" t="s">
        <v>160</v>
      </c>
      <c r="U283" s="124" t="s">
        <v>308</v>
      </c>
      <c r="V283" s="124" t="s">
        <v>309</v>
      </c>
      <c r="W283" s="124" t="s">
        <v>310</v>
      </c>
      <c r="X283" s="124" t="s">
        <v>120</v>
      </c>
      <c r="Y283" s="128"/>
      <c r="Z283" s="124" t="s">
        <v>120</v>
      </c>
      <c r="AA283" s="128"/>
      <c r="AB283" s="124" t="s">
        <v>120</v>
      </c>
      <c r="AC283" s="128"/>
      <c r="AD283" s="128"/>
      <c r="AE283" s="124" t="s">
        <v>120</v>
      </c>
      <c r="AF283" s="128"/>
      <c r="AG283" s="124" t="s">
        <v>120</v>
      </c>
      <c r="AH283" s="128"/>
      <c r="AI283" s="124" t="s">
        <v>117</v>
      </c>
      <c r="AJ283" s="124" t="s">
        <v>1601</v>
      </c>
      <c r="AK283" s="128"/>
      <c r="AL283" s="124" t="s">
        <v>138</v>
      </c>
      <c r="AM283" s="124" t="s">
        <v>156</v>
      </c>
      <c r="AN283" s="124" t="s">
        <v>124</v>
      </c>
      <c r="AO283" s="124" t="s">
        <v>242</v>
      </c>
      <c r="AP283" s="124"/>
    </row>
    <row r="284">
      <c r="A284" s="124" t="s">
        <v>3743</v>
      </c>
      <c r="B284" s="124" t="s">
        <v>3744</v>
      </c>
      <c r="C284" s="124" t="s">
        <v>3745</v>
      </c>
      <c r="D284" s="127">
        <v>40135.0</v>
      </c>
      <c r="E284" s="124" t="s">
        <v>98</v>
      </c>
      <c r="F284" s="124">
        <v>5.522755524E9</v>
      </c>
      <c r="G284" s="124" t="s">
        <v>3746</v>
      </c>
      <c r="H284" s="124" t="s">
        <v>101</v>
      </c>
      <c r="I284" s="128"/>
      <c r="J284" s="124" t="s">
        <v>3747</v>
      </c>
      <c r="K284" s="124" t="s">
        <v>3748</v>
      </c>
      <c r="L284" s="124">
        <v>5.610044035E9</v>
      </c>
      <c r="M284" s="128"/>
      <c r="N284" s="128"/>
      <c r="O284" s="128"/>
      <c r="P284" s="129">
        <v>16.0</v>
      </c>
      <c r="Q284" s="130">
        <v>46027.829930555556</v>
      </c>
      <c r="R284" s="124" t="s">
        <v>107</v>
      </c>
      <c r="S284" s="124" t="s">
        <v>109</v>
      </c>
      <c r="T284" s="124" t="s">
        <v>171</v>
      </c>
      <c r="U284" s="124" t="s">
        <v>2149</v>
      </c>
      <c r="V284" s="124" t="s">
        <v>2141</v>
      </c>
      <c r="W284" s="124" t="s">
        <v>2151</v>
      </c>
      <c r="X284" s="124" t="s">
        <v>120</v>
      </c>
      <c r="Y284" s="128"/>
      <c r="Z284" s="124" t="s">
        <v>117</v>
      </c>
      <c r="AA284" s="124" t="s">
        <v>3749</v>
      </c>
      <c r="AB284" s="124" t="s">
        <v>120</v>
      </c>
      <c r="AC284" s="128"/>
      <c r="AD284" s="128"/>
      <c r="AE284" s="124" t="s">
        <v>120</v>
      </c>
      <c r="AF284" s="128"/>
      <c r="AG284" s="124" t="s">
        <v>120</v>
      </c>
      <c r="AH284" s="128"/>
      <c r="AI284" s="124" t="s">
        <v>120</v>
      </c>
      <c r="AJ284" s="128"/>
      <c r="AK284" s="128"/>
      <c r="AL284" s="124" t="s">
        <v>156</v>
      </c>
      <c r="AM284" s="124" t="s">
        <v>242</v>
      </c>
      <c r="AN284" s="124" t="s">
        <v>124</v>
      </c>
      <c r="AO284" s="124" t="s">
        <v>216</v>
      </c>
      <c r="AP284" s="124"/>
    </row>
    <row r="285">
      <c r="A285" s="124" t="s">
        <v>3750</v>
      </c>
      <c r="B285" s="124" t="s">
        <v>3751</v>
      </c>
      <c r="C285" s="128"/>
      <c r="D285" s="127">
        <v>40192.0</v>
      </c>
      <c r="E285" s="124" t="s">
        <v>177</v>
      </c>
      <c r="F285" s="124">
        <v>5.524223363E9</v>
      </c>
      <c r="G285" s="124" t="s">
        <v>3752</v>
      </c>
      <c r="H285" s="124" t="s">
        <v>150</v>
      </c>
      <c r="I285" s="124" t="s">
        <v>135</v>
      </c>
      <c r="J285" s="124" t="s">
        <v>3753</v>
      </c>
      <c r="K285" s="124" t="s">
        <v>789</v>
      </c>
      <c r="L285" s="124">
        <v>5.540703903E9</v>
      </c>
      <c r="M285" s="128"/>
      <c r="N285" s="128"/>
      <c r="O285" s="128"/>
      <c r="P285" s="129">
        <v>16.0</v>
      </c>
      <c r="Q285" s="130">
        <v>46039.78648148148</v>
      </c>
      <c r="R285" s="124" t="s">
        <v>107</v>
      </c>
      <c r="S285" s="124" t="s">
        <v>109</v>
      </c>
      <c r="T285" s="124" t="s">
        <v>208</v>
      </c>
      <c r="U285" s="124" t="s">
        <v>788</v>
      </c>
      <c r="V285" s="124" t="s">
        <v>789</v>
      </c>
      <c r="W285" s="124" t="s">
        <v>790</v>
      </c>
      <c r="X285" s="124" t="s">
        <v>120</v>
      </c>
      <c r="Y285" s="124" t="s">
        <v>696</v>
      </c>
      <c r="Z285" s="124" t="s">
        <v>120</v>
      </c>
      <c r="AA285" s="124" t="s">
        <v>696</v>
      </c>
      <c r="AB285" s="124" t="s">
        <v>120</v>
      </c>
      <c r="AC285" s="124" t="s">
        <v>120</v>
      </c>
      <c r="AD285" s="124" t="s">
        <v>696</v>
      </c>
      <c r="AE285" s="124" t="s">
        <v>120</v>
      </c>
      <c r="AF285" s="124" t="s">
        <v>696</v>
      </c>
      <c r="AG285" s="124" t="s">
        <v>120</v>
      </c>
      <c r="AH285" s="124" t="s">
        <v>696</v>
      </c>
      <c r="AI285" s="124" t="s">
        <v>120</v>
      </c>
      <c r="AJ285" s="124" t="s">
        <v>696</v>
      </c>
      <c r="AK285" s="124" t="s">
        <v>696</v>
      </c>
      <c r="AL285" s="124" t="s">
        <v>141</v>
      </c>
      <c r="AM285" s="124" t="s">
        <v>129</v>
      </c>
      <c r="AN285" s="124" t="s">
        <v>156</v>
      </c>
      <c r="AO285" s="124" t="s">
        <v>124</v>
      </c>
      <c r="AP285" s="124"/>
    </row>
    <row r="286">
      <c r="A286" s="124" t="s">
        <v>95</v>
      </c>
      <c r="B286" s="124" t="s">
        <v>96</v>
      </c>
      <c r="C286" s="124" t="s">
        <v>97</v>
      </c>
      <c r="D286" s="127">
        <v>39962.0</v>
      </c>
      <c r="E286" s="124" t="s">
        <v>98</v>
      </c>
      <c r="F286" s="124">
        <v>5.610238747E9</v>
      </c>
      <c r="G286" s="124" t="s">
        <v>99</v>
      </c>
      <c r="H286" s="124" t="s">
        <v>101</v>
      </c>
      <c r="I286" s="128"/>
      <c r="J286" s="124" t="s">
        <v>104</v>
      </c>
      <c r="K286" s="124" t="s">
        <v>106</v>
      </c>
      <c r="L286" s="124">
        <v>5.566802269E9</v>
      </c>
      <c r="M286" s="128"/>
      <c r="N286" s="128"/>
      <c r="O286" s="128"/>
      <c r="P286" s="129">
        <v>16.0</v>
      </c>
      <c r="Q286" s="130">
        <v>46040.61277777778</v>
      </c>
      <c r="R286" s="124" t="s">
        <v>107</v>
      </c>
      <c r="S286" s="124" t="s">
        <v>109</v>
      </c>
      <c r="T286" s="124" t="s">
        <v>111</v>
      </c>
      <c r="U286" s="124" t="s">
        <v>112</v>
      </c>
      <c r="V286" s="124" t="s">
        <v>114</v>
      </c>
      <c r="W286" s="124" t="s">
        <v>115</v>
      </c>
      <c r="X286" s="124" t="s">
        <v>117</v>
      </c>
      <c r="Y286" s="124" t="s">
        <v>102</v>
      </c>
      <c r="Z286" s="124" t="s">
        <v>117</v>
      </c>
      <c r="AA286" s="124" t="s">
        <v>119</v>
      </c>
      <c r="AB286" s="124" t="s">
        <v>120</v>
      </c>
      <c r="AC286" s="124" t="s">
        <v>117</v>
      </c>
      <c r="AD286" s="128"/>
      <c r="AE286" s="124" t="s">
        <v>120</v>
      </c>
      <c r="AF286" s="128"/>
      <c r="AG286" s="124" t="s">
        <v>120</v>
      </c>
      <c r="AH286" s="128"/>
      <c r="AI286" s="124" t="s">
        <v>117</v>
      </c>
      <c r="AJ286" s="124" t="s">
        <v>123</v>
      </c>
      <c r="AK286" s="128"/>
      <c r="AL286" s="124" t="s">
        <v>124</v>
      </c>
      <c r="AM286" s="124" t="s">
        <v>126</v>
      </c>
      <c r="AN286" s="124" t="s">
        <v>128</v>
      </c>
      <c r="AO286" s="124" t="s">
        <v>129</v>
      </c>
      <c r="AP286" s="124"/>
    </row>
    <row r="287">
      <c r="A287" s="124" t="s">
        <v>460</v>
      </c>
      <c r="B287" s="124" t="s">
        <v>172</v>
      </c>
      <c r="C287" s="124" t="s">
        <v>461</v>
      </c>
      <c r="D287" s="127">
        <v>39802.0</v>
      </c>
      <c r="E287" s="124" t="s">
        <v>177</v>
      </c>
      <c r="F287" s="124">
        <v>5.588010356E9</v>
      </c>
      <c r="G287" s="124" t="s">
        <v>462</v>
      </c>
      <c r="H287" s="124" t="s">
        <v>382</v>
      </c>
      <c r="I287" s="124" t="s">
        <v>458</v>
      </c>
      <c r="J287" s="124" t="s">
        <v>465</v>
      </c>
      <c r="K287" s="124" t="s">
        <v>186</v>
      </c>
      <c r="L287" s="124">
        <v>5.562186745E9</v>
      </c>
      <c r="M287" s="124" t="s">
        <v>468</v>
      </c>
      <c r="N287" s="124" t="s">
        <v>470</v>
      </c>
      <c r="O287" s="124">
        <v>3.41104297E9</v>
      </c>
      <c r="P287" s="129">
        <v>17.0</v>
      </c>
      <c r="Q287" s="130">
        <v>46034.53467592593</v>
      </c>
      <c r="R287" s="124" t="s">
        <v>107</v>
      </c>
      <c r="S287" s="124" t="s">
        <v>109</v>
      </c>
      <c r="T287" s="124" t="s">
        <v>192</v>
      </c>
      <c r="U287" s="124" t="s">
        <v>195</v>
      </c>
      <c r="V287" s="124" t="s">
        <v>198</v>
      </c>
      <c r="W287" s="124" t="s">
        <v>200</v>
      </c>
      <c r="X287" s="124" t="s">
        <v>117</v>
      </c>
      <c r="Y287" s="128"/>
      <c r="Z287" s="124" t="s">
        <v>117</v>
      </c>
      <c r="AA287" s="128"/>
      <c r="AB287" s="124" t="s">
        <v>117</v>
      </c>
      <c r="AC287" s="124" t="s">
        <v>117</v>
      </c>
      <c r="AD287" s="128"/>
      <c r="AE287" s="124" t="s">
        <v>117</v>
      </c>
      <c r="AF287" s="128"/>
      <c r="AG287" s="124" t="s">
        <v>117</v>
      </c>
      <c r="AH287" s="128"/>
      <c r="AI287" s="124" t="s">
        <v>117</v>
      </c>
      <c r="AJ287" s="128"/>
      <c r="AK287" s="128"/>
      <c r="AL287" s="124" t="s">
        <v>138</v>
      </c>
      <c r="AM287" s="124" t="s">
        <v>126</v>
      </c>
      <c r="AN287" s="124" t="s">
        <v>156</v>
      </c>
      <c r="AO287" s="124" t="s">
        <v>185</v>
      </c>
      <c r="AP287" s="124"/>
    </row>
    <row r="288">
      <c r="A288" s="124" t="s">
        <v>3754</v>
      </c>
      <c r="B288" s="124" t="s">
        <v>3755</v>
      </c>
      <c r="C288" s="124" t="s">
        <v>3756</v>
      </c>
      <c r="D288" s="127">
        <v>40880.0</v>
      </c>
      <c r="E288" s="124" t="s">
        <v>177</v>
      </c>
      <c r="F288" s="124">
        <v>5.578473775E9</v>
      </c>
      <c r="G288" s="124" t="s">
        <v>3757</v>
      </c>
      <c r="H288" s="124" t="s">
        <v>101</v>
      </c>
      <c r="I288" s="124" t="s">
        <v>3758</v>
      </c>
      <c r="J288" s="124" t="s">
        <v>3759</v>
      </c>
      <c r="K288" s="124" t="s">
        <v>3757</v>
      </c>
      <c r="L288" s="124">
        <v>5.591950131E9</v>
      </c>
      <c r="M288" s="124" t="s">
        <v>3760</v>
      </c>
      <c r="N288" s="124" t="s">
        <v>3757</v>
      </c>
      <c r="O288" s="124">
        <v>5.531789132E9</v>
      </c>
      <c r="P288" s="129">
        <v>14.0</v>
      </c>
      <c r="Q288" s="130">
        <v>46035.76498842592</v>
      </c>
      <c r="R288" s="124" t="s">
        <v>107</v>
      </c>
      <c r="S288" s="124" t="s">
        <v>109</v>
      </c>
      <c r="T288" s="124" t="s">
        <v>127</v>
      </c>
      <c r="U288" s="124" t="s">
        <v>234</v>
      </c>
      <c r="V288" s="124" t="s">
        <v>227</v>
      </c>
      <c r="W288" s="124" t="s">
        <v>236</v>
      </c>
      <c r="X288" s="124" t="s">
        <v>120</v>
      </c>
      <c r="Y288" s="128"/>
      <c r="Z288" s="124" t="s">
        <v>120</v>
      </c>
      <c r="AA288" s="128"/>
      <c r="AB288" s="124" t="s">
        <v>120</v>
      </c>
      <c r="AC288" s="124" t="s">
        <v>120</v>
      </c>
      <c r="AD288" s="124">
        <v>0.0</v>
      </c>
      <c r="AE288" s="124" t="s">
        <v>120</v>
      </c>
      <c r="AF288" s="128"/>
      <c r="AG288" s="124" t="s">
        <v>120</v>
      </c>
      <c r="AH288" s="128"/>
      <c r="AI288" s="124" t="s">
        <v>120</v>
      </c>
      <c r="AJ288" s="128"/>
      <c r="AK288" s="124" t="s">
        <v>1325</v>
      </c>
      <c r="AL288" s="124" t="s">
        <v>138</v>
      </c>
      <c r="AM288" s="124" t="s">
        <v>185</v>
      </c>
      <c r="AN288" s="124" t="s">
        <v>156</v>
      </c>
      <c r="AO288" s="124" t="s">
        <v>129</v>
      </c>
      <c r="AP288" s="124"/>
    </row>
    <row r="289">
      <c r="A289" s="124" t="s">
        <v>3761</v>
      </c>
      <c r="B289" s="124" t="s">
        <v>3762</v>
      </c>
      <c r="C289" s="124" t="s">
        <v>3763</v>
      </c>
      <c r="D289" s="127">
        <v>40775.0</v>
      </c>
      <c r="E289" s="124" t="s">
        <v>98</v>
      </c>
      <c r="F289" s="124">
        <v>5.538807295E9</v>
      </c>
      <c r="G289" s="124" t="s">
        <v>3764</v>
      </c>
      <c r="H289" s="124" t="s">
        <v>140</v>
      </c>
      <c r="I289" s="128"/>
      <c r="J289" s="124" t="s">
        <v>3765</v>
      </c>
      <c r="K289" s="124" t="s">
        <v>3764</v>
      </c>
      <c r="L289" s="124">
        <v>5.541889676E9</v>
      </c>
      <c r="M289" s="128"/>
      <c r="N289" s="128"/>
      <c r="O289" s="128"/>
      <c r="P289" s="129">
        <v>14.0</v>
      </c>
      <c r="Q289" s="130">
        <v>46031.089780092596</v>
      </c>
      <c r="R289" s="124" t="s">
        <v>107</v>
      </c>
      <c r="S289" s="124" t="s">
        <v>109</v>
      </c>
      <c r="T289" s="124" t="s">
        <v>192</v>
      </c>
      <c r="U289" s="124" t="s">
        <v>749</v>
      </c>
      <c r="V289" s="124" t="s">
        <v>750</v>
      </c>
      <c r="W289" s="124" t="s">
        <v>751</v>
      </c>
      <c r="X289" s="124" t="s">
        <v>120</v>
      </c>
      <c r="Y289" s="128"/>
      <c r="Z289" s="124" t="s">
        <v>120</v>
      </c>
      <c r="AA289" s="128"/>
      <c r="AB289" s="124" t="s">
        <v>120</v>
      </c>
      <c r="AC289" s="128"/>
      <c r="AD289" s="128"/>
      <c r="AE289" s="124" t="s">
        <v>120</v>
      </c>
      <c r="AF289" s="128"/>
      <c r="AG289" s="124" t="s">
        <v>120</v>
      </c>
      <c r="AH289" s="128"/>
      <c r="AI289" s="124" t="s">
        <v>120</v>
      </c>
      <c r="AJ289" s="128"/>
      <c r="AK289" s="128"/>
      <c r="AL289" s="124" t="s">
        <v>156</v>
      </c>
      <c r="AM289" s="124" t="s">
        <v>129</v>
      </c>
      <c r="AN289" s="124" t="s">
        <v>138</v>
      </c>
      <c r="AO289" s="124" t="s">
        <v>124</v>
      </c>
      <c r="AP289" s="124"/>
    </row>
    <row r="290">
      <c r="A290" s="124" t="s">
        <v>3247</v>
      </c>
      <c r="B290" s="124" t="s">
        <v>3766</v>
      </c>
      <c r="C290" s="124" t="s">
        <v>3767</v>
      </c>
      <c r="D290" s="127">
        <v>37866.0</v>
      </c>
      <c r="E290" s="124" t="s">
        <v>177</v>
      </c>
      <c r="F290" s="124">
        <v>5.521309635E9</v>
      </c>
      <c r="G290" s="124" t="s">
        <v>3768</v>
      </c>
      <c r="H290" s="124" t="s">
        <v>140</v>
      </c>
      <c r="I290" s="128"/>
      <c r="J290" s="124" t="s">
        <v>3769</v>
      </c>
      <c r="K290" s="124" t="s">
        <v>3770</v>
      </c>
      <c r="L290" s="124">
        <v>5.57502464E9</v>
      </c>
      <c r="M290" s="128"/>
      <c r="N290" s="128"/>
      <c r="O290" s="128"/>
      <c r="P290" s="129">
        <v>22.0</v>
      </c>
      <c r="Q290" s="130">
        <v>46025.893530092595</v>
      </c>
      <c r="R290" s="124" t="s">
        <v>107</v>
      </c>
      <c r="S290" s="124" t="s">
        <v>125</v>
      </c>
      <c r="T290" s="124" t="s">
        <v>204</v>
      </c>
      <c r="U290" s="124" t="s">
        <v>357</v>
      </c>
      <c r="V290" s="124" t="s">
        <v>359</v>
      </c>
      <c r="W290" s="124" t="s">
        <v>362</v>
      </c>
      <c r="X290" s="124" t="s">
        <v>120</v>
      </c>
      <c r="Y290" s="128"/>
      <c r="Z290" s="124" t="s">
        <v>120</v>
      </c>
      <c r="AA290" s="128"/>
      <c r="AB290" s="124" t="s">
        <v>120</v>
      </c>
      <c r="AC290" s="128"/>
      <c r="AD290" s="128"/>
      <c r="AE290" s="124" t="s">
        <v>120</v>
      </c>
      <c r="AF290" s="128"/>
      <c r="AG290" s="124" t="s">
        <v>120</v>
      </c>
      <c r="AH290" s="128"/>
      <c r="AI290" s="124" t="s">
        <v>120</v>
      </c>
      <c r="AJ290" s="128"/>
      <c r="AK290" s="128"/>
      <c r="AL290" s="124" t="s">
        <v>185</v>
      </c>
      <c r="AM290" s="124" t="s">
        <v>156</v>
      </c>
      <c r="AN290" s="124" t="s">
        <v>138</v>
      </c>
      <c r="AO290" s="124" t="s">
        <v>128</v>
      </c>
      <c r="AP290" s="124"/>
    </row>
    <row r="291">
      <c r="A291" s="124" t="s">
        <v>1695</v>
      </c>
      <c r="B291" s="124" t="s">
        <v>1696</v>
      </c>
      <c r="C291" s="124" t="s">
        <v>1698</v>
      </c>
      <c r="D291" s="127">
        <v>41226.0</v>
      </c>
      <c r="E291" s="124" t="s">
        <v>177</v>
      </c>
      <c r="F291" s="124">
        <v>5.54829996E9</v>
      </c>
      <c r="G291" s="124" t="s">
        <v>1700</v>
      </c>
      <c r="H291" s="124" t="s">
        <v>101</v>
      </c>
      <c r="I291" s="124" t="s">
        <v>1701</v>
      </c>
      <c r="J291" s="124" t="s">
        <v>1702</v>
      </c>
      <c r="K291" s="124" t="s">
        <v>1703</v>
      </c>
      <c r="L291" s="124">
        <v>5.581784097E9</v>
      </c>
      <c r="M291" s="128"/>
      <c r="N291" s="128"/>
      <c r="O291" s="128"/>
      <c r="P291" s="129">
        <v>13.0</v>
      </c>
      <c r="Q291" s="130">
        <v>46033.5578125</v>
      </c>
      <c r="R291" s="124" t="s">
        <v>107</v>
      </c>
      <c r="S291" s="124" t="s">
        <v>109</v>
      </c>
      <c r="T291" s="124" t="s">
        <v>171</v>
      </c>
      <c r="U291" s="124" t="s">
        <v>262</v>
      </c>
      <c r="V291" s="124" t="s">
        <v>263</v>
      </c>
      <c r="W291" s="124" t="s">
        <v>264</v>
      </c>
      <c r="X291" s="124" t="s">
        <v>120</v>
      </c>
      <c r="Y291" s="128"/>
      <c r="Z291" s="124" t="s">
        <v>120</v>
      </c>
      <c r="AA291" s="128"/>
      <c r="AB291" s="124" t="s">
        <v>120</v>
      </c>
      <c r="AC291" s="124" t="s">
        <v>120</v>
      </c>
      <c r="AD291" s="128"/>
      <c r="AE291" s="124" t="s">
        <v>120</v>
      </c>
      <c r="AF291" s="128"/>
      <c r="AG291" s="124" t="s">
        <v>120</v>
      </c>
      <c r="AH291" s="128"/>
      <c r="AI291" s="124" t="s">
        <v>120</v>
      </c>
      <c r="AJ291" s="128"/>
      <c r="AK291" s="128"/>
      <c r="AL291" s="124" t="s">
        <v>129</v>
      </c>
      <c r="AM291" s="124" t="s">
        <v>124</v>
      </c>
      <c r="AN291" s="124" t="s">
        <v>185</v>
      </c>
      <c r="AO291" s="124" t="s">
        <v>141</v>
      </c>
      <c r="AP291" s="124"/>
    </row>
    <row r="292">
      <c r="A292" s="124" t="s">
        <v>3771</v>
      </c>
      <c r="B292" s="124" t="s">
        <v>3772</v>
      </c>
      <c r="C292" s="124" t="s">
        <v>3773</v>
      </c>
      <c r="D292" s="127">
        <v>39931.0</v>
      </c>
      <c r="E292" s="124" t="s">
        <v>98</v>
      </c>
      <c r="F292" s="124">
        <v>5.643633128E9</v>
      </c>
      <c r="G292" s="124" t="s">
        <v>3774</v>
      </c>
      <c r="H292" s="124" t="s">
        <v>382</v>
      </c>
      <c r="I292" s="128"/>
      <c r="J292" s="124" t="s">
        <v>3775</v>
      </c>
      <c r="K292" s="124" t="s">
        <v>3776</v>
      </c>
      <c r="L292" s="124">
        <v>5.580670908E9</v>
      </c>
      <c r="M292" s="124" t="s">
        <v>3777</v>
      </c>
      <c r="N292" s="124" t="s">
        <v>3778</v>
      </c>
      <c r="O292" s="124">
        <v>5.583842484E9</v>
      </c>
      <c r="P292" s="129">
        <v>16.0</v>
      </c>
      <c r="Q292" s="130">
        <v>46033.4844212963</v>
      </c>
      <c r="R292" s="124" t="s">
        <v>107</v>
      </c>
      <c r="S292" s="124" t="s">
        <v>109</v>
      </c>
      <c r="T292" s="124" t="s">
        <v>160</v>
      </c>
      <c r="U292" s="124" t="s">
        <v>329</v>
      </c>
      <c r="V292" s="124" t="s">
        <v>331</v>
      </c>
      <c r="W292" s="124" t="s">
        <v>332</v>
      </c>
      <c r="X292" s="124" t="s">
        <v>120</v>
      </c>
      <c r="Y292" s="128"/>
      <c r="Z292" s="124" t="s">
        <v>120</v>
      </c>
      <c r="AA292" s="128"/>
      <c r="AB292" s="124" t="s">
        <v>120</v>
      </c>
      <c r="AC292" s="128"/>
      <c r="AD292" s="128"/>
      <c r="AE292" s="124" t="s">
        <v>120</v>
      </c>
      <c r="AF292" s="128"/>
      <c r="AG292" s="124" t="s">
        <v>120</v>
      </c>
      <c r="AH292" s="128"/>
      <c r="AI292" s="124" t="s">
        <v>120</v>
      </c>
      <c r="AJ292" s="128"/>
      <c r="AK292" s="128"/>
      <c r="AL292" s="124" t="s">
        <v>240</v>
      </c>
      <c r="AM292" s="124" t="s">
        <v>126</v>
      </c>
      <c r="AN292" s="124" t="s">
        <v>141</v>
      </c>
      <c r="AO292" s="124" t="s">
        <v>242</v>
      </c>
      <c r="AP292" s="124"/>
    </row>
    <row r="293">
      <c r="A293" s="124" t="s">
        <v>3779</v>
      </c>
      <c r="B293" s="124" t="s">
        <v>3359</v>
      </c>
      <c r="C293" s="124" t="s">
        <v>3780</v>
      </c>
      <c r="D293" s="127">
        <v>39501.0</v>
      </c>
      <c r="E293" s="124" t="s">
        <v>177</v>
      </c>
      <c r="F293" s="124">
        <v>5.662733378E9</v>
      </c>
      <c r="G293" s="124" t="s">
        <v>3361</v>
      </c>
      <c r="H293" s="124" t="s">
        <v>101</v>
      </c>
      <c r="I293" s="124" t="s">
        <v>979</v>
      </c>
      <c r="J293" s="124" t="s">
        <v>3362</v>
      </c>
      <c r="K293" s="124" t="s">
        <v>3361</v>
      </c>
      <c r="L293" s="124">
        <v>5.546686041E9</v>
      </c>
      <c r="M293" s="128"/>
      <c r="N293" s="128"/>
      <c r="O293" s="128"/>
      <c r="P293" s="129">
        <v>18.0</v>
      </c>
      <c r="Q293" s="130">
        <v>46040.51221064815</v>
      </c>
      <c r="R293" s="124" t="s">
        <v>107</v>
      </c>
      <c r="S293" s="124" t="s">
        <v>109</v>
      </c>
      <c r="T293" s="124" t="s">
        <v>160</v>
      </c>
      <c r="U293" s="124" t="s">
        <v>308</v>
      </c>
      <c r="V293" s="124" t="s">
        <v>309</v>
      </c>
      <c r="W293" s="124" t="s">
        <v>310</v>
      </c>
      <c r="X293" s="124" t="s">
        <v>120</v>
      </c>
      <c r="Y293" s="128"/>
      <c r="Z293" s="124" t="s">
        <v>120</v>
      </c>
      <c r="AA293" s="128"/>
      <c r="AB293" s="124" t="s">
        <v>120</v>
      </c>
      <c r="AC293" s="128"/>
      <c r="AD293" s="128"/>
      <c r="AE293" s="124" t="s">
        <v>120</v>
      </c>
      <c r="AF293" s="128"/>
      <c r="AG293" s="124" t="s">
        <v>120</v>
      </c>
      <c r="AH293" s="128"/>
      <c r="AI293" s="124" t="s">
        <v>120</v>
      </c>
      <c r="AJ293" s="128"/>
      <c r="AK293" s="128"/>
      <c r="AL293" s="124" t="s">
        <v>129</v>
      </c>
      <c r="AM293" s="124" t="s">
        <v>138</v>
      </c>
      <c r="AN293" s="124" t="s">
        <v>156</v>
      </c>
      <c r="AO293" s="124" t="s">
        <v>124</v>
      </c>
      <c r="AP293" s="124"/>
    </row>
    <row r="294">
      <c r="A294" s="124" t="s">
        <v>1730</v>
      </c>
      <c r="B294" s="124" t="s">
        <v>1731</v>
      </c>
      <c r="C294" s="124" t="s">
        <v>1733</v>
      </c>
      <c r="D294" s="127">
        <v>40382.0</v>
      </c>
      <c r="E294" s="124" t="s">
        <v>177</v>
      </c>
      <c r="F294" s="124">
        <v>8.434719935E9</v>
      </c>
      <c r="G294" s="124" t="s">
        <v>1735</v>
      </c>
      <c r="H294" s="124" t="s">
        <v>101</v>
      </c>
      <c r="I294" s="128"/>
      <c r="J294" s="124" t="s">
        <v>1736</v>
      </c>
      <c r="K294" s="124" t="s">
        <v>1737</v>
      </c>
      <c r="L294" s="124">
        <v>5.522714514E9</v>
      </c>
      <c r="M294" s="128"/>
      <c r="N294" s="128"/>
      <c r="O294" s="128"/>
      <c r="P294" s="129">
        <v>15.0</v>
      </c>
      <c r="Q294" s="130">
        <v>46037.40195601852</v>
      </c>
      <c r="R294" s="124" t="s">
        <v>260</v>
      </c>
      <c r="S294" s="124" t="s">
        <v>109</v>
      </c>
      <c r="T294" s="124" t="s">
        <v>171</v>
      </c>
      <c r="U294" s="124" t="s">
        <v>1048</v>
      </c>
      <c r="V294" s="124" t="s">
        <v>1050</v>
      </c>
      <c r="W294" s="124" t="s">
        <v>1051</v>
      </c>
      <c r="X294" s="124" t="s">
        <v>120</v>
      </c>
      <c r="Y294" s="128"/>
      <c r="Z294" s="124" t="s">
        <v>117</v>
      </c>
      <c r="AA294" s="124" t="s">
        <v>1742</v>
      </c>
      <c r="AB294" s="124" t="s">
        <v>117</v>
      </c>
      <c r="AC294" s="124" t="s">
        <v>117</v>
      </c>
      <c r="AD294" s="124" t="s">
        <v>1743</v>
      </c>
      <c r="AE294" s="124" t="s">
        <v>120</v>
      </c>
      <c r="AF294" s="128"/>
      <c r="AG294" s="124" t="s">
        <v>120</v>
      </c>
      <c r="AH294" s="128"/>
      <c r="AI294" s="124" t="s">
        <v>120</v>
      </c>
      <c r="AJ294" s="128"/>
      <c r="AK294" s="128"/>
      <c r="AL294" s="124" t="s">
        <v>126</v>
      </c>
      <c r="AM294" s="124" t="s">
        <v>138</v>
      </c>
      <c r="AN294" s="124" t="s">
        <v>141</v>
      </c>
      <c r="AO294" s="124" t="s">
        <v>185</v>
      </c>
      <c r="AP294" s="124"/>
    </row>
    <row r="295">
      <c r="A295" s="124" t="s">
        <v>3781</v>
      </c>
      <c r="B295" s="124" t="s">
        <v>3782</v>
      </c>
      <c r="C295" s="124" t="s">
        <v>46</v>
      </c>
      <c r="D295" s="127">
        <v>40006.0</v>
      </c>
      <c r="E295" s="124" t="s">
        <v>98</v>
      </c>
      <c r="F295" s="124">
        <v>5.635072935E9</v>
      </c>
      <c r="G295" s="124" t="s">
        <v>3783</v>
      </c>
      <c r="H295" s="124" t="s">
        <v>101</v>
      </c>
      <c r="I295" s="124" t="s">
        <v>1238</v>
      </c>
      <c r="J295" s="124" t="s">
        <v>3784</v>
      </c>
      <c r="K295" s="124" t="s">
        <v>3785</v>
      </c>
      <c r="L295" s="124">
        <v>5.571183596E9</v>
      </c>
      <c r="M295" s="128"/>
      <c r="N295" s="128"/>
      <c r="O295" s="128"/>
      <c r="P295" s="129">
        <v>16.0</v>
      </c>
      <c r="Q295" s="130">
        <v>46040.83939814815</v>
      </c>
      <c r="R295" s="124" t="s">
        <v>107</v>
      </c>
      <c r="S295" s="124" t="s">
        <v>109</v>
      </c>
      <c r="T295" s="124" t="s">
        <v>111</v>
      </c>
      <c r="U295" s="124" t="s">
        <v>2654</v>
      </c>
      <c r="V295" s="124" t="s">
        <v>2655</v>
      </c>
      <c r="W295" s="124" t="s">
        <v>2656</v>
      </c>
      <c r="X295" s="124" t="s">
        <v>120</v>
      </c>
      <c r="Y295" s="128"/>
      <c r="Z295" s="124" t="s">
        <v>120</v>
      </c>
      <c r="AA295" s="128"/>
      <c r="AB295" s="124" t="s">
        <v>120</v>
      </c>
      <c r="AC295" s="124" t="s">
        <v>120</v>
      </c>
      <c r="AD295" s="128"/>
      <c r="AE295" s="124" t="s">
        <v>120</v>
      </c>
      <c r="AF295" s="128"/>
      <c r="AG295" s="124" t="s">
        <v>120</v>
      </c>
      <c r="AH295" s="128"/>
      <c r="AI295" s="124" t="s">
        <v>120</v>
      </c>
      <c r="AJ295" s="128"/>
      <c r="AK295" s="128"/>
      <c r="AL295" s="124" t="s">
        <v>141</v>
      </c>
      <c r="AM295" s="124" t="s">
        <v>126</v>
      </c>
      <c r="AN295" s="124" t="s">
        <v>138</v>
      </c>
      <c r="AO295" s="124" t="s">
        <v>124</v>
      </c>
      <c r="AP295" s="124"/>
    </row>
    <row r="296">
      <c r="A296" s="124" t="s">
        <v>3786</v>
      </c>
      <c r="B296" s="124" t="s">
        <v>3787</v>
      </c>
      <c r="C296" s="124" t="s">
        <v>3788</v>
      </c>
      <c r="D296" s="127">
        <v>38132.0</v>
      </c>
      <c r="E296" s="124" t="s">
        <v>177</v>
      </c>
      <c r="F296" s="124">
        <v>5.584925111E9</v>
      </c>
      <c r="G296" s="124" t="s">
        <v>3789</v>
      </c>
      <c r="H296" s="124" t="s">
        <v>150</v>
      </c>
      <c r="I296" s="128"/>
      <c r="J296" s="124" t="s">
        <v>3790</v>
      </c>
      <c r="K296" s="124" t="s">
        <v>3791</v>
      </c>
      <c r="L296" s="124">
        <v>5.530787677E9</v>
      </c>
      <c r="M296" s="128"/>
      <c r="N296" s="128"/>
      <c r="O296" s="128"/>
      <c r="P296" s="129">
        <v>21.0</v>
      </c>
      <c r="Q296" s="130">
        <v>46033.435844907406</v>
      </c>
      <c r="R296" s="124" t="s">
        <v>107</v>
      </c>
      <c r="S296" s="124" t="s">
        <v>125</v>
      </c>
      <c r="T296" s="124" t="s">
        <v>127</v>
      </c>
      <c r="U296" s="124" t="s">
        <v>130</v>
      </c>
      <c r="V296" s="124" t="s">
        <v>131</v>
      </c>
      <c r="W296" s="124" t="s">
        <v>132</v>
      </c>
      <c r="X296" s="124" t="s">
        <v>120</v>
      </c>
      <c r="Y296" s="128"/>
      <c r="Z296" s="124" t="s">
        <v>120</v>
      </c>
      <c r="AA296" s="128"/>
      <c r="AB296" s="124" t="s">
        <v>120</v>
      </c>
      <c r="AC296" s="124" t="s">
        <v>120</v>
      </c>
      <c r="AD296" s="128"/>
      <c r="AE296" s="124" t="s">
        <v>120</v>
      </c>
      <c r="AF296" s="128"/>
      <c r="AG296" s="124" t="s">
        <v>120</v>
      </c>
      <c r="AH296" s="128"/>
      <c r="AI296" s="124" t="s">
        <v>120</v>
      </c>
      <c r="AJ296" s="128"/>
      <c r="AK296" s="128"/>
      <c r="AL296" s="124" t="s">
        <v>185</v>
      </c>
      <c r="AM296" s="124" t="s">
        <v>141</v>
      </c>
      <c r="AN296" s="124" t="s">
        <v>240</v>
      </c>
      <c r="AO296" s="124" t="s">
        <v>242</v>
      </c>
      <c r="AP296" s="124"/>
    </row>
    <row r="297">
      <c r="A297" s="124" t="s">
        <v>243</v>
      </c>
      <c r="B297" s="124" t="s">
        <v>244</v>
      </c>
      <c r="C297" s="124" t="s">
        <v>245</v>
      </c>
      <c r="D297" s="127">
        <v>40754.0</v>
      </c>
      <c r="E297" s="124" t="s">
        <v>98</v>
      </c>
      <c r="F297" s="124">
        <v>5.520419854E9</v>
      </c>
      <c r="G297" s="124" t="s">
        <v>247</v>
      </c>
      <c r="H297" s="124" t="s">
        <v>140</v>
      </c>
      <c r="I297" s="124" t="s">
        <v>250</v>
      </c>
      <c r="J297" s="124" t="s">
        <v>251</v>
      </c>
      <c r="K297" s="124" t="s">
        <v>252</v>
      </c>
      <c r="L297" s="124">
        <v>5.511201062E9</v>
      </c>
      <c r="M297" s="124" t="s">
        <v>253</v>
      </c>
      <c r="N297" s="124" t="s">
        <v>254</v>
      </c>
      <c r="O297" s="124">
        <v>5.546900783E9</v>
      </c>
      <c r="P297" s="129">
        <v>14.0</v>
      </c>
      <c r="Q297" s="130">
        <v>46020.53304398148</v>
      </c>
      <c r="R297" s="124" t="s">
        <v>107</v>
      </c>
      <c r="S297" s="124" t="s">
        <v>109</v>
      </c>
      <c r="T297" s="124" t="s">
        <v>208</v>
      </c>
      <c r="U297" s="124" t="s">
        <v>209</v>
      </c>
      <c r="V297" s="124" t="s">
        <v>210</v>
      </c>
      <c r="W297" s="124" t="s">
        <v>211</v>
      </c>
      <c r="X297" s="124" t="s">
        <v>117</v>
      </c>
      <c r="Y297" s="124" t="s">
        <v>259</v>
      </c>
      <c r="Z297" s="124" t="s">
        <v>120</v>
      </c>
      <c r="AA297" s="128"/>
      <c r="AB297" s="124" t="s">
        <v>117</v>
      </c>
      <c r="AC297" s="124" t="s">
        <v>117</v>
      </c>
      <c r="AD297" s="124" t="s">
        <v>261</v>
      </c>
      <c r="AE297" s="124" t="s">
        <v>120</v>
      </c>
      <c r="AF297" s="128"/>
      <c r="AG297" s="124" t="s">
        <v>120</v>
      </c>
      <c r="AH297" s="128"/>
      <c r="AI297" s="124" t="s">
        <v>117</v>
      </c>
      <c r="AJ297" s="124" t="s">
        <v>178</v>
      </c>
      <c r="AK297" s="128"/>
      <c r="AL297" s="124" t="s">
        <v>156</v>
      </c>
      <c r="AM297" s="124" t="s">
        <v>138</v>
      </c>
      <c r="AN297" s="124" t="s">
        <v>156</v>
      </c>
      <c r="AO297" s="124" t="s">
        <v>128</v>
      </c>
      <c r="AP297" s="124"/>
    </row>
    <row r="298">
      <c r="A298" s="124" t="s">
        <v>3792</v>
      </c>
      <c r="B298" s="124" t="s">
        <v>3793</v>
      </c>
      <c r="C298" s="124" t="s">
        <v>3794</v>
      </c>
      <c r="D298" s="127">
        <v>40032.0</v>
      </c>
      <c r="E298" s="124" t="s">
        <v>98</v>
      </c>
      <c r="F298" s="124">
        <v>9.951048284E9</v>
      </c>
      <c r="G298" s="124" t="s">
        <v>3795</v>
      </c>
      <c r="H298" s="124" t="s">
        <v>140</v>
      </c>
      <c r="I298" s="128"/>
      <c r="J298" s="124" t="s">
        <v>3796</v>
      </c>
      <c r="K298" s="124" t="s">
        <v>3797</v>
      </c>
      <c r="L298" s="124">
        <v>5.525725637E9</v>
      </c>
      <c r="M298" s="128"/>
      <c r="N298" s="128"/>
      <c r="O298" s="128"/>
      <c r="P298" s="129">
        <v>16.0</v>
      </c>
      <c r="Q298" s="130">
        <v>46047.515011574076</v>
      </c>
      <c r="R298" s="124" t="s">
        <v>107</v>
      </c>
      <c r="S298" s="124" t="s">
        <v>109</v>
      </c>
      <c r="T298" s="124" t="s">
        <v>192</v>
      </c>
      <c r="U298" s="124" t="s">
        <v>749</v>
      </c>
      <c r="V298" s="124" t="s">
        <v>750</v>
      </c>
      <c r="W298" s="124" t="s">
        <v>751</v>
      </c>
      <c r="X298" s="124" t="s">
        <v>120</v>
      </c>
      <c r="Y298" s="128"/>
      <c r="Z298" s="124" t="s">
        <v>120</v>
      </c>
      <c r="AA298" s="128"/>
      <c r="AB298" s="124" t="s">
        <v>120</v>
      </c>
      <c r="AC298" s="128"/>
      <c r="AD298" s="128"/>
      <c r="AE298" s="124" t="s">
        <v>120</v>
      </c>
      <c r="AF298" s="128"/>
      <c r="AG298" s="124" t="s">
        <v>120</v>
      </c>
      <c r="AH298" s="128"/>
      <c r="AI298" s="124" t="s">
        <v>120</v>
      </c>
      <c r="AJ298" s="128"/>
      <c r="AK298" s="128"/>
      <c r="AL298" s="124" t="s">
        <v>185</v>
      </c>
      <c r="AM298" s="124" t="s">
        <v>138</v>
      </c>
      <c r="AN298" s="124" t="s">
        <v>242</v>
      </c>
      <c r="AO298" s="124" t="s">
        <v>126</v>
      </c>
      <c r="AP298" s="124"/>
    </row>
    <row r="299">
      <c r="A299" s="124" t="s">
        <v>3500</v>
      </c>
      <c r="B299" s="124" t="s">
        <v>3798</v>
      </c>
      <c r="C299" s="124" t="s">
        <v>3799</v>
      </c>
      <c r="D299" s="127">
        <v>36052.0</v>
      </c>
      <c r="E299" s="124" t="s">
        <v>177</v>
      </c>
      <c r="F299" s="124">
        <v>5.623800901E9</v>
      </c>
      <c r="G299" s="124" t="s">
        <v>3800</v>
      </c>
      <c r="H299" s="124" t="s">
        <v>140</v>
      </c>
      <c r="I299" s="124" t="s">
        <v>3801</v>
      </c>
      <c r="J299" s="124" t="s">
        <v>3802</v>
      </c>
      <c r="K299" s="124" t="s">
        <v>3800</v>
      </c>
      <c r="L299" s="124">
        <v>5.545617043E9</v>
      </c>
      <c r="M299" s="128"/>
      <c r="N299" s="128"/>
      <c r="O299" s="128"/>
      <c r="P299" s="129">
        <v>27.0</v>
      </c>
      <c r="Q299" s="130">
        <v>46033.5005787037</v>
      </c>
      <c r="R299" s="124" t="s">
        <v>107</v>
      </c>
      <c r="S299" s="124" t="s">
        <v>125</v>
      </c>
      <c r="T299" s="124" t="s">
        <v>192</v>
      </c>
      <c r="U299" s="124" t="s">
        <v>609</v>
      </c>
      <c r="V299" s="124" t="s">
        <v>611</v>
      </c>
      <c r="W299" s="124" t="s">
        <v>612</v>
      </c>
      <c r="X299" s="124" t="s">
        <v>117</v>
      </c>
      <c r="Y299" s="124" t="s">
        <v>3803</v>
      </c>
      <c r="Z299" s="124" t="s">
        <v>117</v>
      </c>
      <c r="AA299" s="124" t="s">
        <v>3804</v>
      </c>
      <c r="AB299" s="124" t="s">
        <v>120</v>
      </c>
      <c r="AC299" s="128"/>
      <c r="AD299" s="128"/>
      <c r="AE299" s="124" t="s">
        <v>120</v>
      </c>
      <c r="AF299" s="128"/>
      <c r="AG299" s="124" t="s">
        <v>120</v>
      </c>
      <c r="AH299" s="128"/>
      <c r="AI299" s="124" t="s">
        <v>120</v>
      </c>
      <c r="AJ299" s="128"/>
      <c r="AK299" s="128"/>
      <c r="AL299" s="124" t="s">
        <v>128</v>
      </c>
      <c r="AM299" s="124" t="s">
        <v>126</v>
      </c>
      <c r="AN299" s="124" t="s">
        <v>216</v>
      </c>
      <c r="AO299" s="124" t="s">
        <v>242</v>
      </c>
      <c r="AP299" s="124"/>
    </row>
    <row r="300">
      <c r="A300" s="124" t="s">
        <v>2282</v>
      </c>
      <c r="B300" s="128"/>
      <c r="C300" s="124" t="s">
        <v>2282</v>
      </c>
      <c r="D300" s="127">
        <v>38117.0</v>
      </c>
      <c r="E300" s="124" t="s">
        <v>98</v>
      </c>
      <c r="F300" s="124">
        <v>5.512895279E9</v>
      </c>
      <c r="G300" s="124" t="s">
        <v>2284</v>
      </c>
      <c r="H300" s="124" t="s">
        <v>150</v>
      </c>
      <c r="I300" s="128"/>
      <c r="J300" s="124" t="s">
        <v>2287</v>
      </c>
      <c r="K300" s="124" t="s">
        <v>2288</v>
      </c>
      <c r="L300" s="124">
        <v>5.639585915E9</v>
      </c>
      <c r="M300" s="128"/>
      <c r="N300" s="128"/>
      <c r="O300" s="128"/>
      <c r="P300" s="129">
        <v>21.0</v>
      </c>
      <c r="Q300" s="130">
        <v>46034.82329861111</v>
      </c>
      <c r="R300" s="124" t="s">
        <v>107</v>
      </c>
      <c r="S300" s="124" t="s">
        <v>125</v>
      </c>
      <c r="T300" s="124" t="s">
        <v>127</v>
      </c>
      <c r="U300" s="124" t="s">
        <v>130</v>
      </c>
      <c r="V300" s="124" t="s">
        <v>131</v>
      </c>
      <c r="W300" s="124" t="s">
        <v>132</v>
      </c>
      <c r="X300" s="124" t="s">
        <v>120</v>
      </c>
      <c r="Y300" s="128"/>
      <c r="Z300" s="124" t="s">
        <v>120</v>
      </c>
      <c r="AA300" s="128"/>
      <c r="AB300" s="124" t="s">
        <v>120</v>
      </c>
      <c r="AC300" s="124" t="s">
        <v>117</v>
      </c>
      <c r="AD300" s="128"/>
      <c r="AE300" s="124" t="s">
        <v>120</v>
      </c>
      <c r="AF300" s="128"/>
      <c r="AG300" s="124" t="s">
        <v>120</v>
      </c>
      <c r="AH300" s="128"/>
      <c r="AI300" s="124" t="s">
        <v>120</v>
      </c>
      <c r="AJ300" s="128"/>
      <c r="AK300" s="128"/>
      <c r="AL300" s="124" t="s">
        <v>124</v>
      </c>
      <c r="AM300" s="124" t="s">
        <v>242</v>
      </c>
      <c r="AN300" s="124" t="s">
        <v>156</v>
      </c>
      <c r="AO300" s="124" t="s">
        <v>129</v>
      </c>
      <c r="AP300" s="124"/>
    </row>
    <row r="301">
      <c r="A301" s="124" t="s">
        <v>3805</v>
      </c>
      <c r="B301" s="124" t="s">
        <v>3806</v>
      </c>
      <c r="C301" s="124" t="s">
        <v>3807</v>
      </c>
      <c r="D301" s="127">
        <v>40931.0</v>
      </c>
      <c r="E301" s="124" t="s">
        <v>98</v>
      </c>
      <c r="F301" s="124">
        <v>5.574619175E9</v>
      </c>
      <c r="G301" s="124" t="s">
        <v>3808</v>
      </c>
      <c r="H301" s="124" t="s">
        <v>101</v>
      </c>
      <c r="I301" s="124" t="s">
        <v>1325</v>
      </c>
      <c r="J301" s="124" t="s">
        <v>3809</v>
      </c>
      <c r="K301" s="124" t="s">
        <v>3810</v>
      </c>
      <c r="L301" s="124">
        <v>5.540917209E9</v>
      </c>
      <c r="M301" s="124" t="s">
        <v>3811</v>
      </c>
      <c r="N301" s="124" t="s">
        <v>3810</v>
      </c>
      <c r="O301" s="124">
        <v>5.629919141E9</v>
      </c>
      <c r="P301" s="129">
        <v>14.0</v>
      </c>
      <c r="Q301" s="130">
        <v>46036.735555555555</v>
      </c>
      <c r="R301" s="124" t="s">
        <v>107</v>
      </c>
      <c r="S301" s="124" t="s">
        <v>109</v>
      </c>
      <c r="T301" s="124" t="s">
        <v>111</v>
      </c>
      <c r="U301" s="124" t="s">
        <v>1979</v>
      </c>
      <c r="V301" s="124" t="s">
        <v>1980</v>
      </c>
      <c r="W301" s="124" t="s">
        <v>1981</v>
      </c>
      <c r="X301" s="124" t="s">
        <v>120</v>
      </c>
      <c r="Y301" s="128"/>
      <c r="Z301" s="124" t="s">
        <v>120</v>
      </c>
      <c r="AA301" s="128"/>
      <c r="AB301" s="124" t="s">
        <v>120</v>
      </c>
      <c r="AC301" s="128"/>
      <c r="AD301" s="128"/>
      <c r="AE301" s="124" t="s">
        <v>120</v>
      </c>
      <c r="AF301" s="128"/>
      <c r="AG301" s="124" t="s">
        <v>120</v>
      </c>
      <c r="AH301" s="128"/>
      <c r="AI301" s="124" t="s">
        <v>120</v>
      </c>
      <c r="AJ301" s="128"/>
      <c r="AK301" s="128"/>
      <c r="AL301" s="124" t="s">
        <v>240</v>
      </c>
      <c r="AM301" s="124" t="s">
        <v>138</v>
      </c>
      <c r="AN301" s="124" t="s">
        <v>126</v>
      </c>
      <c r="AO301" s="124" t="s">
        <v>156</v>
      </c>
      <c r="AP301" s="124"/>
    </row>
    <row r="302">
      <c r="A302" s="124" t="s">
        <v>970</v>
      </c>
      <c r="B302" s="124" t="s">
        <v>972</v>
      </c>
      <c r="C302" s="124" t="s">
        <v>974</v>
      </c>
      <c r="D302" s="127">
        <v>40092.0</v>
      </c>
      <c r="E302" s="124" t="s">
        <v>98</v>
      </c>
      <c r="F302" s="124">
        <v>5.559449773E9</v>
      </c>
      <c r="G302" s="124" t="s">
        <v>977</v>
      </c>
      <c r="H302" s="124" t="s">
        <v>382</v>
      </c>
      <c r="I302" s="124" t="s">
        <v>979</v>
      </c>
      <c r="J302" s="124" t="s">
        <v>980</v>
      </c>
      <c r="K302" s="124" t="s">
        <v>981</v>
      </c>
      <c r="L302" s="124">
        <v>5.591612552E9</v>
      </c>
      <c r="M302" s="128"/>
      <c r="N302" s="128"/>
      <c r="O302" s="128"/>
      <c r="P302" s="129">
        <v>16.0</v>
      </c>
      <c r="Q302" s="130">
        <v>46019.71203703704</v>
      </c>
      <c r="R302" s="124" t="s">
        <v>107</v>
      </c>
      <c r="S302" s="124" t="s">
        <v>109</v>
      </c>
      <c r="T302" s="124" t="s">
        <v>127</v>
      </c>
      <c r="U302" s="124" t="s">
        <v>234</v>
      </c>
      <c r="V302" s="124" t="s">
        <v>227</v>
      </c>
      <c r="W302" s="124" t="s">
        <v>236</v>
      </c>
      <c r="X302" s="124" t="s">
        <v>117</v>
      </c>
      <c r="Y302" s="128"/>
      <c r="Z302" s="124" t="s">
        <v>117</v>
      </c>
      <c r="AA302" s="128"/>
      <c r="AB302" s="124" t="s">
        <v>117</v>
      </c>
      <c r="AC302" s="128"/>
      <c r="AD302" s="128"/>
      <c r="AE302" s="124" t="s">
        <v>117</v>
      </c>
      <c r="AF302" s="128"/>
      <c r="AG302" s="124" t="s">
        <v>117</v>
      </c>
      <c r="AH302" s="128"/>
      <c r="AI302" s="124" t="s">
        <v>117</v>
      </c>
      <c r="AJ302" s="128"/>
      <c r="AK302" s="128"/>
      <c r="AL302" s="124" t="s">
        <v>156</v>
      </c>
      <c r="AM302" s="124" t="s">
        <v>185</v>
      </c>
      <c r="AN302" s="124" t="s">
        <v>124</v>
      </c>
      <c r="AO302" s="124" t="s">
        <v>156</v>
      </c>
      <c r="AP302" s="124"/>
    </row>
    <row r="303">
      <c r="A303" s="124" t="s">
        <v>3812</v>
      </c>
      <c r="B303" s="124" t="s">
        <v>3813</v>
      </c>
      <c r="C303" s="124" t="s">
        <v>3814</v>
      </c>
      <c r="D303" s="127">
        <v>40813.0</v>
      </c>
      <c r="E303" s="124" t="s">
        <v>177</v>
      </c>
      <c r="F303" s="124" t="s">
        <v>3815</v>
      </c>
      <c r="G303" s="124" t="s">
        <v>3816</v>
      </c>
      <c r="H303" s="124" t="s">
        <v>150</v>
      </c>
      <c r="I303" s="124" t="s">
        <v>584</v>
      </c>
      <c r="J303" s="124" t="s">
        <v>3817</v>
      </c>
      <c r="K303" s="124" t="s">
        <v>3818</v>
      </c>
      <c r="L303" s="124" t="s">
        <v>3819</v>
      </c>
      <c r="M303" s="128"/>
      <c r="N303" s="128"/>
      <c r="O303" s="128"/>
      <c r="P303" s="129">
        <v>14.0</v>
      </c>
      <c r="Q303" s="130">
        <v>46039.95636574074</v>
      </c>
      <c r="R303" s="124" t="s">
        <v>107</v>
      </c>
      <c r="S303" s="124" t="s">
        <v>109</v>
      </c>
      <c r="T303" s="124" t="s">
        <v>171</v>
      </c>
      <c r="U303" s="124" t="s">
        <v>2149</v>
      </c>
      <c r="V303" s="124" t="s">
        <v>2141</v>
      </c>
      <c r="W303" s="124" t="s">
        <v>2151</v>
      </c>
      <c r="X303" s="124" t="s">
        <v>120</v>
      </c>
      <c r="Y303" s="128"/>
      <c r="Z303" s="124" t="s">
        <v>120</v>
      </c>
      <c r="AA303" s="128"/>
      <c r="AB303" s="124" t="s">
        <v>120</v>
      </c>
      <c r="AC303" s="124" t="s">
        <v>120</v>
      </c>
      <c r="AD303" s="128"/>
      <c r="AE303" s="124" t="s">
        <v>120</v>
      </c>
      <c r="AF303" s="128"/>
      <c r="AG303" s="124" t="s">
        <v>120</v>
      </c>
      <c r="AH303" s="128"/>
      <c r="AI303" s="124" t="s">
        <v>120</v>
      </c>
      <c r="AJ303" s="128"/>
      <c r="AK303" s="128"/>
      <c r="AL303" s="124" t="s">
        <v>126</v>
      </c>
      <c r="AM303" s="124" t="s">
        <v>141</v>
      </c>
      <c r="AN303" s="124" t="s">
        <v>185</v>
      </c>
      <c r="AO303" s="124" t="s">
        <v>242</v>
      </c>
      <c r="AP303" s="124"/>
    </row>
    <row r="304">
      <c r="A304" s="124" t="s">
        <v>1802</v>
      </c>
      <c r="B304" s="124" t="s">
        <v>3820</v>
      </c>
      <c r="C304" s="124" t="s">
        <v>3821</v>
      </c>
      <c r="D304" s="127">
        <v>40994.0</v>
      </c>
      <c r="E304" s="124" t="s">
        <v>177</v>
      </c>
      <c r="F304" s="124">
        <v>5.515671069E9</v>
      </c>
      <c r="G304" s="124" t="s">
        <v>3822</v>
      </c>
      <c r="H304" s="124" t="s">
        <v>101</v>
      </c>
      <c r="I304" s="128"/>
      <c r="J304" s="124" t="s">
        <v>3823</v>
      </c>
      <c r="K304" s="124" t="s">
        <v>3824</v>
      </c>
      <c r="L304" s="124">
        <v>5.647533079E9</v>
      </c>
      <c r="M304" s="128"/>
      <c r="N304" s="128"/>
      <c r="O304" s="128"/>
      <c r="P304" s="129">
        <v>13.0</v>
      </c>
      <c r="Q304" s="130">
        <v>46040.73303240741</v>
      </c>
      <c r="R304" s="124" t="s">
        <v>107</v>
      </c>
      <c r="S304" s="124" t="s">
        <v>109</v>
      </c>
      <c r="T304" s="124" t="s">
        <v>127</v>
      </c>
      <c r="U304" s="124" t="s">
        <v>766</v>
      </c>
      <c r="V304" s="124" t="s">
        <v>767</v>
      </c>
      <c r="W304" s="124" t="s">
        <v>768</v>
      </c>
      <c r="X304" s="124" t="s">
        <v>120</v>
      </c>
      <c r="Y304" s="128"/>
      <c r="Z304" s="124" t="s">
        <v>120</v>
      </c>
      <c r="AA304" s="128"/>
      <c r="AB304" s="124" t="s">
        <v>120</v>
      </c>
      <c r="AC304" s="124" t="s">
        <v>120</v>
      </c>
      <c r="AD304" s="128"/>
      <c r="AE304" s="124" t="s">
        <v>120</v>
      </c>
      <c r="AF304" s="128"/>
      <c r="AG304" s="124" t="s">
        <v>120</v>
      </c>
      <c r="AH304" s="128"/>
      <c r="AI304" s="124" t="s">
        <v>120</v>
      </c>
      <c r="AJ304" s="128"/>
      <c r="AK304" s="128"/>
      <c r="AL304" s="124" t="s">
        <v>141</v>
      </c>
      <c r="AM304" s="124" t="s">
        <v>138</v>
      </c>
      <c r="AN304" s="124" t="s">
        <v>242</v>
      </c>
      <c r="AO304" s="124" t="s">
        <v>124</v>
      </c>
      <c r="AP304" s="124"/>
    </row>
    <row r="305">
      <c r="A305" s="124" t="s">
        <v>2301</v>
      </c>
      <c r="B305" s="124" t="s">
        <v>2304</v>
      </c>
      <c r="C305" s="124" t="s">
        <v>2305</v>
      </c>
      <c r="D305" s="127">
        <v>37310.0</v>
      </c>
      <c r="E305" s="124" t="s">
        <v>177</v>
      </c>
      <c r="F305" s="124">
        <v>5.583939271E9</v>
      </c>
      <c r="G305" s="124" t="s">
        <v>2308</v>
      </c>
      <c r="H305" s="124" t="s">
        <v>101</v>
      </c>
      <c r="I305" s="128"/>
      <c r="J305" s="124" t="s">
        <v>2305</v>
      </c>
      <c r="K305" s="124" t="s">
        <v>2308</v>
      </c>
      <c r="L305" s="124">
        <v>5.583939571E9</v>
      </c>
      <c r="M305" s="128"/>
      <c r="N305" s="128"/>
      <c r="O305" s="128"/>
      <c r="P305" s="129">
        <v>24.0</v>
      </c>
      <c r="Q305" s="130">
        <v>46037.94712962963</v>
      </c>
      <c r="R305" s="124" t="s">
        <v>107</v>
      </c>
      <c r="S305" s="124" t="s">
        <v>125</v>
      </c>
      <c r="T305" s="124" t="s">
        <v>2309</v>
      </c>
      <c r="U305" s="124" t="s">
        <v>2310</v>
      </c>
      <c r="V305" s="124" t="s">
        <v>2311</v>
      </c>
      <c r="W305" s="124" t="s">
        <v>2312</v>
      </c>
      <c r="X305" s="124" t="s">
        <v>120</v>
      </c>
      <c r="Y305" s="128"/>
      <c r="Z305" s="124" t="s">
        <v>120</v>
      </c>
      <c r="AA305" s="128"/>
      <c r="AB305" s="124" t="s">
        <v>120</v>
      </c>
      <c r="AC305" s="124" t="s">
        <v>120</v>
      </c>
      <c r="AD305" s="128"/>
      <c r="AE305" s="124" t="s">
        <v>120</v>
      </c>
      <c r="AF305" s="128"/>
      <c r="AG305" s="124" t="s">
        <v>120</v>
      </c>
      <c r="AH305" s="128"/>
      <c r="AI305" s="124" t="s">
        <v>120</v>
      </c>
      <c r="AJ305" s="128"/>
      <c r="AK305" s="128"/>
      <c r="AL305" s="124" t="s">
        <v>240</v>
      </c>
      <c r="AM305" s="124" t="s">
        <v>128</v>
      </c>
      <c r="AN305" s="124" t="s">
        <v>156</v>
      </c>
      <c r="AO305" s="124" t="s">
        <v>128</v>
      </c>
      <c r="AP305" s="124"/>
    </row>
    <row r="306">
      <c r="A306" s="124" t="s">
        <v>3825</v>
      </c>
      <c r="B306" s="124" t="s">
        <v>3826</v>
      </c>
      <c r="C306" s="124" t="s">
        <v>3827</v>
      </c>
      <c r="D306" s="127">
        <v>40246.0</v>
      </c>
      <c r="E306" s="124" t="s">
        <v>98</v>
      </c>
      <c r="F306" s="124">
        <v>5.527445772E9</v>
      </c>
      <c r="G306" s="124" t="s">
        <v>3828</v>
      </c>
      <c r="H306" s="124" t="s">
        <v>140</v>
      </c>
      <c r="I306" s="128"/>
      <c r="J306" s="124" t="s">
        <v>3829</v>
      </c>
      <c r="K306" s="124" t="s">
        <v>3830</v>
      </c>
      <c r="L306" s="124">
        <v>5.533331875E9</v>
      </c>
      <c r="M306" s="124" t="s">
        <v>3831</v>
      </c>
      <c r="N306" s="124" t="s">
        <v>3832</v>
      </c>
      <c r="O306" s="124">
        <v>5.527556424E9</v>
      </c>
      <c r="P306" s="129">
        <v>15.0</v>
      </c>
      <c r="Q306" s="130">
        <v>46047.89052083333</v>
      </c>
      <c r="R306" s="124" t="s">
        <v>107</v>
      </c>
      <c r="S306" s="124" t="s">
        <v>109</v>
      </c>
      <c r="T306" s="124" t="s">
        <v>208</v>
      </c>
      <c r="U306" s="124" t="s">
        <v>478</v>
      </c>
      <c r="V306" s="124" t="s">
        <v>480</v>
      </c>
      <c r="W306" s="124" t="s">
        <v>481</v>
      </c>
      <c r="X306" s="124" t="s">
        <v>120</v>
      </c>
      <c r="Y306" s="128"/>
      <c r="Z306" s="124" t="s">
        <v>120</v>
      </c>
      <c r="AA306" s="128"/>
      <c r="AB306" s="124" t="s">
        <v>120</v>
      </c>
      <c r="AC306" s="128"/>
      <c r="AD306" s="128"/>
      <c r="AE306" s="124" t="s">
        <v>120</v>
      </c>
      <c r="AF306" s="128"/>
      <c r="AG306" s="124" t="s">
        <v>120</v>
      </c>
      <c r="AH306" s="128"/>
      <c r="AI306" s="124" t="s">
        <v>120</v>
      </c>
      <c r="AJ306" s="128"/>
      <c r="AK306" s="128"/>
      <c r="AL306" s="124" t="s">
        <v>216</v>
      </c>
      <c r="AM306" s="124" t="s">
        <v>126</v>
      </c>
      <c r="AN306" s="124" t="s">
        <v>124</v>
      </c>
      <c r="AO306" s="124" t="s">
        <v>185</v>
      </c>
      <c r="AP306" s="124"/>
    </row>
    <row r="307">
      <c r="A307" s="124" t="s">
        <v>3833</v>
      </c>
      <c r="B307" s="124" t="s">
        <v>1408</v>
      </c>
      <c r="C307" s="124" t="s">
        <v>3834</v>
      </c>
      <c r="D307" s="127">
        <v>40614.0</v>
      </c>
      <c r="E307" s="124" t="s">
        <v>98</v>
      </c>
      <c r="F307" s="124">
        <v>5.637324953E9</v>
      </c>
      <c r="G307" s="124" t="s">
        <v>3835</v>
      </c>
      <c r="H307" s="124" t="s">
        <v>101</v>
      </c>
      <c r="I307" s="128"/>
      <c r="J307" s="124" t="s">
        <v>702</v>
      </c>
      <c r="K307" s="124" t="s">
        <v>700</v>
      </c>
      <c r="L307" s="124">
        <v>5.518729991E9</v>
      </c>
      <c r="M307" s="128"/>
      <c r="N307" s="128"/>
      <c r="O307" s="128"/>
      <c r="P307" s="129">
        <v>14.0</v>
      </c>
      <c r="Q307" s="130">
        <v>46019.85018518518</v>
      </c>
      <c r="R307" s="124" t="s">
        <v>107</v>
      </c>
      <c r="S307" s="124" t="s">
        <v>109</v>
      </c>
      <c r="T307" s="124" t="s">
        <v>204</v>
      </c>
      <c r="U307" s="124" t="s">
        <v>699</v>
      </c>
      <c r="V307" s="124" t="s">
        <v>700</v>
      </c>
      <c r="W307" s="124" t="s">
        <v>702</v>
      </c>
      <c r="X307" s="124" t="s">
        <v>120</v>
      </c>
      <c r="Y307" s="128"/>
      <c r="Z307" s="124" t="s">
        <v>120</v>
      </c>
      <c r="AA307" s="128"/>
      <c r="AB307" s="124" t="s">
        <v>120</v>
      </c>
      <c r="AC307" s="124" t="s">
        <v>120</v>
      </c>
      <c r="AD307" s="128"/>
      <c r="AE307" s="124" t="s">
        <v>120</v>
      </c>
      <c r="AF307" s="128"/>
      <c r="AG307" s="124" t="s">
        <v>120</v>
      </c>
      <c r="AH307" s="128"/>
      <c r="AI307" s="124" t="s">
        <v>120</v>
      </c>
      <c r="AJ307" s="128"/>
      <c r="AK307" s="128"/>
      <c r="AL307" s="124" t="s">
        <v>141</v>
      </c>
      <c r="AM307" s="124" t="s">
        <v>129</v>
      </c>
      <c r="AN307" s="124" t="s">
        <v>156</v>
      </c>
      <c r="AO307" s="124" t="s">
        <v>185</v>
      </c>
      <c r="AP307" s="124"/>
    </row>
    <row r="308">
      <c r="A308" s="124" t="s">
        <v>3836</v>
      </c>
      <c r="B308" s="124" t="s">
        <v>3837</v>
      </c>
      <c r="C308" s="124" t="s">
        <v>3838</v>
      </c>
      <c r="D308" s="127">
        <v>40842.0</v>
      </c>
      <c r="E308" s="124" t="s">
        <v>98</v>
      </c>
      <c r="F308" s="124">
        <v>5.5564055554E11</v>
      </c>
      <c r="G308" s="124" t="s">
        <v>3839</v>
      </c>
      <c r="H308" s="124" t="s">
        <v>101</v>
      </c>
      <c r="I308" s="128"/>
      <c r="J308" s="124" t="s">
        <v>3840</v>
      </c>
      <c r="K308" s="124" t="s">
        <v>3841</v>
      </c>
      <c r="L308" s="124">
        <v>5.530060956E9</v>
      </c>
      <c r="M308" s="128"/>
      <c r="N308" s="128"/>
      <c r="O308" s="128"/>
      <c r="P308" s="129">
        <v>14.0</v>
      </c>
      <c r="Q308" s="130">
        <v>46040.86219907407</v>
      </c>
      <c r="R308" s="124" t="s">
        <v>107</v>
      </c>
      <c r="S308" s="124" t="s">
        <v>109</v>
      </c>
      <c r="T308" s="124" t="s">
        <v>208</v>
      </c>
      <c r="U308" s="124" t="s">
        <v>428</v>
      </c>
      <c r="V308" s="124" t="s">
        <v>429</v>
      </c>
      <c r="W308" s="124" t="s">
        <v>430</v>
      </c>
      <c r="X308" s="124" t="s">
        <v>120</v>
      </c>
      <c r="Y308" s="128"/>
      <c r="Z308" s="124" t="s">
        <v>120</v>
      </c>
      <c r="AA308" s="128"/>
      <c r="AB308" s="124" t="s">
        <v>120</v>
      </c>
      <c r="AC308" s="128"/>
      <c r="AD308" s="128"/>
      <c r="AE308" s="124" t="s">
        <v>120</v>
      </c>
      <c r="AF308" s="128"/>
      <c r="AG308" s="124" t="s">
        <v>120</v>
      </c>
      <c r="AH308" s="128"/>
      <c r="AI308" s="124" t="s">
        <v>120</v>
      </c>
      <c r="AJ308" s="128"/>
      <c r="AK308" s="128"/>
      <c r="AL308" s="124" t="s">
        <v>129</v>
      </c>
      <c r="AM308" s="124" t="s">
        <v>141</v>
      </c>
      <c r="AN308" s="124" t="s">
        <v>242</v>
      </c>
      <c r="AO308" s="124" t="s">
        <v>216</v>
      </c>
      <c r="AP308" s="124"/>
    </row>
    <row r="309">
      <c r="A309" s="124" t="s">
        <v>3842</v>
      </c>
      <c r="B309" s="124" t="s">
        <v>3843</v>
      </c>
      <c r="C309" s="124" t="s">
        <v>3844</v>
      </c>
      <c r="D309" s="127">
        <v>39698.0</v>
      </c>
      <c r="E309" s="124" t="s">
        <v>98</v>
      </c>
      <c r="F309" s="124">
        <v>5.532809133E9</v>
      </c>
      <c r="G309" s="124" t="s">
        <v>3845</v>
      </c>
      <c r="H309" s="124" t="s">
        <v>140</v>
      </c>
      <c r="I309" s="124" t="s">
        <v>3846</v>
      </c>
      <c r="J309" s="124" t="s">
        <v>3847</v>
      </c>
      <c r="K309" s="124" t="s">
        <v>3848</v>
      </c>
      <c r="L309" s="124">
        <v>5.520672915E9</v>
      </c>
      <c r="M309" s="128"/>
      <c r="N309" s="128"/>
      <c r="O309" s="128"/>
      <c r="P309" s="129">
        <v>17.0</v>
      </c>
      <c r="Q309" s="130">
        <v>46032.7231712963</v>
      </c>
      <c r="R309" s="124" t="s">
        <v>107</v>
      </c>
      <c r="S309" s="124" t="s">
        <v>109</v>
      </c>
      <c r="T309" s="124" t="s">
        <v>127</v>
      </c>
      <c r="U309" s="124" t="s">
        <v>766</v>
      </c>
      <c r="V309" s="124" t="s">
        <v>767</v>
      </c>
      <c r="W309" s="124" t="s">
        <v>768</v>
      </c>
      <c r="X309" s="124" t="s">
        <v>120</v>
      </c>
      <c r="Y309" s="128"/>
      <c r="Z309" s="124" t="s">
        <v>120</v>
      </c>
      <c r="AA309" s="128"/>
      <c r="AB309" s="124" t="s">
        <v>120</v>
      </c>
      <c r="AC309" s="128"/>
      <c r="AD309" s="128"/>
      <c r="AE309" s="124" t="s">
        <v>120</v>
      </c>
      <c r="AF309" s="128"/>
      <c r="AG309" s="124" t="s">
        <v>120</v>
      </c>
      <c r="AH309" s="128"/>
      <c r="AI309" s="124" t="s">
        <v>120</v>
      </c>
      <c r="AJ309" s="128"/>
      <c r="AK309" s="128"/>
      <c r="AL309" s="124" t="s">
        <v>216</v>
      </c>
      <c r="AM309" s="124" t="s">
        <v>126</v>
      </c>
      <c r="AN309" s="124" t="s">
        <v>185</v>
      </c>
      <c r="AO309" s="124" t="s">
        <v>242</v>
      </c>
      <c r="AP309" s="124"/>
    </row>
    <row r="310">
      <c r="A310" s="124" t="s">
        <v>3849</v>
      </c>
      <c r="B310" s="124" t="s">
        <v>3850</v>
      </c>
      <c r="C310" s="124" t="s">
        <v>3851</v>
      </c>
      <c r="D310" s="127">
        <v>41039.0</v>
      </c>
      <c r="E310" s="124" t="s">
        <v>98</v>
      </c>
      <c r="F310" s="124">
        <v>5.636802806E9</v>
      </c>
      <c r="G310" s="124" t="s">
        <v>3852</v>
      </c>
      <c r="H310" s="124" t="s">
        <v>140</v>
      </c>
      <c r="I310" s="128"/>
      <c r="J310" s="124" t="s">
        <v>3853</v>
      </c>
      <c r="K310" s="124" t="s">
        <v>3854</v>
      </c>
      <c r="L310" s="124">
        <v>5.527421809E9</v>
      </c>
      <c r="M310" s="124" t="s">
        <v>3855</v>
      </c>
      <c r="N310" s="124" t="s">
        <v>3856</v>
      </c>
      <c r="O310" s="124">
        <v>5.536088717E9</v>
      </c>
      <c r="P310" s="129">
        <v>13.0</v>
      </c>
      <c r="Q310" s="130">
        <v>46026.85931712963</v>
      </c>
      <c r="R310" s="124" t="s">
        <v>107</v>
      </c>
      <c r="S310" s="124" t="s">
        <v>109</v>
      </c>
      <c r="T310" s="124" t="s">
        <v>160</v>
      </c>
      <c r="U310" s="124" t="s">
        <v>279</v>
      </c>
      <c r="V310" s="124" t="s">
        <v>280</v>
      </c>
      <c r="W310" s="124" t="s">
        <v>282</v>
      </c>
      <c r="X310" s="124" t="s">
        <v>120</v>
      </c>
      <c r="Y310" s="128"/>
      <c r="Z310" s="124" t="s">
        <v>120</v>
      </c>
      <c r="AA310" s="128"/>
      <c r="AB310" s="124" t="s">
        <v>120</v>
      </c>
      <c r="AC310" s="128"/>
      <c r="AD310" s="128"/>
      <c r="AE310" s="124" t="s">
        <v>120</v>
      </c>
      <c r="AF310" s="128"/>
      <c r="AG310" s="124" t="s">
        <v>120</v>
      </c>
      <c r="AH310" s="128"/>
      <c r="AI310" s="124" t="s">
        <v>120</v>
      </c>
      <c r="AJ310" s="128"/>
      <c r="AK310" s="128"/>
      <c r="AL310" s="124" t="s">
        <v>138</v>
      </c>
      <c r="AM310" s="124" t="s">
        <v>156</v>
      </c>
      <c r="AN310" s="124" t="s">
        <v>129</v>
      </c>
      <c r="AO310" s="124" t="s">
        <v>128</v>
      </c>
      <c r="AP310" s="124"/>
    </row>
    <row r="311">
      <c r="A311" s="124" t="s">
        <v>3857</v>
      </c>
      <c r="B311" s="124" t="s">
        <v>3858</v>
      </c>
      <c r="C311" s="128"/>
      <c r="D311" s="127">
        <v>41210.0</v>
      </c>
      <c r="E311" s="124" t="s">
        <v>98</v>
      </c>
      <c r="F311" s="124">
        <v>5.527064934E9</v>
      </c>
      <c r="G311" s="124" t="s">
        <v>1600</v>
      </c>
      <c r="H311" s="124" t="s">
        <v>101</v>
      </c>
      <c r="I311" s="128"/>
      <c r="J311" s="124" t="s">
        <v>3859</v>
      </c>
      <c r="K311" s="124" t="s">
        <v>3860</v>
      </c>
      <c r="L311" s="124">
        <v>5.52321027E9</v>
      </c>
      <c r="M311" s="128"/>
      <c r="N311" s="128"/>
      <c r="O311" s="128"/>
      <c r="P311" s="129">
        <v>13.0</v>
      </c>
      <c r="Q311" s="130">
        <v>46039.891226851854</v>
      </c>
      <c r="R311" s="124" t="s">
        <v>107</v>
      </c>
      <c r="S311" s="124" t="s">
        <v>109</v>
      </c>
      <c r="T311" s="124" t="s">
        <v>208</v>
      </c>
      <c r="U311" s="124" t="s">
        <v>1599</v>
      </c>
      <c r="V311" s="124" t="s">
        <v>1600</v>
      </c>
      <c r="W311" s="124" t="s">
        <v>1602</v>
      </c>
      <c r="X311" s="124" t="s">
        <v>120</v>
      </c>
      <c r="Y311" s="128"/>
      <c r="Z311" s="124" t="s">
        <v>120</v>
      </c>
      <c r="AA311" s="128"/>
      <c r="AB311" s="124" t="s">
        <v>120</v>
      </c>
      <c r="AC311" s="124" t="s">
        <v>120</v>
      </c>
      <c r="AD311" s="128"/>
      <c r="AE311" s="124" t="s">
        <v>120</v>
      </c>
      <c r="AF311" s="128"/>
      <c r="AG311" s="124" t="s">
        <v>120</v>
      </c>
      <c r="AH311" s="128"/>
      <c r="AI311" s="124" t="s">
        <v>120</v>
      </c>
      <c r="AJ311" s="128"/>
      <c r="AK311" s="128"/>
      <c r="AL311" s="124" t="s">
        <v>129</v>
      </c>
      <c r="AM311" s="124" t="s">
        <v>126</v>
      </c>
      <c r="AN311" s="124" t="s">
        <v>126</v>
      </c>
      <c r="AO311" s="124" t="s">
        <v>216</v>
      </c>
      <c r="AP311" s="124"/>
    </row>
    <row r="312">
      <c r="A312" s="124" t="s">
        <v>1749</v>
      </c>
      <c r="B312" s="124" t="s">
        <v>1751</v>
      </c>
      <c r="C312" s="124" t="s">
        <v>1752</v>
      </c>
      <c r="D312" s="127">
        <v>39958.0</v>
      </c>
      <c r="E312" s="124" t="s">
        <v>98</v>
      </c>
      <c r="F312" s="124">
        <v>5.537331039E9</v>
      </c>
      <c r="G312" s="124" t="s">
        <v>1753</v>
      </c>
      <c r="H312" s="124" t="s">
        <v>101</v>
      </c>
      <c r="I312" s="124" t="s">
        <v>1325</v>
      </c>
      <c r="J312" s="124" t="s">
        <v>1755</v>
      </c>
      <c r="K312" s="124" t="s">
        <v>1756</v>
      </c>
      <c r="L312" s="124">
        <v>5.537331039E9</v>
      </c>
      <c r="M312" s="124" t="s">
        <v>1759</v>
      </c>
      <c r="N312" s="124" t="s">
        <v>1760</v>
      </c>
      <c r="O312" s="124">
        <v>5.554159611E9</v>
      </c>
      <c r="P312" s="129">
        <v>16.0</v>
      </c>
      <c r="Q312" s="130">
        <v>46044.63643518519</v>
      </c>
      <c r="R312" s="124" t="s">
        <v>107</v>
      </c>
      <c r="S312" s="124" t="s">
        <v>109</v>
      </c>
      <c r="T312" s="124" t="s">
        <v>171</v>
      </c>
      <c r="U312" s="124" t="s">
        <v>526</v>
      </c>
      <c r="V312" s="124" t="s">
        <v>527</v>
      </c>
      <c r="W312" s="124" t="s">
        <v>528</v>
      </c>
      <c r="X312" s="124" t="s">
        <v>120</v>
      </c>
      <c r="Y312" s="128"/>
      <c r="Z312" s="124" t="s">
        <v>120</v>
      </c>
      <c r="AA312" s="128"/>
      <c r="AB312" s="124" t="s">
        <v>117</v>
      </c>
      <c r="AC312" s="124" t="s">
        <v>117</v>
      </c>
      <c r="AD312" s="124" t="s">
        <v>1773</v>
      </c>
      <c r="AE312" s="124" t="s">
        <v>120</v>
      </c>
      <c r="AF312" s="128"/>
      <c r="AG312" s="124" t="s">
        <v>120</v>
      </c>
      <c r="AH312" s="128"/>
      <c r="AI312" s="124" t="s">
        <v>120</v>
      </c>
      <c r="AJ312" s="128"/>
      <c r="AK312" s="128"/>
      <c r="AL312" s="124" t="s">
        <v>138</v>
      </c>
      <c r="AM312" s="124" t="s">
        <v>129</v>
      </c>
      <c r="AN312" s="124" t="s">
        <v>141</v>
      </c>
      <c r="AO312" s="124" t="s">
        <v>185</v>
      </c>
      <c r="AP312" s="124"/>
    </row>
    <row r="313">
      <c r="A313" s="124" t="s">
        <v>1754</v>
      </c>
      <c r="B313" s="124" t="s">
        <v>3861</v>
      </c>
      <c r="C313" s="124" t="s">
        <v>65</v>
      </c>
      <c r="D313" s="127">
        <v>40374.0</v>
      </c>
      <c r="E313" s="124" t="s">
        <v>98</v>
      </c>
      <c r="F313" s="124">
        <v>5.527476157E9</v>
      </c>
      <c r="G313" s="124" t="s">
        <v>3862</v>
      </c>
      <c r="H313" s="124" t="s">
        <v>140</v>
      </c>
      <c r="I313" s="128"/>
      <c r="J313" s="124" t="s">
        <v>3863</v>
      </c>
      <c r="K313" s="124" t="s">
        <v>3864</v>
      </c>
      <c r="L313" s="124">
        <v>5.538381295E9</v>
      </c>
      <c r="M313" s="128"/>
      <c r="N313" s="128"/>
      <c r="O313" s="128"/>
      <c r="P313" s="129">
        <v>15.0</v>
      </c>
      <c r="Q313" s="130">
        <v>46033.507743055554</v>
      </c>
      <c r="R313" s="124" t="s">
        <v>107</v>
      </c>
      <c r="S313" s="124" t="s">
        <v>109</v>
      </c>
      <c r="T313" s="124" t="s">
        <v>171</v>
      </c>
      <c r="U313" s="124" t="s">
        <v>173</v>
      </c>
      <c r="V313" s="124" t="s">
        <v>167</v>
      </c>
      <c r="W313" s="124" t="s">
        <v>175</v>
      </c>
      <c r="X313" s="124" t="s">
        <v>120</v>
      </c>
      <c r="Y313" s="128"/>
      <c r="Z313" s="124" t="s">
        <v>120</v>
      </c>
      <c r="AA313" s="128"/>
      <c r="AB313" s="124" t="s">
        <v>120</v>
      </c>
      <c r="AC313" s="128"/>
      <c r="AD313" s="128"/>
      <c r="AE313" s="124" t="s">
        <v>120</v>
      </c>
      <c r="AF313" s="128"/>
      <c r="AG313" s="124" t="s">
        <v>120</v>
      </c>
      <c r="AH313" s="128"/>
      <c r="AI313" s="124" t="s">
        <v>120</v>
      </c>
      <c r="AJ313" s="128"/>
      <c r="AK313" s="128"/>
      <c r="AL313" s="124" t="s">
        <v>185</v>
      </c>
      <c r="AM313" s="124" t="s">
        <v>216</v>
      </c>
      <c r="AN313" s="124" t="s">
        <v>156</v>
      </c>
      <c r="AO313" s="124" t="s">
        <v>242</v>
      </c>
      <c r="AP313" s="124"/>
    </row>
    <row r="314">
      <c r="A314" s="124" t="s">
        <v>3247</v>
      </c>
      <c r="B314" s="124" t="s">
        <v>3865</v>
      </c>
      <c r="C314" s="124" t="s">
        <v>3866</v>
      </c>
      <c r="D314" s="127">
        <v>39838.0</v>
      </c>
      <c r="E314" s="124" t="s">
        <v>177</v>
      </c>
      <c r="F314" s="124">
        <v>5.518107195E9</v>
      </c>
      <c r="G314" s="124" t="s">
        <v>3867</v>
      </c>
      <c r="H314" s="124" t="s">
        <v>101</v>
      </c>
      <c r="I314" s="124" t="s">
        <v>1325</v>
      </c>
      <c r="J314" s="124" t="s">
        <v>3868</v>
      </c>
      <c r="K314" s="124" t="s">
        <v>3869</v>
      </c>
      <c r="L314" s="124">
        <v>5.579973753E9</v>
      </c>
      <c r="M314" s="128"/>
      <c r="N314" s="128"/>
      <c r="O314" s="128"/>
      <c r="P314" s="129">
        <v>17.0</v>
      </c>
      <c r="Q314" s="130">
        <v>46038.78423611111</v>
      </c>
      <c r="R314" s="124" t="s">
        <v>107</v>
      </c>
      <c r="S314" s="124" t="s">
        <v>109</v>
      </c>
      <c r="T314" s="124" t="s">
        <v>111</v>
      </c>
      <c r="U314" s="124" t="s">
        <v>112</v>
      </c>
      <c r="V314" s="124" t="s">
        <v>114</v>
      </c>
      <c r="W314" s="124" t="s">
        <v>115</v>
      </c>
      <c r="X314" s="124" t="s">
        <v>120</v>
      </c>
      <c r="Y314" s="128"/>
      <c r="Z314" s="124" t="s">
        <v>120</v>
      </c>
      <c r="AA314" s="128"/>
      <c r="AB314" s="124" t="s">
        <v>120</v>
      </c>
      <c r="AC314" s="128"/>
      <c r="AD314" s="128"/>
      <c r="AE314" s="124" t="s">
        <v>120</v>
      </c>
      <c r="AF314" s="128"/>
      <c r="AG314" s="124" t="s">
        <v>120</v>
      </c>
      <c r="AH314" s="128"/>
      <c r="AI314" s="124" t="s">
        <v>120</v>
      </c>
      <c r="AJ314" s="128"/>
      <c r="AK314" s="128"/>
      <c r="AL314" s="124" t="s">
        <v>242</v>
      </c>
      <c r="AM314" s="124" t="s">
        <v>126</v>
      </c>
      <c r="AN314" s="124" t="s">
        <v>124</v>
      </c>
      <c r="AO314" s="124" t="s">
        <v>216</v>
      </c>
      <c r="AP314" s="124"/>
    </row>
    <row r="315">
      <c r="A315" s="124" t="s">
        <v>187</v>
      </c>
      <c r="B315" s="124" t="s">
        <v>188</v>
      </c>
      <c r="C315" s="124" t="s">
        <v>191</v>
      </c>
      <c r="D315" s="127">
        <v>37857.0</v>
      </c>
      <c r="E315" s="124" t="s">
        <v>177</v>
      </c>
      <c r="F315" s="124">
        <v>5.524715623E9</v>
      </c>
      <c r="G315" s="124" t="s">
        <v>194</v>
      </c>
      <c r="H315" s="124" t="s">
        <v>140</v>
      </c>
      <c r="I315" s="124" t="s">
        <v>199</v>
      </c>
      <c r="J315" s="124" t="s">
        <v>202</v>
      </c>
      <c r="K315" s="124" t="s">
        <v>203</v>
      </c>
      <c r="L315" s="124">
        <v>5.584775869E9</v>
      </c>
      <c r="M315" s="128"/>
      <c r="N315" s="128"/>
      <c r="O315" s="128"/>
      <c r="P315" s="129">
        <v>22.0</v>
      </c>
      <c r="Q315" s="130">
        <v>46019.8031712963</v>
      </c>
      <c r="R315" s="124" t="s">
        <v>107</v>
      </c>
      <c r="S315" s="124" t="s">
        <v>125</v>
      </c>
      <c r="T315" s="124" t="s">
        <v>208</v>
      </c>
      <c r="U315" s="124" t="s">
        <v>209</v>
      </c>
      <c r="V315" s="124" t="s">
        <v>210</v>
      </c>
      <c r="W315" s="124" t="s">
        <v>211</v>
      </c>
      <c r="X315" s="124" t="s">
        <v>117</v>
      </c>
      <c r="Y315" s="124" t="s">
        <v>212</v>
      </c>
      <c r="Z315" s="124" t="s">
        <v>120</v>
      </c>
      <c r="AA315" s="128"/>
      <c r="AB315" s="124" t="s">
        <v>120</v>
      </c>
      <c r="AC315" s="124" t="s">
        <v>120</v>
      </c>
      <c r="AD315" s="128"/>
      <c r="AE315" s="124" t="s">
        <v>120</v>
      </c>
      <c r="AF315" s="128"/>
      <c r="AG315" s="124" t="s">
        <v>120</v>
      </c>
      <c r="AH315" s="128"/>
      <c r="AI315" s="124" t="s">
        <v>120</v>
      </c>
      <c r="AJ315" s="128"/>
      <c r="AK315" s="128"/>
      <c r="AL315" s="124" t="s">
        <v>126</v>
      </c>
      <c r="AM315" s="124" t="s">
        <v>216</v>
      </c>
      <c r="AN315" s="124" t="s">
        <v>156</v>
      </c>
      <c r="AO315" s="124" t="s">
        <v>129</v>
      </c>
      <c r="AP315" s="124"/>
    </row>
    <row r="316">
      <c r="A316" s="124" t="s">
        <v>3870</v>
      </c>
      <c r="B316" s="124" t="s">
        <v>3871</v>
      </c>
      <c r="C316" s="124" t="s">
        <v>3872</v>
      </c>
      <c r="D316" s="127">
        <v>39982.0</v>
      </c>
      <c r="E316" s="124" t="s">
        <v>177</v>
      </c>
      <c r="F316" s="124">
        <v>5.581737972E9</v>
      </c>
      <c r="G316" s="124" t="s">
        <v>3873</v>
      </c>
      <c r="H316" s="124" t="s">
        <v>150</v>
      </c>
      <c r="I316" s="128"/>
      <c r="J316" s="124" t="s">
        <v>3874</v>
      </c>
      <c r="K316" s="124" t="s">
        <v>3875</v>
      </c>
      <c r="L316" s="124">
        <v>5.587393366E9</v>
      </c>
      <c r="M316" s="124" t="s">
        <v>3876</v>
      </c>
      <c r="N316" s="124" t="s">
        <v>3877</v>
      </c>
      <c r="O316" s="124" t="s">
        <v>3878</v>
      </c>
      <c r="P316" s="129">
        <v>16.0</v>
      </c>
      <c r="Q316" s="130">
        <v>46039.84105324074</v>
      </c>
      <c r="R316" s="124" t="s">
        <v>107</v>
      </c>
      <c r="S316" s="124" t="s">
        <v>109</v>
      </c>
      <c r="T316" s="124" t="s">
        <v>160</v>
      </c>
      <c r="U316" s="124" t="s">
        <v>1265</v>
      </c>
      <c r="V316" s="124" t="s">
        <v>1267</v>
      </c>
      <c r="W316" s="124" t="s">
        <v>1268</v>
      </c>
      <c r="X316" s="124" t="s">
        <v>120</v>
      </c>
      <c r="Y316" s="128"/>
      <c r="Z316" s="124" t="s">
        <v>120</v>
      </c>
      <c r="AA316" s="128"/>
      <c r="AB316" s="124" t="s">
        <v>120</v>
      </c>
      <c r="AC316" s="128"/>
      <c r="AD316" s="128"/>
      <c r="AE316" s="124" t="s">
        <v>120</v>
      </c>
      <c r="AF316" s="128"/>
      <c r="AG316" s="124" t="s">
        <v>120</v>
      </c>
      <c r="AH316" s="128"/>
      <c r="AI316" s="124" t="s">
        <v>120</v>
      </c>
      <c r="AJ316" s="128"/>
      <c r="AK316" s="128"/>
      <c r="AL316" s="124" t="s">
        <v>126</v>
      </c>
      <c r="AM316" s="124" t="s">
        <v>242</v>
      </c>
      <c r="AN316" s="124" t="s">
        <v>185</v>
      </c>
      <c r="AO316" s="124" t="s">
        <v>128</v>
      </c>
      <c r="AP316" s="124"/>
    </row>
    <row r="317">
      <c r="A317" s="124" t="s">
        <v>1059</v>
      </c>
      <c r="B317" s="124" t="s">
        <v>1060</v>
      </c>
      <c r="C317" s="124" t="s">
        <v>1062</v>
      </c>
      <c r="D317" s="127">
        <v>39912.0</v>
      </c>
      <c r="E317" s="124" t="s">
        <v>98</v>
      </c>
      <c r="F317" s="124">
        <v>5.61482481E8</v>
      </c>
      <c r="G317" s="124" t="s">
        <v>1067</v>
      </c>
      <c r="H317" s="124" t="s">
        <v>150</v>
      </c>
      <c r="I317" s="124" t="s">
        <v>1069</v>
      </c>
      <c r="J317" s="124" t="s">
        <v>1071</v>
      </c>
      <c r="K317" s="124" t="s">
        <v>1073</v>
      </c>
      <c r="L317" s="124">
        <v>5.518772662E9</v>
      </c>
      <c r="M317" s="124" t="s">
        <v>1075</v>
      </c>
      <c r="N317" s="124" t="s">
        <v>1077</v>
      </c>
      <c r="O317" s="124">
        <v>5.626967095E9</v>
      </c>
      <c r="P317" s="129">
        <v>16.0</v>
      </c>
      <c r="Q317" s="130">
        <v>46038.86342592593</v>
      </c>
      <c r="R317" s="124" t="s">
        <v>107</v>
      </c>
      <c r="S317" s="124" t="s">
        <v>109</v>
      </c>
      <c r="T317" s="124" t="s">
        <v>171</v>
      </c>
      <c r="U317" s="124" t="s">
        <v>526</v>
      </c>
      <c r="V317" s="124" t="s">
        <v>527</v>
      </c>
      <c r="W317" s="124" t="s">
        <v>528</v>
      </c>
      <c r="X317" s="124" t="s">
        <v>120</v>
      </c>
      <c r="Y317" s="128"/>
      <c r="Z317" s="124" t="s">
        <v>117</v>
      </c>
      <c r="AA317" s="124" t="s">
        <v>1084</v>
      </c>
      <c r="AB317" s="124" t="s">
        <v>117</v>
      </c>
      <c r="AC317" s="124" t="s">
        <v>117</v>
      </c>
      <c r="AD317" s="124" t="s">
        <v>1086</v>
      </c>
      <c r="AE317" s="124" t="s">
        <v>117</v>
      </c>
      <c r="AF317" s="124" t="s">
        <v>366</v>
      </c>
      <c r="AG317" s="124" t="s">
        <v>120</v>
      </c>
      <c r="AH317" s="128"/>
      <c r="AI317" s="124" t="s">
        <v>120</v>
      </c>
      <c r="AJ317" s="128"/>
      <c r="AK317" s="128"/>
      <c r="AL317" s="124" t="s">
        <v>138</v>
      </c>
      <c r="AM317" s="124" t="s">
        <v>242</v>
      </c>
      <c r="AN317" s="124" t="s">
        <v>124</v>
      </c>
      <c r="AO317" s="124" t="s">
        <v>128</v>
      </c>
      <c r="AP317" s="124"/>
    </row>
    <row r="318">
      <c r="A318" s="124" t="s">
        <v>1812</v>
      </c>
      <c r="B318" s="124" t="s">
        <v>1813</v>
      </c>
      <c r="C318" s="128"/>
      <c r="D318" s="127">
        <v>39385.0</v>
      </c>
      <c r="E318" s="124" t="s">
        <v>177</v>
      </c>
      <c r="F318" s="124">
        <v>5.574620807E9</v>
      </c>
      <c r="G318" s="124" t="s">
        <v>1817</v>
      </c>
      <c r="H318" s="124" t="s">
        <v>140</v>
      </c>
      <c r="I318" s="124" t="s">
        <v>1820</v>
      </c>
      <c r="J318" s="124" t="s">
        <v>1821</v>
      </c>
      <c r="K318" s="124" t="s">
        <v>1822</v>
      </c>
      <c r="L318" s="124">
        <v>5.560936932E9</v>
      </c>
      <c r="M318" s="128"/>
      <c r="N318" s="128"/>
      <c r="O318" s="128"/>
      <c r="P318" s="129">
        <v>18.0</v>
      </c>
      <c r="Q318" s="130">
        <v>46047.594305555554</v>
      </c>
      <c r="R318" s="124" t="s">
        <v>260</v>
      </c>
      <c r="S318" s="124" t="s">
        <v>109</v>
      </c>
      <c r="T318" s="124" t="s">
        <v>192</v>
      </c>
      <c r="U318" s="124" t="s">
        <v>485</v>
      </c>
      <c r="V318" s="124" t="s">
        <v>486</v>
      </c>
      <c r="W318" s="124" t="s">
        <v>487</v>
      </c>
      <c r="X318" s="124" t="s">
        <v>120</v>
      </c>
      <c r="Y318" s="128"/>
      <c r="Z318" s="124" t="s">
        <v>120</v>
      </c>
      <c r="AA318" s="128"/>
      <c r="AB318" s="124" t="s">
        <v>120</v>
      </c>
      <c r="AC318" s="124" t="s">
        <v>120</v>
      </c>
      <c r="AD318" s="128"/>
      <c r="AE318" s="124" t="s">
        <v>120</v>
      </c>
      <c r="AF318" s="128"/>
      <c r="AG318" s="124" t="s">
        <v>120</v>
      </c>
      <c r="AH318" s="128"/>
      <c r="AI318" s="124" t="s">
        <v>120</v>
      </c>
      <c r="AJ318" s="128"/>
      <c r="AK318" s="128"/>
      <c r="AL318" s="124" t="s">
        <v>156</v>
      </c>
      <c r="AM318" s="124" t="s">
        <v>124</v>
      </c>
      <c r="AN318" s="124" t="s">
        <v>141</v>
      </c>
      <c r="AO318" s="124" t="s">
        <v>128</v>
      </c>
      <c r="AP318" s="124"/>
    </row>
    <row r="319">
      <c r="A319" s="124" t="s">
        <v>1126</v>
      </c>
      <c r="B319" s="124" t="s">
        <v>1127</v>
      </c>
      <c r="C319" s="124" t="s">
        <v>1128</v>
      </c>
      <c r="D319" s="127">
        <v>36255.0</v>
      </c>
      <c r="E319" s="124" t="s">
        <v>98</v>
      </c>
      <c r="F319" s="124">
        <v>5.528630414E9</v>
      </c>
      <c r="G319" s="124" t="s">
        <v>1130</v>
      </c>
      <c r="H319" s="124" t="s">
        <v>101</v>
      </c>
      <c r="I319" s="128"/>
      <c r="J319" s="124" t="s">
        <v>1133</v>
      </c>
      <c r="K319" s="124" t="s">
        <v>1134</v>
      </c>
      <c r="L319" s="124">
        <v>5.510137038E9</v>
      </c>
      <c r="M319" s="124" t="s">
        <v>1135</v>
      </c>
      <c r="N319" s="124" t="s">
        <v>1136</v>
      </c>
      <c r="O319" s="124">
        <v>5.558470536E9</v>
      </c>
      <c r="P319" s="129">
        <v>26.0</v>
      </c>
      <c r="Q319" s="130">
        <v>46020.645578703705</v>
      </c>
      <c r="R319" s="124" t="s">
        <v>107</v>
      </c>
      <c r="S319" s="124" t="s">
        <v>125</v>
      </c>
      <c r="T319" s="124" t="s">
        <v>171</v>
      </c>
      <c r="U319" s="124" t="s">
        <v>173</v>
      </c>
      <c r="V319" s="124" t="s">
        <v>167</v>
      </c>
      <c r="W319" s="124" t="s">
        <v>175</v>
      </c>
      <c r="X319" s="124" t="s">
        <v>120</v>
      </c>
      <c r="Y319" s="128"/>
      <c r="Z319" s="124" t="s">
        <v>117</v>
      </c>
      <c r="AA319" s="124" t="s">
        <v>1132</v>
      </c>
      <c r="AB319" s="124" t="s">
        <v>120</v>
      </c>
      <c r="AC319" s="128"/>
      <c r="AD319" s="128"/>
      <c r="AE319" s="124" t="s">
        <v>120</v>
      </c>
      <c r="AF319" s="128"/>
      <c r="AG319" s="124" t="s">
        <v>120</v>
      </c>
      <c r="AH319" s="128"/>
      <c r="AI319" s="124" t="s">
        <v>120</v>
      </c>
      <c r="AJ319" s="128"/>
      <c r="AK319" s="124" t="s">
        <v>1145</v>
      </c>
      <c r="AL319" s="124" t="s">
        <v>129</v>
      </c>
      <c r="AM319" s="124" t="s">
        <v>124</v>
      </c>
      <c r="AN319" s="124" t="s">
        <v>128</v>
      </c>
      <c r="AO319" s="124" t="s">
        <v>156</v>
      </c>
      <c r="AP319" s="124"/>
    </row>
    <row r="320">
      <c r="A320" s="124" t="s">
        <v>587</v>
      </c>
      <c r="B320" s="124" t="s">
        <v>588</v>
      </c>
      <c r="C320" s="124" t="s">
        <v>589</v>
      </c>
      <c r="D320" s="127">
        <v>39998.0</v>
      </c>
      <c r="E320" s="124" t="s">
        <v>177</v>
      </c>
      <c r="F320" s="124">
        <v>5.63021305E9</v>
      </c>
      <c r="G320" s="124" t="s">
        <v>593</v>
      </c>
      <c r="H320" s="124" t="s">
        <v>101</v>
      </c>
      <c r="I320" s="124" t="s">
        <v>594</v>
      </c>
      <c r="J320" s="124" t="s">
        <v>595</v>
      </c>
      <c r="K320" s="124" t="s">
        <v>596</v>
      </c>
      <c r="L320" s="124">
        <v>5.585627079E9</v>
      </c>
      <c r="M320" s="124" t="s">
        <v>597</v>
      </c>
      <c r="N320" s="124" t="s">
        <v>598</v>
      </c>
      <c r="O320" s="124">
        <v>5.549439265E9</v>
      </c>
      <c r="P320" s="129">
        <v>16.0</v>
      </c>
      <c r="Q320" s="130">
        <v>46026.55636574074</v>
      </c>
      <c r="R320" s="124" t="s">
        <v>107</v>
      </c>
      <c r="S320" s="124" t="s">
        <v>109</v>
      </c>
      <c r="T320" s="124" t="s">
        <v>208</v>
      </c>
      <c r="U320" s="124" t="s">
        <v>601</v>
      </c>
      <c r="V320" s="124" t="s">
        <v>602</v>
      </c>
      <c r="W320" s="124" t="s">
        <v>603</v>
      </c>
      <c r="X320" s="124" t="s">
        <v>117</v>
      </c>
      <c r="Y320" s="124" t="s">
        <v>604</v>
      </c>
      <c r="Z320" s="124" t="s">
        <v>120</v>
      </c>
      <c r="AA320" s="128"/>
      <c r="AB320" s="124" t="s">
        <v>120</v>
      </c>
      <c r="AC320" s="124" t="s">
        <v>120</v>
      </c>
      <c r="AD320" s="128"/>
      <c r="AE320" s="124" t="s">
        <v>120</v>
      </c>
      <c r="AF320" s="128"/>
      <c r="AG320" s="124" t="s">
        <v>120</v>
      </c>
      <c r="AH320" s="128"/>
      <c r="AI320" s="124" t="s">
        <v>120</v>
      </c>
      <c r="AJ320" s="128"/>
      <c r="AK320" s="128"/>
      <c r="AL320" s="124" t="s">
        <v>185</v>
      </c>
      <c r="AM320" s="124" t="s">
        <v>240</v>
      </c>
      <c r="AN320" s="124" t="s">
        <v>242</v>
      </c>
      <c r="AO320" s="124" t="s">
        <v>156</v>
      </c>
      <c r="AP320" s="124"/>
    </row>
    <row r="321">
      <c r="A321" s="124" t="s">
        <v>3879</v>
      </c>
      <c r="B321" s="124" t="s">
        <v>3880</v>
      </c>
      <c r="C321" s="124" t="s">
        <v>3881</v>
      </c>
      <c r="D321" s="127">
        <v>40148.0</v>
      </c>
      <c r="E321" s="124" t="s">
        <v>177</v>
      </c>
      <c r="F321" s="124">
        <v>5.652545784E9</v>
      </c>
      <c r="G321" s="124" t="s">
        <v>3882</v>
      </c>
      <c r="H321" s="124" t="s">
        <v>150</v>
      </c>
      <c r="I321" s="128"/>
      <c r="J321" s="124" t="s">
        <v>3883</v>
      </c>
      <c r="K321" s="124" t="s">
        <v>3884</v>
      </c>
      <c r="L321" s="124">
        <v>5.529953024E9</v>
      </c>
      <c r="M321" s="128"/>
      <c r="N321" s="128"/>
      <c r="O321" s="128"/>
      <c r="P321" s="129">
        <v>16.0</v>
      </c>
      <c r="Q321" s="130">
        <v>46031.68806712963</v>
      </c>
      <c r="R321" s="124" t="s">
        <v>107</v>
      </c>
      <c r="S321" s="124" t="s">
        <v>109</v>
      </c>
      <c r="T321" s="124" t="s">
        <v>127</v>
      </c>
      <c r="U321" s="124" t="s">
        <v>531</v>
      </c>
      <c r="V321" s="124" t="s">
        <v>532</v>
      </c>
      <c r="W321" s="124" t="s">
        <v>534</v>
      </c>
      <c r="X321" s="124" t="s">
        <v>120</v>
      </c>
      <c r="Y321" s="128"/>
      <c r="Z321" s="124" t="s">
        <v>120</v>
      </c>
      <c r="AA321" s="128"/>
      <c r="AB321" s="124" t="s">
        <v>120</v>
      </c>
      <c r="AC321" s="124" t="s">
        <v>120</v>
      </c>
      <c r="AD321" s="128"/>
      <c r="AE321" s="124" t="s">
        <v>120</v>
      </c>
      <c r="AF321" s="128"/>
      <c r="AG321" s="124" t="s">
        <v>120</v>
      </c>
      <c r="AH321" s="128"/>
      <c r="AI321" s="124" t="s">
        <v>120</v>
      </c>
      <c r="AJ321" s="128"/>
      <c r="AK321" s="128"/>
      <c r="AL321" s="124" t="s">
        <v>138</v>
      </c>
      <c r="AM321" s="124" t="s">
        <v>185</v>
      </c>
      <c r="AN321" s="124" t="s">
        <v>128</v>
      </c>
      <c r="AO321" s="124" t="s">
        <v>242</v>
      </c>
      <c r="AP321" s="124"/>
    </row>
    <row r="322">
      <c r="A322" s="124" t="s">
        <v>3885</v>
      </c>
      <c r="B322" s="124" t="s">
        <v>3886</v>
      </c>
      <c r="C322" s="124" t="s">
        <v>3887</v>
      </c>
      <c r="D322" s="127">
        <v>37261.0</v>
      </c>
      <c r="E322" s="124" t="s">
        <v>98</v>
      </c>
      <c r="F322" s="124">
        <v>4.775576495E9</v>
      </c>
      <c r="G322" s="124" t="s">
        <v>3888</v>
      </c>
      <c r="H322" s="124" t="s">
        <v>382</v>
      </c>
      <c r="I322" s="124" t="s">
        <v>135</v>
      </c>
      <c r="J322" s="124" t="s">
        <v>3889</v>
      </c>
      <c r="K322" s="124" t="s">
        <v>3890</v>
      </c>
      <c r="L322" s="124">
        <v>4.773526679E9</v>
      </c>
      <c r="M322" s="128"/>
      <c r="N322" s="128"/>
      <c r="O322" s="128"/>
      <c r="P322" s="129">
        <v>24.0</v>
      </c>
      <c r="Q322" s="130">
        <v>46029.321226851855</v>
      </c>
      <c r="R322" s="124" t="s">
        <v>107</v>
      </c>
      <c r="S322" s="124" t="s">
        <v>125</v>
      </c>
      <c r="T322" s="124" t="s">
        <v>111</v>
      </c>
      <c r="U322" s="124" t="s">
        <v>398</v>
      </c>
      <c r="V322" s="124" t="s">
        <v>399</v>
      </c>
      <c r="W322" s="124" t="s">
        <v>400</v>
      </c>
      <c r="X322" s="124" t="s">
        <v>120</v>
      </c>
      <c r="Y322" s="128"/>
      <c r="Z322" s="124" t="s">
        <v>120</v>
      </c>
      <c r="AA322" s="128"/>
      <c r="AB322" s="124" t="s">
        <v>120</v>
      </c>
      <c r="AC322" s="124" t="s">
        <v>120</v>
      </c>
      <c r="AD322" s="128"/>
      <c r="AE322" s="124" t="s">
        <v>120</v>
      </c>
      <c r="AF322" s="128"/>
      <c r="AG322" s="124" t="s">
        <v>120</v>
      </c>
      <c r="AH322" s="128"/>
      <c r="AI322" s="124" t="s">
        <v>120</v>
      </c>
      <c r="AJ322" s="128"/>
      <c r="AK322" s="128"/>
      <c r="AL322" s="124" t="s">
        <v>138</v>
      </c>
      <c r="AM322" s="124" t="s">
        <v>185</v>
      </c>
      <c r="AN322" s="124" t="s">
        <v>128</v>
      </c>
      <c r="AO322" s="124" t="s">
        <v>216</v>
      </c>
      <c r="AP322" s="124"/>
    </row>
    <row r="323">
      <c r="A323" s="124" t="s">
        <v>1606</v>
      </c>
      <c r="B323" s="124" t="s">
        <v>1607</v>
      </c>
      <c r="C323" s="128"/>
      <c r="D323" s="127">
        <v>40159.0</v>
      </c>
      <c r="E323" s="124" t="s">
        <v>177</v>
      </c>
      <c r="F323" s="124">
        <v>5.588061619E9</v>
      </c>
      <c r="G323" s="124" t="s">
        <v>1613</v>
      </c>
      <c r="H323" s="124" t="s">
        <v>140</v>
      </c>
      <c r="I323" s="128"/>
      <c r="J323" s="124" t="s">
        <v>1616</v>
      </c>
      <c r="K323" s="124" t="s">
        <v>1613</v>
      </c>
      <c r="L323" s="124">
        <v>5.588061619E9</v>
      </c>
      <c r="M323" s="128"/>
      <c r="N323" s="128"/>
      <c r="O323" s="128"/>
      <c r="P323" s="129">
        <v>16.0</v>
      </c>
      <c r="Q323" s="130">
        <v>46040.59087962963</v>
      </c>
      <c r="R323" s="124" t="s">
        <v>107</v>
      </c>
      <c r="S323" s="124" t="s">
        <v>109</v>
      </c>
      <c r="T323" s="124" t="s">
        <v>192</v>
      </c>
      <c r="U323" s="124" t="s">
        <v>485</v>
      </c>
      <c r="V323" s="124" t="s">
        <v>486</v>
      </c>
      <c r="W323" s="124" t="s">
        <v>487</v>
      </c>
      <c r="X323" s="124" t="s">
        <v>120</v>
      </c>
      <c r="Y323" s="128"/>
      <c r="Z323" s="124" t="s">
        <v>117</v>
      </c>
      <c r="AA323" s="124" t="s">
        <v>3891</v>
      </c>
      <c r="AB323" s="124" t="s">
        <v>117</v>
      </c>
      <c r="AC323" s="124" t="s">
        <v>117</v>
      </c>
      <c r="AD323" s="124" t="s">
        <v>1634</v>
      </c>
      <c r="AE323" s="124" t="s">
        <v>117</v>
      </c>
      <c r="AF323" s="124" t="s">
        <v>843</v>
      </c>
      <c r="AG323" s="124" t="s">
        <v>120</v>
      </c>
      <c r="AH323" s="128"/>
      <c r="AI323" s="124" t="s">
        <v>117</v>
      </c>
      <c r="AJ323" s="124" t="s">
        <v>178</v>
      </c>
      <c r="AK323" s="124" t="s">
        <v>1638</v>
      </c>
      <c r="AL323" s="124" t="s">
        <v>129</v>
      </c>
      <c r="AM323" s="124" t="s">
        <v>156</v>
      </c>
      <c r="AN323" s="124" t="s">
        <v>216</v>
      </c>
      <c r="AO323" s="124" t="s">
        <v>185</v>
      </c>
      <c r="AP323" s="124"/>
    </row>
    <row r="324">
      <c r="A324" s="124" t="s">
        <v>796</v>
      </c>
      <c r="B324" s="124" t="s">
        <v>798</v>
      </c>
      <c r="C324" s="124" t="s">
        <v>799</v>
      </c>
      <c r="D324" s="127">
        <v>40287.0</v>
      </c>
      <c r="E324" s="124" t="s">
        <v>98</v>
      </c>
      <c r="F324" s="128">
        <f>+525572335626</f>
        <v>525572335626</v>
      </c>
      <c r="G324" s="124" t="s">
        <v>802</v>
      </c>
      <c r="H324" s="124" t="s">
        <v>101</v>
      </c>
      <c r="I324" s="128"/>
      <c r="J324" s="124" t="s">
        <v>803</v>
      </c>
      <c r="K324" s="124" t="s">
        <v>804</v>
      </c>
      <c r="L324" s="124">
        <v>5.568062583E9</v>
      </c>
      <c r="M324" s="128"/>
      <c r="N324" s="128"/>
      <c r="O324" s="128"/>
      <c r="P324" s="129">
        <v>15.0</v>
      </c>
      <c r="Q324" s="130">
        <v>46034.365648148145</v>
      </c>
      <c r="R324" s="124" t="s">
        <v>107</v>
      </c>
      <c r="S324" s="124" t="s">
        <v>109</v>
      </c>
      <c r="T324" s="124" t="s">
        <v>111</v>
      </c>
      <c r="U324" s="124" t="s">
        <v>112</v>
      </c>
      <c r="V324" s="124" t="s">
        <v>114</v>
      </c>
      <c r="W324" s="124" t="s">
        <v>115</v>
      </c>
      <c r="X324" s="124" t="s">
        <v>117</v>
      </c>
      <c r="Y324" s="124" t="s">
        <v>808</v>
      </c>
      <c r="Z324" s="124" t="s">
        <v>117</v>
      </c>
      <c r="AA324" s="124" t="s">
        <v>808</v>
      </c>
      <c r="AB324" s="124" t="s">
        <v>117</v>
      </c>
      <c r="AC324" s="124" t="s">
        <v>117</v>
      </c>
      <c r="AD324" s="124" t="s">
        <v>808</v>
      </c>
      <c r="AE324" s="124" t="s">
        <v>117</v>
      </c>
      <c r="AF324" s="124" t="s">
        <v>808</v>
      </c>
      <c r="AG324" s="124" t="s">
        <v>117</v>
      </c>
      <c r="AH324" s="124" t="s">
        <v>808</v>
      </c>
      <c r="AI324" s="124" t="s">
        <v>117</v>
      </c>
      <c r="AJ324" s="124" t="s">
        <v>808</v>
      </c>
      <c r="AK324" s="124" t="s">
        <v>808</v>
      </c>
      <c r="AL324" s="124" t="s">
        <v>138</v>
      </c>
      <c r="AM324" s="124" t="s">
        <v>141</v>
      </c>
      <c r="AN324" s="124" t="s">
        <v>156</v>
      </c>
      <c r="AO324" s="124" t="s">
        <v>124</v>
      </c>
      <c r="AP324" s="124"/>
    </row>
    <row r="325">
      <c r="A325" s="124" t="s">
        <v>3892</v>
      </c>
      <c r="B325" s="124" t="s">
        <v>1446</v>
      </c>
      <c r="C325" s="124" t="s">
        <v>3893</v>
      </c>
      <c r="D325" s="127">
        <v>39620.0</v>
      </c>
      <c r="E325" s="124" t="s">
        <v>98</v>
      </c>
      <c r="F325" s="124">
        <v>5.531932977E9</v>
      </c>
      <c r="G325" s="124" t="s">
        <v>3894</v>
      </c>
      <c r="H325" s="124" t="s">
        <v>101</v>
      </c>
      <c r="I325" s="128"/>
      <c r="J325" s="124" t="s">
        <v>3895</v>
      </c>
      <c r="K325" s="124" t="s">
        <v>1466</v>
      </c>
      <c r="L325" s="124">
        <v>5.512919582E9</v>
      </c>
      <c r="M325" s="124" t="s">
        <v>1460</v>
      </c>
      <c r="N325" s="124" t="s">
        <v>1457</v>
      </c>
      <c r="O325" s="124">
        <v>5.534837235E9</v>
      </c>
      <c r="P325" s="129">
        <v>17.0</v>
      </c>
      <c r="Q325" s="130">
        <v>46019.90435185185</v>
      </c>
      <c r="R325" s="124" t="s">
        <v>107</v>
      </c>
      <c r="S325" s="124" t="s">
        <v>109</v>
      </c>
      <c r="T325" s="124" t="s">
        <v>171</v>
      </c>
      <c r="U325" s="124" t="s">
        <v>1474</v>
      </c>
      <c r="V325" s="124" t="s">
        <v>1475</v>
      </c>
      <c r="W325" s="124" t="s">
        <v>1476</v>
      </c>
      <c r="X325" s="124" t="s">
        <v>120</v>
      </c>
      <c r="Y325" s="128"/>
      <c r="Z325" s="124" t="s">
        <v>117</v>
      </c>
      <c r="AA325" s="124" t="s">
        <v>3896</v>
      </c>
      <c r="AB325" s="124" t="s">
        <v>120</v>
      </c>
      <c r="AC325" s="128"/>
      <c r="AD325" s="128"/>
      <c r="AE325" s="124" t="s">
        <v>120</v>
      </c>
      <c r="AF325" s="128"/>
      <c r="AG325" s="124" t="s">
        <v>120</v>
      </c>
      <c r="AH325" s="128"/>
      <c r="AI325" s="124" t="s">
        <v>120</v>
      </c>
      <c r="AJ325" s="128"/>
      <c r="AK325" s="128"/>
      <c r="AL325" s="124" t="s">
        <v>242</v>
      </c>
      <c r="AM325" s="124" t="s">
        <v>185</v>
      </c>
      <c r="AN325" s="124" t="s">
        <v>124</v>
      </c>
      <c r="AO325" s="124" t="s">
        <v>138</v>
      </c>
      <c r="AP325" s="124"/>
    </row>
    <row r="326">
      <c r="A326" s="124" t="s">
        <v>3897</v>
      </c>
      <c r="B326" s="124" t="s">
        <v>3898</v>
      </c>
      <c r="C326" s="124" t="s">
        <v>88</v>
      </c>
      <c r="D326" s="127">
        <v>39648.0</v>
      </c>
      <c r="E326" s="124" t="s">
        <v>98</v>
      </c>
      <c r="F326" s="124">
        <v>5.540414293E9</v>
      </c>
      <c r="G326" s="124" t="s">
        <v>3899</v>
      </c>
      <c r="H326" s="124" t="s">
        <v>140</v>
      </c>
      <c r="I326" s="124" t="s">
        <v>3900</v>
      </c>
      <c r="J326" s="124" t="s">
        <v>3901</v>
      </c>
      <c r="K326" s="124" t="s">
        <v>3902</v>
      </c>
      <c r="L326" s="124">
        <v>5.564693643E9</v>
      </c>
      <c r="M326" s="124" t="s">
        <v>3903</v>
      </c>
      <c r="N326" s="124" t="s">
        <v>3904</v>
      </c>
      <c r="O326" s="124">
        <v>5.510084953E9</v>
      </c>
      <c r="P326" s="129">
        <v>17.0</v>
      </c>
      <c r="Q326" s="130">
        <v>46026.506886574076</v>
      </c>
      <c r="R326" s="124" t="s">
        <v>260</v>
      </c>
      <c r="S326" s="124" t="s">
        <v>109</v>
      </c>
      <c r="T326" s="124" t="s">
        <v>160</v>
      </c>
      <c r="U326" s="124" t="s">
        <v>1265</v>
      </c>
      <c r="V326" s="124" t="s">
        <v>1267</v>
      </c>
      <c r="W326" s="124" t="s">
        <v>1268</v>
      </c>
      <c r="X326" s="124" t="s">
        <v>120</v>
      </c>
      <c r="Y326" s="128"/>
      <c r="Z326" s="124" t="s">
        <v>120</v>
      </c>
      <c r="AA326" s="128"/>
      <c r="AB326" s="124" t="s">
        <v>120</v>
      </c>
      <c r="AC326" s="128"/>
      <c r="AD326" s="128"/>
      <c r="AE326" s="124" t="s">
        <v>120</v>
      </c>
      <c r="AF326" s="128"/>
      <c r="AG326" s="124" t="s">
        <v>120</v>
      </c>
      <c r="AH326" s="128"/>
      <c r="AI326" s="124" t="s">
        <v>120</v>
      </c>
      <c r="AJ326" s="128"/>
      <c r="AK326" s="128"/>
      <c r="AL326" s="124" t="s">
        <v>185</v>
      </c>
      <c r="AM326" s="124" t="s">
        <v>242</v>
      </c>
      <c r="AN326" s="124" t="s">
        <v>124</v>
      </c>
      <c r="AO326" s="124" t="s">
        <v>126</v>
      </c>
      <c r="AP326" s="124"/>
    </row>
    <row r="327">
      <c r="A327" s="124" t="s">
        <v>2473</v>
      </c>
      <c r="B327" s="124" t="s">
        <v>2474</v>
      </c>
      <c r="C327" s="124" t="s">
        <v>2475</v>
      </c>
      <c r="D327" s="127">
        <v>40324.0</v>
      </c>
      <c r="E327" s="124" t="s">
        <v>177</v>
      </c>
      <c r="F327" s="124">
        <v>5.651488548E9</v>
      </c>
      <c r="G327" s="124" t="s">
        <v>2476</v>
      </c>
      <c r="H327" s="124" t="s">
        <v>101</v>
      </c>
      <c r="I327" s="128"/>
      <c r="J327" s="124" t="s">
        <v>2477</v>
      </c>
      <c r="K327" s="124" t="s">
        <v>2478</v>
      </c>
      <c r="L327" s="124">
        <v>5.552487339E9</v>
      </c>
      <c r="M327" s="128"/>
      <c r="N327" s="128"/>
      <c r="O327" s="128"/>
      <c r="P327" s="129">
        <v>15.0</v>
      </c>
      <c r="Q327" s="130">
        <v>46034.87805555556</v>
      </c>
      <c r="R327" s="124" t="s">
        <v>107</v>
      </c>
      <c r="S327" s="124" t="s">
        <v>109</v>
      </c>
      <c r="T327" s="124" t="s">
        <v>160</v>
      </c>
      <c r="U327" s="124" t="s">
        <v>329</v>
      </c>
      <c r="V327" s="124" t="s">
        <v>331</v>
      </c>
      <c r="W327" s="124" t="s">
        <v>332</v>
      </c>
      <c r="X327" s="124" t="s">
        <v>120</v>
      </c>
      <c r="Y327" s="128"/>
      <c r="Z327" s="124" t="s">
        <v>117</v>
      </c>
      <c r="AA327" s="124" t="s">
        <v>2483</v>
      </c>
      <c r="AB327" s="124" t="s">
        <v>120</v>
      </c>
      <c r="AC327" s="124" t="s">
        <v>120</v>
      </c>
      <c r="AD327" s="128"/>
      <c r="AE327" s="124" t="s">
        <v>117</v>
      </c>
      <c r="AF327" s="124" t="s">
        <v>2488</v>
      </c>
      <c r="AG327" s="124" t="s">
        <v>120</v>
      </c>
      <c r="AH327" s="128"/>
      <c r="AI327" s="124" t="s">
        <v>120</v>
      </c>
      <c r="AJ327" s="128"/>
      <c r="AK327" s="128"/>
      <c r="AL327" s="124" t="s">
        <v>128</v>
      </c>
      <c r="AM327" s="124" t="s">
        <v>126</v>
      </c>
      <c r="AN327" s="124" t="s">
        <v>185</v>
      </c>
      <c r="AO327" s="124" t="s">
        <v>124</v>
      </c>
      <c r="AP327" s="124"/>
    </row>
    <row r="328">
      <c r="A328" s="124" t="s">
        <v>3905</v>
      </c>
      <c r="B328" s="124" t="s">
        <v>1330</v>
      </c>
      <c r="C328" s="124" t="s">
        <v>3906</v>
      </c>
      <c r="D328" s="127">
        <v>41159.0</v>
      </c>
      <c r="E328" s="124" t="s">
        <v>177</v>
      </c>
      <c r="F328" s="124">
        <v>5.575465161E9</v>
      </c>
      <c r="G328" s="124" t="s">
        <v>3907</v>
      </c>
      <c r="H328" s="124" t="s">
        <v>101</v>
      </c>
      <c r="I328" s="128"/>
      <c r="J328" s="124" t="s">
        <v>3557</v>
      </c>
      <c r="K328" s="124" t="s">
        <v>3558</v>
      </c>
      <c r="L328" s="124">
        <v>5.549072661E9</v>
      </c>
      <c r="M328" s="128"/>
      <c r="N328" s="128"/>
      <c r="O328" s="128"/>
      <c r="P328" s="129">
        <v>13.0</v>
      </c>
      <c r="Q328" s="130">
        <v>46033.42209490741</v>
      </c>
      <c r="R328" s="124" t="s">
        <v>107</v>
      </c>
      <c r="S328" s="124" t="s">
        <v>109</v>
      </c>
      <c r="T328" s="124" t="s">
        <v>160</v>
      </c>
      <c r="U328" s="124" t="s">
        <v>279</v>
      </c>
      <c r="V328" s="124" t="s">
        <v>280</v>
      </c>
      <c r="W328" s="124" t="s">
        <v>282</v>
      </c>
      <c r="X328" s="124" t="s">
        <v>120</v>
      </c>
      <c r="Y328" s="128"/>
      <c r="Z328" s="124" t="s">
        <v>120</v>
      </c>
      <c r="AA328" s="128"/>
      <c r="AB328" s="124" t="s">
        <v>120</v>
      </c>
      <c r="AC328" s="128"/>
      <c r="AD328" s="128"/>
      <c r="AE328" s="124" t="s">
        <v>120</v>
      </c>
      <c r="AF328" s="128"/>
      <c r="AG328" s="124" t="s">
        <v>120</v>
      </c>
      <c r="AH328" s="128"/>
      <c r="AI328" s="124" t="s">
        <v>120</v>
      </c>
      <c r="AJ328" s="128"/>
      <c r="AK328" s="128"/>
      <c r="AL328" s="124" t="s">
        <v>141</v>
      </c>
      <c r="AM328" s="124" t="s">
        <v>124</v>
      </c>
      <c r="AN328" s="124" t="s">
        <v>138</v>
      </c>
      <c r="AO328" s="124" t="s">
        <v>128</v>
      </c>
      <c r="AP328" s="124"/>
    </row>
    <row r="329">
      <c r="A329" s="124" t="s">
        <v>815</v>
      </c>
      <c r="B329" s="124" t="s">
        <v>816</v>
      </c>
      <c r="C329" s="124" t="s">
        <v>817</v>
      </c>
      <c r="D329" s="127">
        <v>39582.0</v>
      </c>
      <c r="E329" s="124" t="s">
        <v>177</v>
      </c>
      <c r="F329" s="124">
        <v>5.516520403E9</v>
      </c>
      <c r="G329" s="124" t="s">
        <v>818</v>
      </c>
      <c r="H329" s="124" t="s">
        <v>110</v>
      </c>
      <c r="I329" s="124" t="s">
        <v>820</v>
      </c>
      <c r="J329" s="124" t="s">
        <v>822</v>
      </c>
      <c r="K329" s="124" t="s">
        <v>824</v>
      </c>
      <c r="L329" s="124">
        <v>5.621400748E9</v>
      </c>
      <c r="M329" s="128"/>
      <c r="N329" s="128"/>
      <c r="O329" s="128"/>
      <c r="P329" s="129">
        <v>17.0</v>
      </c>
      <c r="Q329" s="130">
        <v>46020.814722222225</v>
      </c>
      <c r="R329" s="124" t="s">
        <v>107</v>
      </c>
      <c r="S329" s="124" t="s">
        <v>109</v>
      </c>
      <c r="T329" s="124" t="s">
        <v>204</v>
      </c>
      <c r="U329" s="124" t="s">
        <v>311</v>
      </c>
      <c r="V329" s="124" t="s">
        <v>312</v>
      </c>
      <c r="W329" s="124" t="s">
        <v>313</v>
      </c>
      <c r="X329" s="124" t="s">
        <v>117</v>
      </c>
      <c r="Y329" s="124" t="s">
        <v>808</v>
      </c>
      <c r="Z329" s="124" t="s">
        <v>117</v>
      </c>
      <c r="AA329" s="124" t="s">
        <v>808</v>
      </c>
      <c r="AB329" s="124" t="s">
        <v>117</v>
      </c>
      <c r="AC329" s="124" t="s">
        <v>117</v>
      </c>
      <c r="AD329" s="124" t="s">
        <v>808</v>
      </c>
      <c r="AE329" s="124" t="s">
        <v>117</v>
      </c>
      <c r="AF329" s="124" t="s">
        <v>808</v>
      </c>
      <c r="AG329" s="124" t="s">
        <v>117</v>
      </c>
      <c r="AH329" s="124" t="s">
        <v>808</v>
      </c>
      <c r="AI329" s="124" t="s">
        <v>117</v>
      </c>
      <c r="AJ329" s="124" t="s">
        <v>808</v>
      </c>
      <c r="AK329" s="124" t="s">
        <v>808</v>
      </c>
      <c r="AL329" s="124" t="s">
        <v>138</v>
      </c>
      <c r="AM329" s="124" t="s">
        <v>141</v>
      </c>
      <c r="AN329" s="124" t="s">
        <v>242</v>
      </c>
      <c r="AO329" s="124" t="s">
        <v>216</v>
      </c>
      <c r="AP329" s="124"/>
    </row>
    <row r="330">
      <c r="A330" s="124" t="s">
        <v>967</v>
      </c>
      <c r="B330" s="124" t="s">
        <v>968</v>
      </c>
      <c r="C330" s="124" t="s">
        <v>969</v>
      </c>
      <c r="D330" s="127">
        <v>38058.0</v>
      </c>
      <c r="E330" s="124" t="s">
        <v>98</v>
      </c>
      <c r="F330" s="124" t="s">
        <v>971</v>
      </c>
      <c r="G330" s="124" t="s">
        <v>973</v>
      </c>
      <c r="H330" s="124" t="s">
        <v>101</v>
      </c>
      <c r="I330" s="124" t="s">
        <v>450</v>
      </c>
      <c r="J330" s="124" t="s">
        <v>975</v>
      </c>
      <c r="K330" s="124" t="s">
        <v>976</v>
      </c>
      <c r="L330" s="124" t="s">
        <v>978</v>
      </c>
      <c r="M330" s="128"/>
      <c r="N330" s="128"/>
      <c r="O330" s="128"/>
      <c r="P330" s="129">
        <v>21.0</v>
      </c>
      <c r="Q330" s="130">
        <v>46033.44474537037</v>
      </c>
      <c r="R330" s="124" t="s">
        <v>107</v>
      </c>
      <c r="S330" s="124" t="s">
        <v>125</v>
      </c>
      <c r="T330" s="124" t="s">
        <v>127</v>
      </c>
      <c r="U330" s="124" t="s">
        <v>531</v>
      </c>
      <c r="V330" s="124" t="s">
        <v>532</v>
      </c>
      <c r="W330" s="124" t="s">
        <v>534</v>
      </c>
      <c r="X330" s="124" t="s">
        <v>120</v>
      </c>
      <c r="Y330" s="128"/>
      <c r="Z330" s="124" t="s">
        <v>117</v>
      </c>
      <c r="AA330" s="124" t="s">
        <v>991</v>
      </c>
      <c r="AB330" s="124" t="s">
        <v>120</v>
      </c>
      <c r="AC330" s="124" t="s">
        <v>120</v>
      </c>
      <c r="AD330" s="128"/>
      <c r="AE330" s="124" t="s">
        <v>120</v>
      </c>
      <c r="AF330" s="128"/>
      <c r="AG330" s="124" t="s">
        <v>120</v>
      </c>
      <c r="AH330" s="128"/>
      <c r="AI330" s="124" t="s">
        <v>120</v>
      </c>
      <c r="AJ330" s="128"/>
      <c r="AK330" s="128"/>
      <c r="AL330" s="124" t="s">
        <v>126</v>
      </c>
      <c r="AM330" s="124" t="s">
        <v>128</v>
      </c>
      <c r="AN330" s="124" t="s">
        <v>242</v>
      </c>
      <c r="AO330" s="124" t="s">
        <v>129</v>
      </c>
      <c r="AP330" s="124"/>
    </row>
    <row r="331">
      <c r="A331" s="124" t="s">
        <v>3908</v>
      </c>
      <c r="B331" s="124" t="s">
        <v>737</v>
      </c>
      <c r="C331" s="124" t="s">
        <v>3909</v>
      </c>
      <c r="D331" s="127">
        <v>39970.0</v>
      </c>
      <c r="E331" s="124" t="s">
        <v>177</v>
      </c>
      <c r="F331" s="128" t="str">
        <f>+52 55 1193 9586</f>
        <v>#ERROR!</v>
      </c>
      <c r="G331" s="124" t="s">
        <v>3910</v>
      </c>
      <c r="H331" s="124" t="s">
        <v>101</v>
      </c>
      <c r="I331" s="128"/>
      <c r="J331" s="124" t="s">
        <v>3911</v>
      </c>
      <c r="K331" s="124" t="s">
        <v>3912</v>
      </c>
      <c r="L331" s="124" t="s">
        <v>3913</v>
      </c>
      <c r="M331" s="124" t="s">
        <v>3914</v>
      </c>
      <c r="N331" s="124" t="s">
        <v>3912</v>
      </c>
      <c r="O331" s="124" t="s">
        <v>3915</v>
      </c>
      <c r="P331" s="129">
        <v>16.0</v>
      </c>
      <c r="Q331" s="130">
        <v>46026.90721064815</v>
      </c>
      <c r="R331" s="124" t="s">
        <v>107</v>
      </c>
      <c r="S331" s="124" t="s">
        <v>109</v>
      </c>
      <c r="T331" s="124" t="s">
        <v>192</v>
      </c>
      <c r="U331" s="124" t="s">
        <v>749</v>
      </c>
      <c r="V331" s="124" t="s">
        <v>750</v>
      </c>
      <c r="W331" s="124" t="s">
        <v>751</v>
      </c>
      <c r="X331" s="124" t="s">
        <v>120</v>
      </c>
      <c r="Y331" s="128"/>
      <c r="Z331" s="124" t="s">
        <v>120</v>
      </c>
      <c r="AA331" s="128"/>
      <c r="AB331" s="124" t="s">
        <v>120</v>
      </c>
      <c r="AC331" s="128"/>
      <c r="AD331" s="128"/>
      <c r="AE331" s="124" t="s">
        <v>120</v>
      </c>
      <c r="AF331" s="128"/>
      <c r="AG331" s="124" t="s">
        <v>120</v>
      </c>
      <c r="AH331" s="128"/>
      <c r="AI331" s="124" t="s">
        <v>120</v>
      </c>
      <c r="AJ331" s="128"/>
      <c r="AK331" s="128"/>
      <c r="AL331" s="124" t="s">
        <v>185</v>
      </c>
      <c r="AM331" s="124" t="s">
        <v>129</v>
      </c>
      <c r="AN331" s="124" t="s">
        <v>156</v>
      </c>
      <c r="AO331" s="124" t="s">
        <v>138</v>
      </c>
      <c r="AP331" s="124"/>
    </row>
    <row r="332">
      <c r="A332" s="124" t="s">
        <v>1640</v>
      </c>
      <c r="B332" s="124" t="s">
        <v>1642</v>
      </c>
      <c r="C332" s="124" t="s">
        <v>1643</v>
      </c>
      <c r="D332" s="127">
        <v>41117.0</v>
      </c>
      <c r="E332" s="124" t="s">
        <v>177</v>
      </c>
      <c r="F332" s="124" t="s">
        <v>1645</v>
      </c>
      <c r="G332" s="124" t="s">
        <v>1648</v>
      </c>
      <c r="H332" s="124" t="s">
        <v>101</v>
      </c>
      <c r="I332" s="124" t="s">
        <v>1652</v>
      </c>
      <c r="J332" s="124" t="s">
        <v>136</v>
      </c>
      <c r="K332" s="124" t="s">
        <v>1655</v>
      </c>
      <c r="L332" s="124">
        <v>5.583376421E9</v>
      </c>
      <c r="M332" s="128"/>
      <c r="N332" s="128"/>
      <c r="O332" s="128"/>
      <c r="P332" s="129">
        <v>13.0</v>
      </c>
      <c r="Q332" s="130">
        <v>46034.830671296295</v>
      </c>
      <c r="R332" s="124" t="s">
        <v>107</v>
      </c>
      <c r="S332" s="124" t="s">
        <v>109</v>
      </c>
      <c r="T332" s="124" t="s">
        <v>208</v>
      </c>
      <c r="U332" s="124" t="s">
        <v>788</v>
      </c>
      <c r="V332" s="124" t="s">
        <v>789</v>
      </c>
      <c r="W332" s="124" t="s">
        <v>790</v>
      </c>
      <c r="X332" s="124" t="s">
        <v>120</v>
      </c>
      <c r="Y332" s="128"/>
      <c r="Z332" s="124" t="s">
        <v>120</v>
      </c>
      <c r="AA332" s="128"/>
      <c r="AB332" s="124" t="s">
        <v>120</v>
      </c>
      <c r="AC332" s="128"/>
      <c r="AD332" s="124" t="s">
        <v>135</v>
      </c>
      <c r="AE332" s="124" t="s">
        <v>120</v>
      </c>
      <c r="AF332" s="128"/>
      <c r="AG332" s="124" t="s">
        <v>120</v>
      </c>
      <c r="AH332" s="128"/>
      <c r="AI332" s="124" t="s">
        <v>117</v>
      </c>
      <c r="AJ332" s="124" t="s">
        <v>1682</v>
      </c>
      <c r="AK332" s="124" t="s">
        <v>1684</v>
      </c>
      <c r="AL332" s="124" t="s">
        <v>138</v>
      </c>
      <c r="AM332" s="124" t="s">
        <v>128</v>
      </c>
      <c r="AN332" s="124" t="s">
        <v>156</v>
      </c>
      <c r="AO332" s="124" t="s">
        <v>185</v>
      </c>
      <c r="AP332" s="124"/>
    </row>
    <row r="333">
      <c r="A333" s="124" t="s">
        <v>3916</v>
      </c>
      <c r="B333" s="124" t="s">
        <v>3917</v>
      </c>
      <c r="C333" s="124" t="s">
        <v>3918</v>
      </c>
      <c r="D333" s="127">
        <v>40610.0</v>
      </c>
      <c r="E333" s="124" t="s">
        <v>98</v>
      </c>
      <c r="F333" s="124">
        <v>5.513782072E9</v>
      </c>
      <c r="G333" s="124" t="s">
        <v>3919</v>
      </c>
      <c r="H333" s="124" t="s">
        <v>140</v>
      </c>
      <c r="I333" s="124" t="s">
        <v>135</v>
      </c>
      <c r="J333" s="124" t="s">
        <v>3920</v>
      </c>
      <c r="K333" s="124" t="s">
        <v>3919</v>
      </c>
      <c r="L333" s="124">
        <v>5.513339557E9</v>
      </c>
      <c r="M333" s="124" t="s">
        <v>3921</v>
      </c>
      <c r="N333" s="124" t="s">
        <v>3922</v>
      </c>
      <c r="O333" s="124">
        <v>5.531064795E9</v>
      </c>
      <c r="P333" s="129">
        <v>14.0</v>
      </c>
      <c r="Q333" s="130">
        <v>46035.92015046296</v>
      </c>
      <c r="R333" s="124" t="s">
        <v>107</v>
      </c>
      <c r="S333" s="124" t="s">
        <v>109</v>
      </c>
      <c r="T333" s="124" t="s">
        <v>171</v>
      </c>
      <c r="U333" s="124" t="s">
        <v>1048</v>
      </c>
      <c r="V333" s="124" t="s">
        <v>1050</v>
      </c>
      <c r="W333" s="124" t="s">
        <v>1051</v>
      </c>
      <c r="X333" s="124" t="s">
        <v>120</v>
      </c>
      <c r="Y333" s="128"/>
      <c r="Z333" s="124" t="s">
        <v>117</v>
      </c>
      <c r="AA333" s="124" t="s">
        <v>285</v>
      </c>
      <c r="AB333" s="124" t="s">
        <v>120</v>
      </c>
      <c r="AC333" s="128"/>
      <c r="AD333" s="128"/>
      <c r="AE333" s="124" t="s">
        <v>120</v>
      </c>
      <c r="AF333" s="128"/>
      <c r="AG333" s="124" t="s">
        <v>120</v>
      </c>
      <c r="AH333" s="128"/>
      <c r="AI333" s="124" t="s">
        <v>120</v>
      </c>
      <c r="AJ333" s="128"/>
      <c r="AK333" s="128"/>
      <c r="AL333" s="124" t="s">
        <v>185</v>
      </c>
      <c r="AM333" s="124" t="s">
        <v>242</v>
      </c>
      <c r="AN333" s="124" t="s">
        <v>216</v>
      </c>
      <c r="AO333" s="124" t="s">
        <v>124</v>
      </c>
      <c r="AP333" s="124"/>
    </row>
    <row r="334">
      <c r="A334" s="124" t="s">
        <v>3923</v>
      </c>
      <c r="B334" s="124" t="s">
        <v>3924</v>
      </c>
      <c r="C334" s="124" t="s">
        <v>3925</v>
      </c>
      <c r="D334" s="127">
        <v>40941.0</v>
      </c>
      <c r="E334" s="124" t="s">
        <v>98</v>
      </c>
      <c r="F334" s="124">
        <v>5.535109752E9</v>
      </c>
      <c r="G334" s="124" t="s">
        <v>3926</v>
      </c>
      <c r="H334" s="124" t="s">
        <v>140</v>
      </c>
      <c r="I334" s="128"/>
      <c r="J334" s="124" t="s">
        <v>3927</v>
      </c>
      <c r="K334" s="124" t="s">
        <v>3926</v>
      </c>
      <c r="L334" s="124">
        <v>5.535109752E9</v>
      </c>
      <c r="M334" s="128"/>
      <c r="N334" s="128"/>
      <c r="O334" s="128"/>
      <c r="P334" s="129">
        <v>14.0</v>
      </c>
      <c r="Q334" s="130">
        <v>46044.44092592593</v>
      </c>
      <c r="R334" s="124" t="s">
        <v>107</v>
      </c>
      <c r="S334" s="124" t="s">
        <v>109</v>
      </c>
      <c r="T334" s="124" t="s">
        <v>171</v>
      </c>
      <c r="U334" s="124" t="s">
        <v>1048</v>
      </c>
      <c r="V334" s="124" t="s">
        <v>1050</v>
      </c>
      <c r="W334" s="124" t="s">
        <v>1051</v>
      </c>
      <c r="X334" s="124" t="s">
        <v>120</v>
      </c>
      <c r="Y334" s="128"/>
      <c r="Z334" s="124" t="s">
        <v>120</v>
      </c>
      <c r="AA334" s="128"/>
      <c r="AB334" s="124" t="s">
        <v>120</v>
      </c>
      <c r="AC334" s="124" t="s">
        <v>117</v>
      </c>
      <c r="AD334" s="128"/>
      <c r="AE334" s="124" t="s">
        <v>120</v>
      </c>
      <c r="AF334" s="128"/>
      <c r="AG334" s="124" t="s">
        <v>120</v>
      </c>
      <c r="AH334" s="128"/>
      <c r="AI334" s="124" t="s">
        <v>120</v>
      </c>
      <c r="AJ334" s="128"/>
      <c r="AK334" s="128"/>
      <c r="AL334" s="124" t="s">
        <v>138</v>
      </c>
      <c r="AM334" s="124" t="s">
        <v>156</v>
      </c>
      <c r="AN334" s="124" t="s">
        <v>240</v>
      </c>
      <c r="AO334" s="124" t="s">
        <v>216</v>
      </c>
      <c r="AP334" s="124"/>
    </row>
    <row r="335">
      <c r="A335" s="124" t="s">
        <v>3928</v>
      </c>
      <c r="B335" s="124" t="s">
        <v>3929</v>
      </c>
      <c r="C335" s="124" t="s">
        <v>3930</v>
      </c>
      <c r="D335" s="127">
        <v>40255.0</v>
      </c>
      <c r="E335" s="124" t="s">
        <v>177</v>
      </c>
      <c r="F335" s="124">
        <v>5.615763822E9</v>
      </c>
      <c r="G335" s="124" t="s">
        <v>3931</v>
      </c>
      <c r="H335" s="124" t="s">
        <v>101</v>
      </c>
      <c r="I335" s="128"/>
      <c r="J335" s="124" t="s">
        <v>3932</v>
      </c>
      <c r="K335" s="124" t="s">
        <v>3933</v>
      </c>
      <c r="L335" s="124">
        <v>5.515373729E9</v>
      </c>
      <c r="M335" s="128"/>
      <c r="N335" s="128"/>
      <c r="O335" s="128"/>
      <c r="P335" s="129">
        <v>15.0</v>
      </c>
      <c r="Q335" s="130">
        <v>46026.5209375</v>
      </c>
      <c r="R335" s="124" t="s">
        <v>107</v>
      </c>
      <c r="S335" s="124" t="s">
        <v>109</v>
      </c>
      <c r="T335" s="124" t="s">
        <v>160</v>
      </c>
      <c r="U335" s="124" t="s">
        <v>308</v>
      </c>
      <c r="V335" s="124" t="s">
        <v>309</v>
      </c>
      <c r="W335" s="124" t="s">
        <v>310</v>
      </c>
      <c r="X335" s="124" t="s">
        <v>120</v>
      </c>
      <c r="Y335" s="128"/>
      <c r="Z335" s="124" t="s">
        <v>120</v>
      </c>
      <c r="AA335" s="128"/>
      <c r="AB335" s="124" t="s">
        <v>120</v>
      </c>
      <c r="AC335" s="128"/>
      <c r="AD335" s="128"/>
      <c r="AE335" s="124" t="s">
        <v>120</v>
      </c>
      <c r="AF335" s="128"/>
      <c r="AG335" s="124" t="s">
        <v>120</v>
      </c>
      <c r="AH335" s="128"/>
      <c r="AI335" s="124" t="s">
        <v>120</v>
      </c>
      <c r="AJ335" s="128"/>
      <c r="AK335" s="128"/>
      <c r="AL335" s="124" t="s">
        <v>128</v>
      </c>
      <c r="AM335" s="124" t="s">
        <v>242</v>
      </c>
      <c r="AN335" s="124" t="s">
        <v>185</v>
      </c>
      <c r="AO335" s="124" t="s">
        <v>216</v>
      </c>
      <c r="AP335" s="124"/>
    </row>
    <row r="336">
      <c r="A336" s="124" t="s">
        <v>934</v>
      </c>
      <c r="B336" s="124" t="s">
        <v>3934</v>
      </c>
      <c r="C336" s="124" t="s">
        <v>3935</v>
      </c>
      <c r="D336" s="127">
        <v>39911.0</v>
      </c>
      <c r="E336" s="124" t="s">
        <v>98</v>
      </c>
      <c r="F336" s="124">
        <v>5.543611566E9</v>
      </c>
      <c r="G336" s="124" t="s">
        <v>3936</v>
      </c>
      <c r="H336" s="124" t="s">
        <v>140</v>
      </c>
      <c r="I336" s="128"/>
      <c r="J336" s="124" t="s">
        <v>3937</v>
      </c>
      <c r="K336" s="124" t="s">
        <v>3938</v>
      </c>
      <c r="L336" s="124">
        <v>5.543611566E9</v>
      </c>
      <c r="M336" s="128"/>
      <c r="N336" s="128"/>
      <c r="O336" s="128"/>
      <c r="P336" s="129">
        <v>16.0</v>
      </c>
      <c r="Q336" s="130">
        <v>46020.99135416667</v>
      </c>
      <c r="R336" s="124" t="s">
        <v>107</v>
      </c>
      <c r="S336" s="124" t="s">
        <v>109</v>
      </c>
      <c r="T336" s="124" t="s">
        <v>208</v>
      </c>
      <c r="U336" s="124" t="s">
        <v>228</v>
      </c>
      <c r="V336" s="124" t="s">
        <v>229</v>
      </c>
      <c r="W336" s="124" t="s">
        <v>230</v>
      </c>
      <c r="X336" s="124" t="s">
        <v>120</v>
      </c>
      <c r="Y336" s="128"/>
      <c r="Z336" s="124" t="s">
        <v>117</v>
      </c>
      <c r="AA336" s="124" t="s">
        <v>3939</v>
      </c>
      <c r="AB336" s="124" t="s">
        <v>120</v>
      </c>
      <c r="AC336" s="124" t="s">
        <v>120</v>
      </c>
      <c r="AD336" s="128"/>
      <c r="AE336" s="124" t="s">
        <v>120</v>
      </c>
      <c r="AF336" s="128"/>
      <c r="AG336" s="124" t="s">
        <v>120</v>
      </c>
      <c r="AH336" s="128"/>
      <c r="AI336" s="124" t="s">
        <v>120</v>
      </c>
      <c r="AJ336" s="128"/>
      <c r="AK336" s="128"/>
      <c r="AL336" s="124" t="s">
        <v>138</v>
      </c>
      <c r="AM336" s="124" t="s">
        <v>242</v>
      </c>
      <c r="AN336" s="124" t="s">
        <v>126</v>
      </c>
      <c r="AO336" s="124" t="s">
        <v>185</v>
      </c>
      <c r="AP336" s="124"/>
    </row>
    <row r="337">
      <c r="A337" s="124" t="s">
        <v>3940</v>
      </c>
      <c r="B337" s="124" t="s">
        <v>2914</v>
      </c>
      <c r="C337" s="124" t="s">
        <v>3941</v>
      </c>
      <c r="D337" s="127">
        <v>39952.0</v>
      </c>
      <c r="E337" s="124" t="s">
        <v>177</v>
      </c>
      <c r="F337" s="124">
        <v>5.542613145E9</v>
      </c>
      <c r="G337" s="124" t="s">
        <v>3942</v>
      </c>
      <c r="H337" s="124" t="s">
        <v>140</v>
      </c>
      <c r="I337" s="124" t="s">
        <v>2397</v>
      </c>
      <c r="J337" s="124" t="s">
        <v>3943</v>
      </c>
      <c r="K337" s="124" t="s">
        <v>3944</v>
      </c>
      <c r="L337" s="124">
        <v>5.619340608E9</v>
      </c>
      <c r="M337" s="124" t="s">
        <v>2917</v>
      </c>
      <c r="N337" s="124" t="s">
        <v>3945</v>
      </c>
      <c r="O337" s="124">
        <v>5.516267037E9</v>
      </c>
      <c r="P337" s="129">
        <v>16.0</v>
      </c>
      <c r="Q337" s="130">
        <v>46035.41017361111</v>
      </c>
      <c r="R337" s="124" t="s">
        <v>107</v>
      </c>
      <c r="S337" s="124" t="s">
        <v>109</v>
      </c>
      <c r="T337" s="124" t="s">
        <v>171</v>
      </c>
      <c r="U337" s="124" t="s">
        <v>2149</v>
      </c>
      <c r="V337" s="124" t="s">
        <v>2141</v>
      </c>
      <c r="W337" s="124" t="s">
        <v>2151</v>
      </c>
      <c r="X337" s="124" t="s">
        <v>120</v>
      </c>
      <c r="Y337" s="128"/>
      <c r="Z337" s="124" t="s">
        <v>120</v>
      </c>
      <c r="AA337" s="128"/>
      <c r="AB337" s="124" t="s">
        <v>120</v>
      </c>
      <c r="AC337" s="124" t="s">
        <v>120</v>
      </c>
      <c r="AD337" s="128"/>
      <c r="AE337" s="124" t="s">
        <v>120</v>
      </c>
      <c r="AF337" s="128"/>
      <c r="AG337" s="124" t="s">
        <v>120</v>
      </c>
      <c r="AH337" s="128"/>
      <c r="AI337" s="124" t="s">
        <v>120</v>
      </c>
      <c r="AJ337" s="128"/>
      <c r="AK337" s="128"/>
      <c r="AL337" s="124" t="s">
        <v>156</v>
      </c>
      <c r="AM337" s="124" t="s">
        <v>124</v>
      </c>
      <c r="AN337" s="124" t="s">
        <v>128</v>
      </c>
      <c r="AO337" s="124" t="s">
        <v>242</v>
      </c>
      <c r="AP337" s="124"/>
    </row>
    <row r="338">
      <c r="A338" s="124" t="s">
        <v>1245</v>
      </c>
      <c r="B338" s="124" t="s">
        <v>296</v>
      </c>
      <c r="C338" s="124" t="s">
        <v>1247</v>
      </c>
      <c r="D338" s="127">
        <v>40215.0</v>
      </c>
      <c r="E338" s="124" t="s">
        <v>98</v>
      </c>
      <c r="F338" s="124">
        <v>5.632800745E9</v>
      </c>
      <c r="G338" s="124" t="s">
        <v>1249</v>
      </c>
      <c r="H338" s="124" t="s">
        <v>150</v>
      </c>
      <c r="I338" s="124" t="s">
        <v>1250</v>
      </c>
      <c r="J338" s="124" t="s">
        <v>303</v>
      </c>
      <c r="K338" s="124" t="s">
        <v>304</v>
      </c>
      <c r="L338" s="124">
        <v>5.517879467E9</v>
      </c>
      <c r="M338" s="124" t="s">
        <v>305</v>
      </c>
      <c r="N338" s="124" t="s">
        <v>306</v>
      </c>
      <c r="O338" s="124">
        <v>5.511264517E9</v>
      </c>
      <c r="P338" s="129">
        <v>16.0</v>
      </c>
      <c r="Q338" s="130">
        <v>46020.68127314815</v>
      </c>
      <c r="R338" s="124" t="s">
        <v>107</v>
      </c>
      <c r="S338" s="124" t="s">
        <v>109</v>
      </c>
      <c r="T338" s="124" t="s">
        <v>204</v>
      </c>
      <c r="U338" s="124" t="s">
        <v>311</v>
      </c>
      <c r="V338" s="124" t="s">
        <v>312</v>
      </c>
      <c r="W338" s="124" t="s">
        <v>313</v>
      </c>
      <c r="X338" s="124" t="s">
        <v>120</v>
      </c>
      <c r="Y338" s="128"/>
      <c r="Z338" s="124" t="s">
        <v>117</v>
      </c>
      <c r="AA338" s="124" t="s">
        <v>1259</v>
      </c>
      <c r="AB338" s="124" t="s">
        <v>120</v>
      </c>
      <c r="AC338" s="128"/>
      <c r="AD338" s="128"/>
      <c r="AE338" s="124" t="s">
        <v>120</v>
      </c>
      <c r="AF338" s="128"/>
      <c r="AG338" s="124" t="s">
        <v>120</v>
      </c>
      <c r="AH338" s="128"/>
      <c r="AI338" s="124" t="s">
        <v>120</v>
      </c>
      <c r="AJ338" s="128"/>
      <c r="AK338" s="128"/>
      <c r="AL338" s="124" t="s">
        <v>185</v>
      </c>
      <c r="AM338" s="124" t="s">
        <v>156</v>
      </c>
      <c r="AN338" s="124" t="s">
        <v>138</v>
      </c>
      <c r="AO338" s="124" t="s">
        <v>128</v>
      </c>
      <c r="AP338" s="124"/>
    </row>
    <row r="339">
      <c r="A339" s="124" t="s">
        <v>533</v>
      </c>
      <c r="B339" s="124" t="s">
        <v>535</v>
      </c>
      <c r="C339" s="124" t="s">
        <v>537</v>
      </c>
      <c r="D339" s="127">
        <v>34472.0</v>
      </c>
      <c r="E339" s="124" t="s">
        <v>98</v>
      </c>
      <c r="F339" s="124">
        <v>5.621987955E9</v>
      </c>
      <c r="G339" s="124" t="s">
        <v>541</v>
      </c>
      <c r="H339" s="124" t="s">
        <v>382</v>
      </c>
      <c r="I339" s="128"/>
      <c r="J339" s="124" t="s">
        <v>542</v>
      </c>
      <c r="K339" s="124" t="s">
        <v>541</v>
      </c>
      <c r="L339" s="124">
        <v>5.621986821E9</v>
      </c>
      <c r="M339" s="128"/>
      <c r="N339" s="128"/>
      <c r="O339" s="128"/>
      <c r="P339" s="129">
        <v>31.0</v>
      </c>
      <c r="Q339" s="130">
        <v>46036.895462962966</v>
      </c>
      <c r="R339" s="124" t="s">
        <v>546</v>
      </c>
      <c r="S339" s="124" t="s">
        <v>125</v>
      </c>
      <c r="T339" s="124" t="s">
        <v>548</v>
      </c>
      <c r="U339" s="124" t="s">
        <v>550</v>
      </c>
      <c r="V339" s="124" t="s">
        <v>551</v>
      </c>
      <c r="W339" s="124" t="s">
        <v>552</v>
      </c>
      <c r="X339" s="124" t="s">
        <v>117</v>
      </c>
      <c r="Y339" s="128"/>
      <c r="Z339" s="124" t="s">
        <v>117</v>
      </c>
      <c r="AA339" s="128"/>
      <c r="AB339" s="124" t="s">
        <v>117</v>
      </c>
      <c r="AC339" s="124" t="s">
        <v>117</v>
      </c>
      <c r="AD339" s="128"/>
      <c r="AE339" s="124" t="s">
        <v>117</v>
      </c>
      <c r="AF339" s="128"/>
      <c r="AG339" s="124" t="s">
        <v>117</v>
      </c>
      <c r="AH339" s="128"/>
      <c r="AI339" s="124" t="s">
        <v>117</v>
      </c>
      <c r="AJ339" s="128"/>
      <c r="AK339" s="128"/>
      <c r="AL339" s="124" t="s">
        <v>156</v>
      </c>
      <c r="AM339" s="124" t="s">
        <v>216</v>
      </c>
      <c r="AN339" s="124" t="s">
        <v>185</v>
      </c>
      <c r="AO339" s="124" t="s">
        <v>240</v>
      </c>
      <c r="AP339" s="124"/>
    </row>
    <row r="340">
      <c r="A340" s="124" t="s">
        <v>1802</v>
      </c>
      <c r="B340" s="124" t="s">
        <v>1803</v>
      </c>
      <c r="C340" s="124" t="s">
        <v>1804</v>
      </c>
      <c r="D340" s="127">
        <v>40969.0</v>
      </c>
      <c r="E340" s="124" t="s">
        <v>177</v>
      </c>
      <c r="F340" s="124">
        <v>5.5513217637E10</v>
      </c>
      <c r="G340" s="124" t="s">
        <v>1805</v>
      </c>
      <c r="H340" s="124" t="s">
        <v>140</v>
      </c>
      <c r="I340" s="128"/>
      <c r="J340" s="124" t="s">
        <v>1806</v>
      </c>
      <c r="K340" s="124" t="s">
        <v>1805</v>
      </c>
      <c r="L340" s="124">
        <v>5.539074387E9</v>
      </c>
      <c r="M340" s="128"/>
      <c r="N340" s="128"/>
      <c r="O340" s="128"/>
      <c r="P340" s="129">
        <v>14.0</v>
      </c>
      <c r="Q340" s="130">
        <v>46026.84447916667</v>
      </c>
      <c r="R340" s="124" t="s">
        <v>107</v>
      </c>
      <c r="S340" s="124" t="s">
        <v>109</v>
      </c>
      <c r="T340" s="124" t="s">
        <v>208</v>
      </c>
      <c r="U340" s="124" t="s">
        <v>228</v>
      </c>
      <c r="V340" s="124" t="s">
        <v>229</v>
      </c>
      <c r="W340" s="124" t="s">
        <v>230</v>
      </c>
      <c r="X340" s="124" t="s">
        <v>120</v>
      </c>
      <c r="Y340" s="128"/>
      <c r="Z340" s="124" t="s">
        <v>120</v>
      </c>
      <c r="AA340" s="128"/>
      <c r="AB340" s="124" t="s">
        <v>117</v>
      </c>
      <c r="AC340" s="124" t="s">
        <v>120</v>
      </c>
      <c r="AD340" s="128"/>
      <c r="AE340" s="124" t="s">
        <v>120</v>
      </c>
      <c r="AF340" s="128"/>
      <c r="AG340" s="124" t="s">
        <v>120</v>
      </c>
      <c r="AH340" s="128"/>
      <c r="AI340" s="124" t="s">
        <v>120</v>
      </c>
      <c r="AJ340" s="128"/>
      <c r="AK340" s="128"/>
      <c r="AL340" s="124" t="s">
        <v>242</v>
      </c>
      <c r="AM340" s="124" t="s">
        <v>156</v>
      </c>
      <c r="AN340" s="124" t="s">
        <v>216</v>
      </c>
      <c r="AO340" s="124" t="s">
        <v>185</v>
      </c>
      <c r="AP340" s="124"/>
    </row>
    <row r="341">
      <c r="A341" s="124" t="s">
        <v>3946</v>
      </c>
      <c r="B341" s="124" t="s">
        <v>3917</v>
      </c>
      <c r="C341" s="124" t="s">
        <v>3947</v>
      </c>
      <c r="D341" s="127">
        <v>39453.0</v>
      </c>
      <c r="E341" s="124" t="s">
        <v>177</v>
      </c>
      <c r="F341" s="124">
        <v>5.559632302E9</v>
      </c>
      <c r="G341" s="124" t="s">
        <v>3948</v>
      </c>
      <c r="H341" s="124" t="s">
        <v>101</v>
      </c>
      <c r="I341" s="128"/>
      <c r="J341" s="124" t="s">
        <v>3920</v>
      </c>
      <c r="K341" s="124" t="s">
        <v>3919</v>
      </c>
      <c r="L341" s="124">
        <v>5.513339557E9</v>
      </c>
      <c r="M341" s="124" t="s">
        <v>3921</v>
      </c>
      <c r="N341" s="124" t="s">
        <v>3922</v>
      </c>
      <c r="O341" s="124">
        <v>5.531064795E9</v>
      </c>
      <c r="P341" s="129">
        <v>18.0</v>
      </c>
      <c r="Q341" s="130">
        <v>46035.929027777776</v>
      </c>
      <c r="R341" s="124" t="s">
        <v>107</v>
      </c>
      <c r="S341" s="124" t="s">
        <v>109</v>
      </c>
      <c r="T341" s="124" t="s">
        <v>171</v>
      </c>
      <c r="U341" s="124" t="s">
        <v>1048</v>
      </c>
      <c r="V341" s="124" t="s">
        <v>1050</v>
      </c>
      <c r="W341" s="124" t="s">
        <v>1051</v>
      </c>
      <c r="X341" s="124" t="s">
        <v>120</v>
      </c>
      <c r="Y341" s="128"/>
      <c r="Z341" s="124" t="s">
        <v>117</v>
      </c>
      <c r="AA341" s="124" t="s">
        <v>285</v>
      </c>
      <c r="AB341" s="124" t="s">
        <v>120</v>
      </c>
      <c r="AC341" s="128"/>
      <c r="AD341" s="128"/>
      <c r="AE341" s="124" t="s">
        <v>120</v>
      </c>
      <c r="AF341" s="128"/>
      <c r="AG341" s="124" t="s">
        <v>120</v>
      </c>
      <c r="AH341" s="128"/>
      <c r="AI341" s="124" t="s">
        <v>120</v>
      </c>
      <c r="AJ341" s="128"/>
      <c r="AK341" s="128"/>
      <c r="AL341" s="124" t="s">
        <v>242</v>
      </c>
      <c r="AM341" s="124" t="s">
        <v>185</v>
      </c>
      <c r="AN341" s="124" t="s">
        <v>216</v>
      </c>
      <c r="AO341" s="124" t="s">
        <v>124</v>
      </c>
      <c r="AP341" s="124"/>
    </row>
    <row r="342">
      <c r="A342" s="124" t="s">
        <v>3949</v>
      </c>
      <c r="B342" s="124" t="s">
        <v>3950</v>
      </c>
      <c r="C342" s="128"/>
      <c r="D342" s="127">
        <v>41099.0</v>
      </c>
      <c r="E342" s="124" t="s">
        <v>177</v>
      </c>
      <c r="F342" s="124">
        <v>5.52050567E9</v>
      </c>
      <c r="G342" s="124" t="s">
        <v>1600</v>
      </c>
      <c r="H342" s="124" t="s">
        <v>140</v>
      </c>
      <c r="I342" s="128"/>
      <c r="J342" s="124" t="s">
        <v>3951</v>
      </c>
      <c r="K342" s="124" t="s">
        <v>3952</v>
      </c>
      <c r="L342" s="124">
        <v>5.560679361E9</v>
      </c>
      <c r="M342" s="128"/>
      <c r="N342" s="128"/>
      <c r="O342" s="128"/>
      <c r="P342" s="129">
        <v>13.0</v>
      </c>
      <c r="Q342" s="130">
        <v>46039.63317129629</v>
      </c>
      <c r="R342" s="124" t="s">
        <v>107</v>
      </c>
      <c r="S342" s="124" t="s">
        <v>109</v>
      </c>
      <c r="T342" s="124" t="s">
        <v>208</v>
      </c>
      <c r="U342" s="124" t="s">
        <v>1599</v>
      </c>
      <c r="V342" s="124" t="s">
        <v>1600</v>
      </c>
      <c r="W342" s="124" t="s">
        <v>1602</v>
      </c>
      <c r="X342" s="124" t="s">
        <v>120</v>
      </c>
      <c r="Y342" s="128"/>
      <c r="Z342" s="124" t="s">
        <v>120</v>
      </c>
      <c r="AA342" s="128"/>
      <c r="AB342" s="124" t="s">
        <v>120</v>
      </c>
      <c r="AC342" s="128"/>
      <c r="AD342" s="128"/>
      <c r="AE342" s="124" t="s">
        <v>120</v>
      </c>
      <c r="AF342" s="128"/>
      <c r="AG342" s="124" t="s">
        <v>120</v>
      </c>
      <c r="AH342" s="128"/>
      <c r="AI342" s="124" t="s">
        <v>120</v>
      </c>
      <c r="AJ342" s="128"/>
      <c r="AK342" s="128"/>
      <c r="AL342" s="124" t="s">
        <v>124</v>
      </c>
      <c r="AM342" s="124" t="s">
        <v>129</v>
      </c>
      <c r="AN342" s="124" t="s">
        <v>240</v>
      </c>
      <c r="AO342" s="124" t="s">
        <v>128</v>
      </c>
      <c r="AP342" s="124"/>
    </row>
    <row r="343">
      <c r="A343" s="124" t="s">
        <v>2319</v>
      </c>
      <c r="B343" s="124" t="s">
        <v>2321</v>
      </c>
      <c r="C343" s="124" t="s">
        <v>2323</v>
      </c>
      <c r="D343" s="127">
        <v>38537.0</v>
      </c>
      <c r="E343" s="124" t="s">
        <v>98</v>
      </c>
      <c r="F343" s="124">
        <v>5.629086743E9</v>
      </c>
      <c r="G343" s="124" t="s">
        <v>2325</v>
      </c>
      <c r="H343" s="124" t="s">
        <v>101</v>
      </c>
      <c r="I343" s="128"/>
      <c r="J343" s="124" t="s">
        <v>674</v>
      </c>
      <c r="K343" s="124" t="s">
        <v>673</v>
      </c>
      <c r="L343" s="124">
        <v>5.512799675E9</v>
      </c>
      <c r="M343" s="128"/>
      <c r="N343" s="128"/>
      <c r="O343" s="128"/>
      <c r="P343" s="129">
        <v>20.0</v>
      </c>
      <c r="Q343" s="130">
        <v>46032.4559375</v>
      </c>
      <c r="R343" s="124" t="s">
        <v>107</v>
      </c>
      <c r="S343" s="124" t="s">
        <v>125</v>
      </c>
      <c r="T343" s="124" t="s">
        <v>127</v>
      </c>
      <c r="U343" s="124" t="s">
        <v>672</v>
      </c>
      <c r="V343" s="124" t="s">
        <v>673</v>
      </c>
      <c r="W343" s="124" t="s">
        <v>674</v>
      </c>
      <c r="X343" s="124" t="s">
        <v>120</v>
      </c>
      <c r="Y343" s="128"/>
      <c r="Z343" s="124" t="s">
        <v>120</v>
      </c>
      <c r="AA343" s="128"/>
      <c r="AB343" s="124" t="s">
        <v>120</v>
      </c>
      <c r="AC343" s="128"/>
      <c r="AD343" s="128"/>
      <c r="AE343" s="124" t="s">
        <v>120</v>
      </c>
      <c r="AF343" s="128"/>
      <c r="AG343" s="124" t="s">
        <v>120</v>
      </c>
      <c r="AH343" s="128"/>
      <c r="AI343" s="124" t="s">
        <v>120</v>
      </c>
      <c r="AJ343" s="128"/>
      <c r="AK343" s="128"/>
      <c r="AL343" s="124" t="s">
        <v>138</v>
      </c>
      <c r="AM343" s="124" t="s">
        <v>126</v>
      </c>
      <c r="AN343" s="124" t="s">
        <v>156</v>
      </c>
      <c r="AO343" s="124" t="s">
        <v>216</v>
      </c>
      <c r="AP343" s="124"/>
    </row>
    <row r="344">
      <c r="A344" s="124" t="s">
        <v>3953</v>
      </c>
      <c r="B344" s="124" t="s">
        <v>3954</v>
      </c>
      <c r="C344" s="124" t="s">
        <v>3955</v>
      </c>
      <c r="D344" s="127">
        <v>40111.0</v>
      </c>
      <c r="E344" s="124" t="s">
        <v>98</v>
      </c>
      <c r="F344" s="124">
        <v>5.592603355E9</v>
      </c>
      <c r="G344" s="124" t="s">
        <v>3956</v>
      </c>
      <c r="H344" s="124" t="s">
        <v>140</v>
      </c>
      <c r="I344" s="128"/>
      <c r="J344" s="124" t="s">
        <v>3957</v>
      </c>
      <c r="K344" s="124" t="s">
        <v>3958</v>
      </c>
      <c r="L344" s="124">
        <v>5.548480439E9</v>
      </c>
      <c r="M344" s="128"/>
      <c r="N344" s="128"/>
      <c r="O344" s="128"/>
      <c r="P344" s="129">
        <v>16.0</v>
      </c>
      <c r="Q344" s="130">
        <v>46019.976631944446</v>
      </c>
      <c r="R344" s="124" t="s">
        <v>107</v>
      </c>
      <c r="S344" s="124" t="s">
        <v>109</v>
      </c>
      <c r="T344" s="124" t="s">
        <v>160</v>
      </c>
      <c r="U344" s="124" t="s">
        <v>308</v>
      </c>
      <c r="V344" s="124" t="s">
        <v>309</v>
      </c>
      <c r="W344" s="124" t="s">
        <v>310</v>
      </c>
      <c r="X344" s="124" t="s">
        <v>120</v>
      </c>
      <c r="Y344" s="128"/>
      <c r="Z344" s="124" t="s">
        <v>117</v>
      </c>
      <c r="AA344" s="124" t="s">
        <v>1641</v>
      </c>
      <c r="AB344" s="124" t="s">
        <v>120</v>
      </c>
      <c r="AC344" s="124" t="s">
        <v>120</v>
      </c>
      <c r="AD344" s="128"/>
      <c r="AE344" s="124" t="s">
        <v>120</v>
      </c>
      <c r="AF344" s="128"/>
      <c r="AG344" s="124" t="s">
        <v>120</v>
      </c>
      <c r="AH344" s="128"/>
      <c r="AI344" s="124" t="s">
        <v>120</v>
      </c>
      <c r="AJ344" s="128"/>
      <c r="AK344" s="128"/>
      <c r="AL344" s="124" t="s">
        <v>185</v>
      </c>
      <c r="AM344" s="124" t="s">
        <v>185</v>
      </c>
      <c r="AN344" s="124" t="s">
        <v>216</v>
      </c>
      <c r="AO344" s="124" t="s">
        <v>126</v>
      </c>
      <c r="AP344" s="124"/>
    </row>
    <row r="345">
      <c r="A345" s="124" t="s">
        <v>3959</v>
      </c>
      <c r="B345" s="124" t="s">
        <v>3526</v>
      </c>
      <c r="C345" s="124" t="s">
        <v>3960</v>
      </c>
      <c r="D345" s="127">
        <v>39741.0</v>
      </c>
      <c r="E345" s="124" t="s">
        <v>177</v>
      </c>
      <c r="F345" s="124">
        <v>5.545286273E9</v>
      </c>
      <c r="G345" s="124" t="s">
        <v>3961</v>
      </c>
      <c r="H345" s="124" t="s">
        <v>150</v>
      </c>
      <c r="I345" s="128"/>
      <c r="J345" s="124" t="s">
        <v>3529</v>
      </c>
      <c r="K345" s="124" t="s">
        <v>3530</v>
      </c>
      <c r="L345" s="124">
        <v>5.566295204E9</v>
      </c>
      <c r="M345" s="128"/>
      <c r="N345" s="128"/>
      <c r="O345" s="128"/>
      <c r="P345" s="129">
        <v>17.0</v>
      </c>
      <c r="Q345" s="130">
        <v>46034.51435185185</v>
      </c>
      <c r="R345" s="124" t="s">
        <v>107</v>
      </c>
      <c r="S345" s="124" t="s">
        <v>109</v>
      </c>
      <c r="T345" s="124" t="s">
        <v>171</v>
      </c>
      <c r="U345" s="124" t="s">
        <v>638</v>
      </c>
      <c r="V345" s="124" t="s">
        <v>639</v>
      </c>
      <c r="W345" s="124" t="s">
        <v>641</v>
      </c>
      <c r="X345" s="124" t="s">
        <v>120</v>
      </c>
      <c r="Y345" s="128"/>
      <c r="Z345" s="124" t="s">
        <v>120</v>
      </c>
      <c r="AA345" s="128"/>
      <c r="AB345" s="124" t="s">
        <v>120</v>
      </c>
      <c r="AC345" s="128"/>
      <c r="AD345" s="128"/>
      <c r="AE345" s="124" t="s">
        <v>120</v>
      </c>
      <c r="AF345" s="128"/>
      <c r="AG345" s="124" t="s">
        <v>120</v>
      </c>
      <c r="AH345" s="128"/>
      <c r="AI345" s="124" t="s">
        <v>120</v>
      </c>
      <c r="AJ345" s="128"/>
      <c r="AK345" s="128"/>
      <c r="AL345" s="124" t="s">
        <v>126</v>
      </c>
      <c r="AM345" s="124" t="s">
        <v>185</v>
      </c>
      <c r="AN345" s="124" t="s">
        <v>216</v>
      </c>
      <c r="AO345" s="124" t="s">
        <v>242</v>
      </c>
      <c r="AP345" s="124"/>
    </row>
    <row r="346">
      <c r="A346" s="124" t="s">
        <v>2335</v>
      </c>
      <c r="B346" s="124" t="s">
        <v>2336</v>
      </c>
      <c r="C346" s="124" t="s">
        <v>2337</v>
      </c>
      <c r="D346" s="127">
        <v>37835.0</v>
      </c>
      <c r="E346" s="124" t="s">
        <v>177</v>
      </c>
      <c r="F346" s="124">
        <v>5.618471516E9</v>
      </c>
      <c r="G346" s="124" t="s">
        <v>2338</v>
      </c>
      <c r="H346" s="124" t="s">
        <v>140</v>
      </c>
      <c r="I346" s="124" t="s">
        <v>2339</v>
      </c>
      <c r="J346" s="124" t="s">
        <v>2340</v>
      </c>
      <c r="K346" s="124" t="s">
        <v>2341</v>
      </c>
      <c r="L346" s="124">
        <v>5.549768828E9</v>
      </c>
      <c r="M346" s="128"/>
      <c r="N346" s="128"/>
      <c r="O346" s="128"/>
      <c r="P346" s="129">
        <v>22.0</v>
      </c>
      <c r="Q346" s="130">
        <v>46026.49533564815</v>
      </c>
      <c r="R346" s="124" t="s">
        <v>107</v>
      </c>
      <c r="S346" s="124" t="s">
        <v>125</v>
      </c>
      <c r="T346" s="124" t="s">
        <v>208</v>
      </c>
      <c r="U346" s="124" t="s">
        <v>788</v>
      </c>
      <c r="V346" s="124" t="s">
        <v>789</v>
      </c>
      <c r="W346" s="124" t="s">
        <v>790</v>
      </c>
      <c r="X346" s="124" t="s">
        <v>120</v>
      </c>
      <c r="Y346" s="124" t="s">
        <v>2343</v>
      </c>
      <c r="Z346" s="124" t="s">
        <v>120</v>
      </c>
      <c r="AA346" s="128"/>
      <c r="AB346" s="124" t="s">
        <v>120</v>
      </c>
      <c r="AC346" s="124" t="s">
        <v>120</v>
      </c>
      <c r="AD346" s="128"/>
      <c r="AE346" s="124" t="s">
        <v>120</v>
      </c>
      <c r="AF346" s="128"/>
      <c r="AG346" s="124" t="s">
        <v>120</v>
      </c>
      <c r="AH346" s="128"/>
      <c r="AI346" s="124" t="s">
        <v>120</v>
      </c>
      <c r="AJ346" s="128"/>
      <c r="AK346" s="128"/>
      <c r="AL346" s="124" t="s">
        <v>185</v>
      </c>
      <c r="AM346" s="124" t="s">
        <v>141</v>
      </c>
      <c r="AN346" s="124" t="s">
        <v>124</v>
      </c>
      <c r="AO346" s="124" t="s">
        <v>216</v>
      </c>
      <c r="AP346" s="124"/>
    </row>
    <row r="347">
      <c r="A347" s="124" t="s">
        <v>3962</v>
      </c>
      <c r="B347" s="124" t="s">
        <v>3963</v>
      </c>
      <c r="C347" s="124" t="s">
        <v>3964</v>
      </c>
      <c r="D347" s="127">
        <v>40911.0</v>
      </c>
      <c r="E347" s="124" t="s">
        <v>98</v>
      </c>
      <c r="F347" s="124">
        <v>5.64338495E9</v>
      </c>
      <c r="G347" s="124" t="s">
        <v>1293</v>
      </c>
      <c r="H347" s="124" t="s">
        <v>101</v>
      </c>
      <c r="I347" s="124" t="s">
        <v>3965</v>
      </c>
      <c r="J347" s="124" t="s">
        <v>3966</v>
      </c>
      <c r="K347" s="124" t="s">
        <v>1293</v>
      </c>
      <c r="L347" s="124">
        <v>5.64338495E9</v>
      </c>
      <c r="M347" s="128"/>
      <c r="N347" s="128"/>
      <c r="O347" s="128"/>
      <c r="P347" s="129">
        <v>14.0</v>
      </c>
      <c r="Q347" s="130">
        <v>46035.599814814814</v>
      </c>
      <c r="R347" s="124" t="s">
        <v>107</v>
      </c>
      <c r="S347" s="124" t="s">
        <v>109</v>
      </c>
      <c r="T347" s="124" t="s">
        <v>204</v>
      </c>
      <c r="U347" s="124" t="s">
        <v>205</v>
      </c>
      <c r="V347" s="124" t="s">
        <v>206</v>
      </c>
      <c r="W347" s="124" t="s">
        <v>207</v>
      </c>
      <c r="X347" s="124" t="s">
        <v>120</v>
      </c>
      <c r="Y347" s="128"/>
      <c r="Z347" s="124" t="s">
        <v>120</v>
      </c>
      <c r="AA347" s="128"/>
      <c r="AB347" s="124" t="s">
        <v>120</v>
      </c>
      <c r="AC347" s="128"/>
      <c r="AD347" s="128"/>
      <c r="AE347" s="124" t="s">
        <v>120</v>
      </c>
      <c r="AF347" s="128"/>
      <c r="AG347" s="124" t="s">
        <v>120</v>
      </c>
      <c r="AH347" s="128"/>
      <c r="AI347" s="124" t="s">
        <v>120</v>
      </c>
      <c r="AJ347" s="128"/>
      <c r="AK347" s="128"/>
      <c r="AL347" s="124" t="s">
        <v>138</v>
      </c>
      <c r="AM347" s="124" t="s">
        <v>156</v>
      </c>
      <c r="AN347" s="124" t="s">
        <v>240</v>
      </c>
      <c r="AO347" s="124" t="s">
        <v>242</v>
      </c>
      <c r="AP347" s="124"/>
    </row>
    <row r="348">
      <c r="A348" s="124" t="s">
        <v>934</v>
      </c>
      <c r="B348" s="124" t="s">
        <v>1826</v>
      </c>
      <c r="C348" s="124" t="s">
        <v>1827</v>
      </c>
      <c r="D348" s="127">
        <v>39823.0</v>
      </c>
      <c r="E348" s="124" t="s">
        <v>98</v>
      </c>
      <c r="F348" s="124">
        <v>5.540573868E9</v>
      </c>
      <c r="G348" s="124" t="s">
        <v>1829</v>
      </c>
      <c r="H348" s="124" t="s">
        <v>101</v>
      </c>
      <c r="I348" s="128"/>
      <c r="J348" s="124" t="s">
        <v>1830</v>
      </c>
      <c r="K348" s="124" t="s">
        <v>1831</v>
      </c>
      <c r="L348" s="124">
        <v>5.537869718E9</v>
      </c>
      <c r="M348" s="128"/>
      <c r="N348" s="128"/>
      <c r="O348" s="128"/>
      <c r="P348" s="129">
        <v>17.0</v>
      </c>
      <c r="Q348" s="130">
        <v>46040.591840277775</v>
      </c>
      <c r="R348" s="124" t="s">
        <v>107</v>
      </c>
      <c r="S348" s="124" t="s">
        <v>109</v>
      </c>
      <c r="T348" s="124" t="s">
        <v>192</v>
      </c>
      <c r="U348" s="124" t="s">
        <v>485</v>
      </c>
      <c r="V348" s="124" t="s">
        <v>486</v>
      </c>
      <c r="W348" s="124" t="s">
        <v>487</v>
      </c>
      <c r="X348" s="124" t="s">
        <v>120</v>
      </c>
      <c r="Y348" s="128"/>
      <c r="Z348" s="124" t="s">
        <v>117</v>
      </c>
      <c r="AA348" s="124" t="s">
        <v>1846</v>
      </c>
      <c r="AB348" s="124" t="s">
        <v>117</v>
      </c>
      <c r="AC348" s="124" t="s">
        <v>117</v>
      </c>
      <c r="AD348" s="128"/>
      <c r="AE348" s="124" t="s">
        <v>120</v>
      </c>
      <c r="AF348" s="128"/>
      <c r="AG348" s="124" t="s">
        <v>117</v>
      </c>
      <c r="AH348" s="124" t="s">
        <v>1850</v>
      </c>
      <c r="AI348" s="124" t="s">
        <v>120</v>
      </c>
      <c r="AJ348" s="128"/>
      <c r="AK348" s="128"/>
      <c r="AL348" s="124" t="s">
        <v>216</v>
      </c>
      <c r="AM348" s="124" t="s">
        <v>141</v>
      </c>
      <c r="AN348" s="124" t="s">
        <v>138</v>
      </c>
      <c r="AO348" s="124" t="s">
        <v>156</v>
      </c>
      <c r="AP348" s="124"/>
    </row>
    <row r="349">
      <c r="A349" s="124" t="s">
        <v>2848</v>
      </c>
      <c r="B349" s="124" t="s">
        <v>2849</v>
      </c>
      <c r="C349" s="124" t="s">
        <v>2850</v>
      </c>
      <c r="D349" s="127">
        <v>38909.0</v>
      </c>
      <c r="E349" s="124" t="s">
        <v>177</v>
      </c>
      <c r="F349" s="124" t="s">
        <v>2851</v>
      </c>
      <c r="G349" s="124" t="s">
        <v>2852</v>
      </c>
      <c r="H349" s="124" t="s">
        <v>101</v>
      </c>
      <c r="I349" s="124" t="s">
        <v>2853</v>
      </c>
      <c r="J349" s="124" t="s">
        <v>2854</v>
      </c>
      <c r="K349" s="124" t="s">
        <v>2855</v>
      </c>
      <c r="L349" s="124">
        <v>5.516101237E9</v>
      </c>
      <c r="M349" s="128"/>
      <c r="N349" s="128"/>
      <c r="O349" s="128"/>
      <c r="P349" s="129">
        <v>19.0</v>
      </c>
      <c r="Q349" s="130">
        <v>46040.86215277778</v>
      </c>
      <c r="R349" s="124" t="s">
        <v>107</v>
      </c>
      <c r="S349" s="124" t="s">
        <v>125</v>
      </c>
      <c r="T349" s="124" t="s">
        <v>192</v>
      </c>
      <c r="U349" s="124" t="s">
        <v>749</v>
      </c>
      <c r="V349" s="124" t="s">
        <v>750</v>
      </c>
      <c r="W349" s="124" t="s">
        <v>751</v>
      </c>
      <c r="X349" s="124" t="s">
        <v>117</v>
      </c>
      <c r="Y349" s="128"/>
      <c r="Z349" s="124" t="s">
        <v>117</v>
      </c>
      <c r="AA349" s="128"/>
      <c r="AB349" s="124" t="s">
        <v>117</v>
      </c>
      <c r="AC349" s="124" t="s">
        <v>120</v>
      </c>
      <c r="AD349" s="128"/>
      <c r="AE349" s="124" t="s">
        <v>120</v>
      </c>
      <c r="AF349" s="128"/>
      <c r="AG349" s="124" t="s">
        <v>117</v>
      </c>
      <c r="AH349" s="128"/>
      <c r="AI349" s="124" t="s">
        <v>120</v>
      </c>
      <c r="AJ349" s="128"/>
      <c r="AK349" s="128"/>
      <c r="AL349" s="124" t="s">
        <v>156</v>
      </c>
      <c r="AM349" s="124" t="s">
        <v>138</v>
      </c>
      <c r="AN349" s="124" t="s">
        <v>242</v>
      </c>
      <c r="AO349" s="124" t="s">
        <v>128</v>
      </c>
      <c r="AP349" s="124"/>
    </row>
    <row r="350">
      <c r="A350" s="124" t="s">
        <v>3967</v>
      </c>
      <c r="B350" s="124" t="s">
        <v>3968</v>
      </c>
      <c r="C350" s="128"/>
      <c r="D350" s="127">
        <v>40176.0</v>
      </c>
      <c r="E350" s="124" t="s">
        <v>98</v>
      </c>
      <c r="F350" s="124">
        <v>5.658046567E9</v>
      </c>
      <c r="G350" s="124" t="s">
        <v>3969</v>
      </c>
      <c r="H350" s="124" t="s">
        <v>101</v>
      </c>
      <c r="I350" s="124" t="s">
        <v>135</v>
      </c>
      <c r="J350" s="124" t="s">
        <v>3970</v>
      </c>
      <c r="K350" s="124" t="s">
        <v>952</v>
      </c>
      <c r="L350" s="124">
        <v>5.519839417E9</v>
      </c>
      <c r="M350" s="128"/>
      <c r="N350" s="128"/>
      <c r="O350" s="128"/>
      <c r="P350" s="129">
        <v>16.0</v>
      </c>
      <c r="Q350" s="130">
        <v>46036.409050925926</v>
      </c>
      <c r="R350" s="124" t="s">
        <v>107</v>
      </c>
      <c r="S350" s="124" t="s">
        <v>109</v>
      </c>
      <c r="T350" s="124" t="s">
        <v>208</v>
      </c>
      <c r="U350" s="124" t="s">
        <v>788</v>
      </c>
      <c r="V350" s="124" t="s">
        <v>789</v>
      </c>
      <c r="W350" s="124" t="s">
        <v>790</v>
      </c>
      <c r="X350" s="124" t="s">
        <v>120</v>
      </c>
      <c r="Y350" s="128"/>
      <c r="Z350" s="124" t="s">
        <v>120</v>
      </c>
      <c r="AA350" s="128"/>
      <c r="AB350" s="124" t="s">
        <v>120</v>
      </c>
      <c r="AC350" s="124" t="s">
        <v>120</v>
      </c>
      <c r="AD350" s="128"/>
      <c r="AE350" s="124" t="s">
        <v>120</v>
      </c>
      <c r="AF350" s="128"/>
      <c r="AG350" s="124" t="s">
        <v>120</v>
      </c>
      <c r="AH350" s="128"/>
      <c r="AI350" s="124" t="s">
        <v>120</v>
      </c>
      <c r="AJ350" s="128"/>
      <c r="AK350" s="128"/>
      <c r="AL350" s="124" t="s">
        <v>156</v>
      </c>
      <c r="AM350" s="124" t="s">
        <v>185</v>
      </c>
      <c r="AN350" s="124" t="s">
        <v>126</v>
      </c>
      <c r="AO350" s="124" t="s">
        <v>138</v>
      </c>
      <c r="AP350" s="124"/>
    </row>
    <row r="351">
      <c r="A351" s="124" t="s">
        <v>3971</v>
      </c>
      <c r="B351" s="124" t="s">
        <v>2220</v>
      </c>
      <c r="C351" s="124" t="s">
        <v>3972</v>
      </c>
      <c r="D351" s="127">
        <v>40894.0</v>
      </c>
      <c r="E351" s="124" t="s">
        <v>177</v>
      </c>
      <c r="F351" s="124">
        <v>7.771751687E9</v>
      </c>
      <c r="G351" s="124" t="s">
        <v>3973</v>
      </c>
      <c r="H351" s="124" t="s">
        <v>101</v>
      </c>
      <c r="I351" s="128"/>
      <c r="J351" s="124" t="s">
        <v>2229</v>
      </c>
      <c r="K351" s="124" t="s">
        <v>2232</v>
      </c>
      <c r="L351" s="124">
        <v>5.534621137E9</v>
      </c>
      <c r="M351" s="128"/>
      <c r="N351" s="128"/>
      <c r="O351" s="128"/>
      <c r="P351" s="129">
        <v>14.0</v>
      </c>
      <c r="Q351" s="130">
        <v>46021.5772337963</v>
      </c>
      <c r="R351" s="124" t="s">
        <v>107</v>
      </c>
      <c r="S351" s="124" t="s">
        <v>109</v>
      </c>
      <c r="T351" s="124" t="s">
        <v>204</v>
      </c>
      <c r="U351" s="124" t="s">
        <v>205</v>
      </c>
      <c r="V351" s="124" t="s">
        <v>206</v>
      </c>
      <c r="W351" s="124" t="s">
        <v>207</v>
      </c>
      <c r="X351" s="124" t="s">
        <v>120</v>
      </c>
      <c r="Y351" s="128"/>
      <c r="Z351" s="124" t="s">
        <v>120</v>
      </c>
      <c r="AA351" s="128"/>
      <c r="AB351" s="124" t="s">
        <v>120</v>
      </c>
      <c r="AC351" s="124" t="s">
        <v>120</v>
      </c>
      <c r="AD351" s="128"/>
      <c r="AE351" s="124" t="s">
        <v>120</v>
      </c>
      <c r="AF351" s="128"/>
      <c r="AG351" s="124" t="s">
        <v>120</v>
      </c>
      <c r="AH351" s="128"/>
      <c r="AI351" s="124" t="s">
        <v>120</v>
      </c>
      <c r="AJ351" s="128"/>
      <c r="AK351" s="128"/>
      <c r="AL351" s="124" t="s">
        <v>126</v>
      </c>
      <c r="AM351" s="124" t="s">
        <v>185</v>
      </c>
      <c r="AN351" s="124" t="s">
        <v>242</v>
      </c>
      <c r="AO351" s="124" t="s">
        <v>138</v>
      </c>
      <c r="AP351" s="124"/>
    </row>
    <row r="352">
      <c r="A352" s="124" t="s">
        <v>3974</v>
      </c>
      <c r="B352" s="124" t="s">
        <v>3975</v>
      </c>
      <c r="C352" s="124" t="s">
        <v>3976</v>
      </c>
      <c r="D352" s="127">
        <v>40065.0</v>
      </c>
      <c r="E352" s="124" t="s">
        <v>177</v>
      </c>
      <c r="F352" s="124">
        <v>5.570495691E9</v>
      </c>
      <c r="G352" s="124" t="s">
        <v>3977</v>
      </c>
      <c r="H352" s="124" t="s">
        <v>150</v>
      </c>
      <c r="I352" s="124" t="s">
        <v>584</v>
      </c>
      <c r="J352" s="124" t="s">
        <v>3978</v>
      </c>
      <c r="K352" s="124" t="s">
        <v>3979</v>
      </c>
      <c r="L352" s="124">
        <v>5.534224358E9</v>
      </c>
      <c r="M352" s="128"/>
      <c r="N352" s="128"/>
      <c r="O352" s="128"/>
      <c r="P352" s="129">
        <v>16.0</v>
      </c>
      <c r="Q352" s="130">
        <v>46036.87761574074</v>
      </c>
      <c r="R352" s="124" t="s">
        <v>107</v>
      </c>
      <c r="S352" s="124" t="s">
        <v>109</v>
      </c>
      <c r="T352" s="124" t="s">
        <v>192</v>
      </c>
      <c r="U352" s="124" t="s">
        <v>505</v>
      </c>
      <c r="V352" s="124" t="s">
        <v>506</v>
      </c>
      <c r="W352" s="124" t="s">
        <v>507</v>
      </c>
      <c r="X352" s="124" t="s">
        <v>120</v>
      </c>
      <c r="Y352" s="128"/>
      <c r="Z352" s="124" t="s">
        <v>120</v>
      </c>
      <c r="AA352" s="128"/>
      <c r="AB352" s="124" t="s">
        <v>120</v>
      </c>
      <c r="AC352" s="128"/>
      <c r="AD352" s="128"/>
      <c r="AE352" s="124" t="s">
        <v>120</v>
      </c>
      <c r="AF352" s="128"/>
      <c r="AG352" s="124" t="s">
        <v>120</v>
      </c>
      <c r="AH352" s="128"/>
      <c r="AI352" s="124" t="s">
        <v>120</v>
      </c>
      <c r="AJ352" s="128"/>
      <c r="AK352" s="128"/>
      <c r="AL352" s="124" t="s">
        <v>216</v>
      </c>
      <c r="AM352" s="124" t="s">
        <v>185</v>
      </c>
      <c r="AN352" s="124" t="s">
        <v>138</v>
      </c>
      <c r="AO352" s="124" t="s">
        <v>124</v>
      </c>
      <c r="AP352" s="124"/>
    </row>
    <row r="353">
      <c r="A353" s="124" t="s">
        <v>3980</v>
      </c>
      <c r="B353" s="124" t="s">
        <v>891</v>
      </c>
      <c r="C353" s="124" t="s">
        <v>3981</v>
      </c>
      <c r="D353" s="127">
        <v>40124.0</v>
      </c>
      <c r="E353" s="124" t="s">
        <v>177</v>
      </c>
      <c r="F353" s="128" t="str">
        <f>+52 55 7507 8974</f>
        <v>#ERROR!</v>
      </c>
      <c r="G353" s="124" t="s">
        <v>3982</v>
      </c>
      <c r="H353" s="124" t="s">
        <v>150</v>
      </c>
      <c r="I353" s="128"/>
      <c r="J353" s="124" t="s">
        <v>3983</v>
      </c>
      <c r="K353" s="124" t="s">
        <v>3984</v>
      </c>
      <c r="L353" s="124">
        <v>5.610667684E9</v>
      </c>
      <c r="M353" s="124" t="s">
        <v>897</v>
      </c>
      <c r="N353" s="124" t="s">
        <v>3985</v>
      </c>
      <c r="O353" s="124">
        <v>5.628280987E9</v>
      </c>
      <c r="P353" s="129">
        <v>16.0</v>
      </c>
      <c r="Q353" s="130">
        <v>46027.55087962963</v>
      </c>
      <c r="R353" s="124" t="s">
        <v>107</v>
      </c>
      <c r="S353" s="124" t="s">
        <v>109</v>
      </c>
      <c r="T353" s="124" t="s">
        <v>127</v>
      </c>
      <c r="U353" s="124" t="s">
        <v>672</v>
      </c>
      <c r="V353" s="124" t="s">
        <v>673</v>
      </c>
      <c r="W353" s="124" t="s">
        <v>674</v>
      </c>
      <c r="X353" s="124" t="s">
        <v>120</v>
      </c>
      <c r="Y353" s="128"/>
      <c r="Z353" s="124" t="s">
        <v>120</v>
      </c>
      <c r="AA353" s="128"/>
      <c r="AB353" s="124" t="s">
        <v>120</v>
      </c>
      <c r="AC353" s="124" t="s">
        <v>120</v>
      </c>
      <c r="AD353" s="128"/>
      <c r="AE353" s="124" t="s">
        <v>120</v>
      </c>
      <c r="AF353" s="128"/>
      <c r="AG353" s="124" t="s">
        <v>120</v>
      </c>
      <c r="AH353" s="128"/>
      <c r="AI353" s="124" t="s">
        <v>120</v>
      </c>
      <c r="AJ353" s="128"/>
      <c r="AK353" s="128"/>
      <c r="AL353" s="124" t="s">
        <v>138</v>
      </c>
      <c r="AM353" s="124" t="s">
        <v>242</v>
      </c>
      <c r="AN353" s="124" t="s">
        <v>185</v>
      </c>
      <c r="AO353" s="124" t="s">
        <v>124</v>
      </c>
      <c r="AP353" s="124"/>
    </row>
    <row r="354">
      <c r="A354" s="124" t="s">
        <v>1854</v>
      </c>
      <c r="B354" s="124" t="s">
        <v>1855</v>
      </c>
      <c r="C354" s="124" t="s">
        <v>1856</v>
      </c>
      <c r="D354" s="127">
        <v>41033.0</v>
      </c>
      <c r="E354" s="124" t="s">
        <v>177</v>
      </c>
      <c r="F354" s="124">
        <v>5.635348445E9</v>
      </c>
      <c r="G354" s="124" t="s">
        <v>1860</v>
      </c>
      <c r="H354" s="124" t="s">
        <v>101</v>
      </c>
      <c r="I354" s="128"/>
      <c r="J354" s="124" t="s">
        <v>1861</v>
      </c>
      <c r="K354" s="124" t="s">
        <v>1863</v>
      </c>
      <c r="L354" s="124">
        <v>5.542196096E9</v>
      </c>
      <c r="M354" s="124" t="s">
        <v>1864</v>
      </c>
      <c r="N354" s="124" t="s">
        <v>1868</v>
      </c>
      <c r="O354" s="124">
        <v>5.528508502E9</v>
      </c>
      <c r="P354" s="129">
        <v>13.0</v>
      </c>
      <c r="Q354" s="130">
        <v>46040.583715277775</v>
      </c>
      <c r="R354" s="124" t="s">
        <v>107</v>
      </c>
      <c r="S354" s="124" t="s">
        <v>109</v>
      </c>
      <c r="T354" s="124" t="s">
        <v>171</v>
      </c>
      <c r="U354" s="124" t="s">
        <v>1474</v>
      </c>
      <c r="V354" s="124" t="s">
        <v>1475</v>
      </c>
      <c r="W354" s="124" t="s">
        <v>1476</v>
      </c>
      <c r="X354" s="124" t="s">
        <v>120</v>
      </c>
      <c r="Y354" s="128"/>
      <c r="Z354" s="124" t="s">
        <v>117</v>
      </c>
      <c r="AA354" s="124" t="s">
        <v>1875</v>
      </c>
      <c r="AB354" s="124" t="s">
        <v>117</v>
      </c>
      <c r="AC354" s="124" t="s">
        <v>117</v>
      </c>
      <c r="AD354" s="124" t="s">
        <v>1876</v>
      </c>
      <c r="AE354" s="124" t="s">
        <v>117</v>
      </c>
      <c r="AF354" s="124" t="s">
        <v>1878</v>
      </c>
      <c r="AG354" s="124" t="s">
        <v>120</v>
      </c>
      <c r="AH354" s="128"/>
      <c r="AI354" s="124" t="s">
        <v>120</v>
      </c>
      <c r="AJ354" s="128"/>
      <c r="AK354" s="124" t="s">
        <v>1880</v>
      </c>
      <c r="AL354" s="124" t="s">
        <v>185</v>
      </c>
      <c r="AM354" s="124" t="s">
        <v>126</v>
      </c>
      <c r="AN354" s="124" t="s">
        <v>216</v>
      </c>
      <c r="AO354" s="124" t="s">
        <v>242</v>
      </c>
      <c r="AP354" s="124"/>
    </row>
    <row r="355">
      <c r="A355" s="124" t="s">
        <v>3986</v>
      </c>
      <c r="B355" s="124" t="s">
        <v>3348</v>
      </c>
      <c r="C355" s="124" t="s">
        <v>3987</v>
      </c>
      <c r="D355" s="127">
        <v>40867.0</v>
      </c>
      <c r="E355" s="124" t="s">
        <v>98</v>
      </c>
      <c r="F355" s="124">
        <v>5.540761768E9</v>
      </c>
      <c r="G355" s="124" t="s">
        <v>3351</v>
      </c>
      <c r="H355" s="124" t="s">
        <v>140</v>
      </c>
      <c r="I355" s="128"/>
      <c r="J355" s="124" t="s">
        <v>3352</v>
      </c>
      <c r="K355" s="124" t="s">
        <v>3351</v>
      </c>
      <c r="L355" s="124" t="s">
        <v>3353</v>
      </c>
      <c r="M355" s="128"/>
      <c r="N355" s="128"/>
      <c r="O355" s="128"/>
      <c r="P355" s="129">
        <v>14.0</v>
      </c>
      <c r="Q355" s="130">
        <v>46040.940347222226</v>
      </c>
      <c r="R355" s="124" t="s">
        <v>107</v>
      </c>
      <c r="S355" s="124" t="s">
        <v>109</v>
      </c>
      <c r="T355" s="124" t="s">
        <v>192</v>
      </c>
      <c r="U355" s="124" t="s">
        <v>485</v>
      </c>
      <c r="V355" s="124" t="s">
        <v>486</v>
      </c>
      <c r="W355" s="124" t="s">
        <v>487</v>
      </c>
      <c r="X355" s="124" t="s">
        <v>120</v>
      </c>
      <c r="Y355" s="128"/>
      <c r="Z355" s="124" t="s">
        <v>120</v>
      </c>
      <c r="AA355" s="128"/>
      <c r="AB355" s="124" t="s">
        <v>120</v>
      </c>
      <c r="AC355" s="124" t="s">
        <v>120</v>
      </c>
      <c r="AD355" s="128"/>
      <c r="AE355" s="124" t="s">
        <v>120</v>
      </c>
      <c r="AF355" s="128"/>
      <c r="AG355" s="124" t="s">
        <v>120</v>
      </c>
      <c r="AH355" s="128"/>
      <c r="AI355" s="124" t="s">
        <v>120</v>
      </c>
      <c r="AJ355" s="128"/>
      <c r="AK355" s="128"/>
      <c r="AL355" s="124" t="s">
        <v>242</v>
      </c>
      <c r="AM355" s="124" t="s">
        <v>124</v>
      </c>
      <c r="AN355" s="124" t="s">
        <v>138</v>
      </c>
      <c r="AO355" s="124" t="s">
        <v>128</v>
      </c>
      <c r="AP355" s="124"/>
    </row>
    <row r="356">
      <c r="A356" s="124" t="s">
        <v>3988</v>
      </c>
      <c r="B356" s="124" t="s">
        <v>3989</v>
      </c>
      <c r="C356" s="124" t="s">
        <v>3990</v>
      </c>
      <c r="D356" s="127">
        <v>39630.0</v>
      </c>
      <c r="E356" s="124" t="s">
        <v>177</v>
      </c>
      <c r="F356" s="124">
        <v>5.512346255E9</v>
      </c>
      <c r="G356" s="124" t="s">
        <v>3991</v>
      </c>
      <c r="H356" s="124" t="s">
        <v>150</v>
      </c>
      <c r="I356" s="128"/>
      <c r="J356" s="124" t="s">
        <v>3992</v>
      </c>
      <c r="K356" s="124" t="s">
        <v>3993</v>
      </c>
      <c r="L356" s="124">
        <v>5.545530714E9</v>
      </c>
      <c r="M356" s="128"/>
      <c r="N356" s="128"/>
      <c r="O356" s="128"/>
      <c r="P356" s="129">
        <v>17.0</v>
      </c>
      <c r="Q356" s="130">
        <v>46041.504791666666</v>
      </c>
      <c r="R356" s="124" t="s">
        <v>107</v>
      </c>
      <c r="S356" s="124" t="s">
        <v>109</v>
      </c>
      <c r="T356" s="124" t="s">
        <v>111</v>
      </c>
      <c r="U356" s="124" t="s">
        <v>2283</v>
      </c>
      <c r="V356" s="124" t="s">
        <v>2285</v>
      </c>
      <c r="W356" s="124" t="s">
        <v>2286</v>
      </c>
      <c r="X356" s="124" t="s">
        <v>120</v>
      </c>
      <c r="Y356" s="128"/>
      <c r="Z356" s="124" t="s">
        <v>120</v>
      </c>
      <c r="AA356" s="128"/>
      <c r="AB356" s="124" t="s">
        <v>120</v>
      </c>
      <c r="AC356" s="128"/>
      <c r="AD356" s="128"/>
      <c r="AE356" s="124" t="s">
        <v>120</v>
      </c>
      <c r="AF356" s="128"/>
      <c r="AG356" s="124" t="s">
        <v>120</v>
      </c>
      <c r="AH356" s="128"/>
      <c r="AI356" s="124" t="s">
        <v>120</v>
      </c>
      <c r="AJ356" s="128"/>
      <c r="AK356" s="128"/>
      <c r="AL356" s="124" t="s">
        <v>128</v>
      </c>
      <c r="AM356" s="124" t="s">
        <v>185</v>
      </c>
      <c r="AN356" s="124" t="s">
        <v>156</v>
      </c>
      <c r="AO356" s="124" t="s">
        <v>124</v>
      </c>
      <c r="AP356" s="124"/>
    </row>
    <row r="357">
      <c r="A357" s="124" t="s">
        <v>3994</v>
      </c>
      <c r="B357" s="124" t="s">
        <v>3995</v>
      </c>
      <c r="C357" s="124" t="s">
        <v>3996</v>
      </c>
      <c r="D357" s="127">
        <v>40093.0</v>
      </c>
      <c r="E357" s="124" t="s">
        <v>98</v>
      </c>
      <c r="F357" s="124">
        <v>5.565243628E9</v>
      </c>
      <c r="G357" s="124" t="s">
        <v>3997</v>
      </c>
      <c r="H357" s="124" t="s">
        <v>140</v>
      </c>
      <c r="I357" s="124" t="s">
        <v>783</v>
      </c>
      <c r="J357" s="124" t="s">
        <v>3998</v>
      </c>
      <c r="K357" s="124" t="s">
        <v>3999</v>
      </c>
      <c r="L357" s="124">
        <v>5.568794778E9</v>
      </c>
      <c r="M357" s="124" t="s">
        <v>4000</v>
      </c>
      <c r="N357" s="124" t="s">
        <v>4001</v>
      </c>
      <c r="O357" s="124">
        <v>5.539691329E9</v>
      </c>
      <c r="P357" s="129">
        <v>16.0</v>
      </c>
      <c r="Q357" s="130">
        <v>46019.67239583333</v>
      </c>
      <c r="R357" s="124" t="s">
        <v>546</v>
      </c>
      <c r="S357" s="124" t="s">
        <v>109</v>
      </c>
      <c r="T357" s="124" t="s">
        <v>127</v>
      </c>
      <c r="U357" s="124" t="s">
        <v>531</v>
      </c>
      <c r="V357" s="124" t="s">
        <v>532</v>
      </c>
      <c r="W357" s="124" t="s">
        <v>534</v>
      </c>
      <c r="X357" s="124" t="s">
        <v>120</v>
      </c>
      <c r="Y357" s="124" t="s">
        <v>783</v>
      </c>
      <c r="Z357" s="124" t="s">
        <v>120</v>
      </c>
      <c r="AA357" s="124" t="s">
        <v>783</v>
      </c>
      <c r="AB357" s="124" t="s">
        <v>120</v>
      </c>
      <c r="AC357" s="124" t="s">
        <v>120</v>
      </c>
      <c r="AD357" s="124" t="s">
        <v>783</v>
      </c>
      <c r="AE357" s="124" t="s">
        <v>120</v>
      </c>
      <c r="AF357" s="124" t="s">
        <v>783</v>
      </c>
      <c r="AG357" s="124" t="s">
        <v>120</v>
      </c>
      <c r="AH357" s="124" t="s">
        <v>783</v>
      </c>
      <c r="AI357" s="124" t="s">
        <v>120</v>
      </c>
      <c r="AJ357" s="124" t="s">
        <v>783</v>
      </c>
      <c r="AK357" s="124" t="s">
        <v>783</v>
      </c>
      <c r="AL357" s="124" t="s">
        <v>129</v>
      </c>
      <c r="AM357" s="124" t="s">
        <v>124</v>
      </c>
      <c r="AN357" s="124" t="s">
        <v>138</v>
      </c>
      <c r="AO357" s="124" t="s">
        <v>185</v>
      </c>
      <c r="AP357" s="124"/>
    </row>
    <row r="358">
      <c r="A358" s="124" t="s">
        <v>4002</v>
      </c>
      <c r="B358" s="124" t="s">
        <v>4003</v>
      </c>
      <c r="C358" s="124" t="s">
        <v>4004</v>
      </c>
      <c r="D358" s="127">
        <v>41040.0</v>
      </c>
      <c r="E358" s="124" t="s">
        <v>98</v>
      </c>
      <c r="F358" s="124">
        <v>5.549000705E9</v>
      </c>
      <c r="G358" s="124" t="s">
        <v>4005</v>
      </c>
      <c r="H358" s="124" t="s">
        <v>101</v>
      </c>
      <c r="I358" s="124" t="s">
        <v>4006</v>
      </c>
      <c r="J358" s="124" t="s">
        <v>4007</v>
      </c>
      <c r="K358" s="124" t="s">
        <v>4008</v>
      </c>
      <c r="L358" s="124">
        <v>5.51504187E9</v>
      </c>
      <c r="M358" s="128"/>
      <c r="N358" s="128"/>
      <c r="O358" s="128"/>
      <c r="P358" s="129">
        <v>13.0</v>
      </c>
      <c r="Q358" s="130">
        <v>46039.7362037037</v>
      </c>
      <c r="R358" s="124" t="s">
        <v>107</v>
      </c>
      <c r="S358" s="124" t="s">
        <v>109</v>
      </c>
      <c r="T358" s="124" t="s">
        <v>127</v>
      </c>
      <c r="U358" s="124" t="s">
        <v>672</v>
      </c>
      <c r="V358" s="124" t="s">
        <v>673</v>
      </c>
      <c r="W358" s="124" t="s">
        <v>674</v>
      </c>
      <c r="X358" s="124" t="s">
        <v>120</v>
      </c>
      <c r="Y358" s="128"/>
      <c r="Z358" s="124" t="s">
        <v>120</v>
      </c>
      <c r="AA358" s="128"/>
      <c r="AB358" s="124" t="s">
        <v>120</v>
      </c>
      <c r="AC358" s="128"/>
      <c r="AD358" s="128"/>
      <c r="AE358" s="124" t="s">
        <v>120</v>
      </c>
      <c r="AF358" s="128"/>
      <c r="AG358" s="124" t="s">
        <v>120</v>
      </c>
      <c r="AH358" s="128"/>
      <c r="AI358" s="124" t="s">
        <v>120</v>
      </c>
      <c r="AJ358" s="128"/>
      <c r="AK358" s="128"/>
      <c r="AL358" s="124" t="s">
        <v>240</v>
      </c>
      <c r="AM358" s="124" t="s">
        <v>138</v>
      </c>
      <c r="AN358" s="124" t="s">
        <v>156</v>
      </c>
      <c r="AO358" s="124" t="s">
        <v>129</v>
      </c>
      <c r="AP358" s="124"/>
    </row>
    <row r="359">
      <c r="A359" s="124" t="s">
        <v>2349</v>
      </c>
      <c r="B359" s="124" t="s">
        <v>2109</v>
      </c>
      <c r="C359" s="124" t="s">
        <v>2352</v>
      </c>
      <c r="D359" s="127">
        <v>38678.0</v>
      </c>
      <c r="E359" s="124" t="s">
        <v>98</v>
      </c>
      <c r="F359" s="124" t="s">
        <v>2353</v>
      </c>
      <c r="G359" s="124" t="s">
        <v>2354</v>
      </c>
      <c r="H359" s="124" t="s">
        <v>140</v>
      </c>
      <c r="I359" s="128"/>
      <c r="J359" s="124" t="s">
        <v>2355</v>
      </c>
      <c r="K359" s="124" t="s">
        <v>2356</v>
      </c>
      <c r="L359" s="124">
        <v>5.542708889E9</v>
      </c>
      <c r="M359" s="124" t="s">
        <v>2357</v>
      </c>
      <c r="N359" s="124" t="s">
        <v>2354</v>
      </c>
      <c r="O359" s="124">
        <v>5.531576562E9</v>
      </c>
      <c r="P359" s="129">
        <v>20.0</v>
      </c>
      <c r="Q359" s="130">
        <v>46033.51939814815</v>
      </c>
      <c r="R359" s="124" t="s">
        <v>107</v>
      </c>
      <c r="S359" s="124" t="s">
        <v>125</v>
      </c>
      <c r="T359" s="124" t="s">
        <v>127</v>
      </c>
      <c r="U359" s="124" t="s">
        <v>130</v>
      </c>
      <c r="V359" s="124" t="s">
        <v>131</v>
      </c>
      <c r="W359" s="124" t="s">
        <v>132</v>
      </c>
      <c r="X359" s="124" t="s">
        <v>120</v>
      </c>
      <c r="Y359" s="128"/>
      <c r="Z359" s="124" t="s">
        <v>120</v>
      </c>
      <c r="AA359" s="128"/>
      <c r="AB359" s="124" t="s">
        <v>120</v>
      </c>
      <c r="AC359" s="124" t="s">
        <v>120</v>
      </c>
      <c r="AD359" s="128"/>
      <c r="AE359" s="124" t="s">
        <v>120</v>
      </c>
      <c r="AF359" s="128"/>
      <c r="AG359" s="124" t="s">
        <v>120</v>
      </c>
      <c r="AH359" s="128"/>
      <c r="AI359" s="124" t="s">
        <v>120</v>
      </c>
      <c r="AJ359" s="128"/>
      <c r="AK359" s="128"/>
      <c r="AL359" s="124" t="s">
        <v>138</v>
      </c>
      <c r="AM359" s="124" t="s">
        <v>240</v>
      </c>
      <c r="AN359" s="124" t="s">
        <v>126</v>
      </c>
      <c r="AO359" s="124" t="s">
        <v>185</v>
      </c>
      <c r="AP359" s="124"/>
    </row>
    <row r="360">
      <c r="A360" s="124" t="s">
        <v>1690</v>
      </c>
      <c r="B360" s="124" t="s">
        <v>1691</v>
      </c>
      <c r="C360" s="124" t="s">
        <v>1692</v>
      </c>
      <c r="D360" s="127">
        <v>40575.0</v>
      </c>
      <c r="E360" s="124" t="s">
        <v>177</v>
      </c>
      <c r="F360" s="124">
        <v>5.544044844E9</v>
      </c>
      <c r="G360" s="124" t="s">
        <v>1693</v>
      </c>
      <c r="H360" s="124" t="s">
        <v>101</v>
      </c>
      <c r="I360" s="128"/>
      <c r="J360" s="124" t="s">
        <v>1694</v>
      </c>
      <c r="K360" s="124" t="s">
        <v>1697</v>
      </c>
      <c r="L360" s="124">
        <v>5.583677919E9</v>
      </c>
      <c r="M360" s="128"/>
      <c r="N360" s="128"/>
      <c r="O360" s="128"/>
      <c r="P360" s="129">
        <v>15.0</v>
      </c>
      <c r="Q360" s="130">
        <v>46039.514328703706</v>
      </c>
      <c r="R360" s="124" t="s">
        <v>107</v>
      </c>
      <c r="S360" s="124" t="s">
        <v>109</v>
      </c>
      <c r="T360" s="124" t="s">
        <v>204</v>
      </c>
      <c r="U360" s="124" t="s">
        <v>367</v>
      </c>
      <c r="V360" s="124" t="s">
        <v>368</v>
      </c>
      <c r="W360" s="124" t="s">
        <v>369</v>
      </c>
      <c r="X360" s="124" t="s">
        <v>120</v>
      </c>
      <c r="Y360" s="128"/>
      <c r="Z360" s="124" t="s">
        <v>117</v>
      </c>
      <c r="AA360" s="124" t="s">
        <v>1708</v>
      </c>
      <c r="AB360" s="124" t="s">
        <v>120</v>
      </c>
      <c r="AC360" s="124" t="s">
        <v>120</v>
      </c>
      <c r="AD360" s="128"/>
      <c r="AE360" s="124" t="s">
        <v>120</v>
      </c>
      <c r="AF360" s="128"/>
      <c r="AG360" s="124" t="s">
        <v>120</v>
      </c>
      <c r="AH360" s="128"/>
      <c r="AI360" s="124" t="s">
        <v>117</v>
      </c>
      <c r="AJ360" s="124" t="s">
        <v>1711</v>
      </c>
      <c r="AK360" s="128"/>
      <c r="AL360" s="124" t="s">
        <v>156</v>
      </c>
      <c r="AM360" s="124" t="s">
        <v>185</v>
      </c>
      <c r="AN360" s="124" t="s">
        <v>128</v>
      </c>
      <c r="AO360" s="124" t="s">
        <v>240</v>
      </c>
      <c r="AP360" s="124"/>
    </row>
    <row r="361">
      <c r="A361" s="124" t="s">
        <v>4009</v>
      </c>
      <c r="B361" s="124" t="s">
        <v>4010</v>
      </c>
      <c r="C361" s="124" t="s">
        <v>4011</v>
      </c>
      <c r="D361" s="127">
        <v>41250.0</v>
      </c>
      <c r="E361" s="124" t="s">
        <v>98</v>
      </c>
      <c r="F361" s="124">
        <v>5.510258319E9</v>
      </c>
      <c r="G361" s="124" t="s">
        <v>4012</v>
      </c>
      <c r="H361" s="124" t="s">
        <v>140</v>
      </c>
      <c r="I361" s="128"/>
      <c r="J361" s="124" t="s">
        <v>4013</v>
      </c>
      <c r="K361" s="124" t="s">
        <v>4014</v>
      </c>
      <c r="L361" s="124">
        <v>5.510258319E9</v>
      </c>
      <c r="M361" s="128"/>
      <c r="N361" s="128"/>
      <c r="O361" s="128"/>
      <c r="P361" s="129">
        <v>13.0</v>
      </c>
      <c r="Q361" s="130">
        <v>46040.94819444444</v>
      </c>
      <c r="R361" s="124" t="s">
        <v>260</v>
      </c>
      <c r="S361" s="124" t="s">
        <v>109</v>
      </c>
      <c r="T361" s="124" t="s">
        <v>160</v>
      </c>
      <c r="U361" s="124" t="s">
        <v>1265</v>
      </c>
      <c r="V361" s="124" t="s">
        <v>1267</v>
      </c>
      <c r="W361" s="124" t="s">
        <v>1268</v>
      </c>
      <c r="X361" s="124" t="s">
        <v>120</v>
      </c>
      <c r="Y361" s="128"/>
      <c r="Z361" s="124" t="s">
        <v>117</v>
      </c>
      <c r="AA361" s="124" t="s">
        <v>4015</v>
      </c>
      <c r="AB361" s="124" t="s">
        <v>120</v>
      </c>
      <c r="AC361" s="128"/>
      <c r="AD361" s="128"/>
      <c r="AE361" s="124" t="s">
        <v>120</v>
      </c>
      <c r="AF361" s="128"/>
      <c r="AG361" s="124" t="s">
        <v>120</v>
      </c>
      <c r="AH361" s="128"/>
      <c r="AI361" s="124" t="s">
        <v>120</v>
      </c>
      <c r="AJ361" s="128"/>
      <c r="AK361" s="128"/>
      <c r="AL361" s="124" t="s">
        <v>242</v>
      </c>
      <c r="AM361" s="124" t="s">
        <v>138</v>
      </c>
      <c r="AN361" s="124" t="s">
        <v>240</v>
      </c>
      <c r="AO361" s="124" t="s">
        <v>156</v>
      </c>
      <c r="AP361" s="124"/>
    </row>
    <row r="362">
      <c r="A362" s="124" t="s">
        <v>2367</v>
      </c>
      <c r="B362" s="124" t="s">
        <v>2368</v>
      </c>
      <c r="C362" s="124" t="s">
        <v>2369</v>
      </c>
      <c r="D362" s="127">
        <v>36843.0</v>
      </c>
      <c r="E362" s="124" t="s">
        <v>177</v>
      </c>
      <c r="F362" s="124">
        <v>5.638916506E9</v>
      </c>
      <c r="G362" s="124" t="s">
        <v>2370</v>
      </c>
      <c r="H362" s="124" t="s">
        <v>382</v>
      </c>
      <c r="I362" s="128"/>
      <c r="J362" s="124" t="s">
        <v>2371</v>
      </c>
      <c r="K362" s="124" t="s">
        <v>2372</v>
      </c>
      <c r="L362" s="124">
        <v>7.296435018E9</v>
      </c>
      <c r="M362" s="128"/>
      <c r="N362" s="128"/>
      <c r="O362" s="128"/>
      <c r="P362" s="129">
        <v>25.0</v>
      </c>
      <c r="Q362" s="130">
        <v>46033.51553240741</v>
      </c>
      <c r="R362" s="124" t="s">
        <v>107</v>
      </c>
      <c r="S362" s="124" t="s">
        <v>125</v>
      </c>
      <c r="T362" s="124" t="s">
        <v>171</v>
      </c>
      <c r="U362" s="124" t="s">
        <v>444</v>
      </c>
      <c r="V362" s="124" t="s">
        <v>445</v>
      </c>
      <c r="W362" s="124" t="s">
        <v>446</v>
      </c>
      <c r="X362" s="124" t="s">
        <v>120</v>
      </c>
      <c r="Y362" s="124" t="s">
        <v>1537</v>
      </c>
      <c r="Z362" s="124" t="s">
        <v>120</v>
      </c>
      <c r="AA362" s="124" t="s">
        <v>1537</v>
      </c>
      <c r="AB362" s="124" t="s">
        <v>120</v>
      </c>
      <c r="AC362" s="128"/>
      <c r="AD362" s="124" t="s">
        <v>1537</v>
      </c>
      <c r="AE362" s="124" t="s">
        <v>120</v>
      </c>
      <c r="AF362" s="124" t="s">
        <v>1537</v>
      </c>
      <c r="AG362" s="124" t="s">
        <v>120</v>
      </c>
      <c r="AH362" s="124" t="s">
        <v>1537</v>
      </c>
      <c r="AI362" s="124" t="s">
        <v>120</v>
      </c>
      <c r="AJ362" s="124" t="s">
        <v>1537</v>
      </c>
      <c r="AK362" s="124" t="s">
        <v>1537</v>
      </c>
      <c r="AL362" s="124" t="s">
        <v>129</v>
      </c>
      <c r="AM362" s="124" t="s">
        <v>141</v>
      </c>
      <c r="AN362" s="124" t="s">
        <v>138</v>
      </c>
      <c r="AO362" s="124" t="s">
        <v>128</v>
      </c>
      <c r="AP362" s="124"/>
    </row>
    <row r="363">
      <c r="A363" s="124" t="s">
        <v>4016</v>
      </c>
      <c r="B363" s="124" t="s">
        <v>4017</v>
      </c>
      <c r="C363" s="124" t="s">
        <v>4018</v>
      </c>
      <c r="D363" s="127">
        <v>37622.0</v>
      </c>
      <c r="E363" s="124" t="s">
        <v>98</v>
      </c>
      <c r="F363" s="124">
        <v>4.425447698E9</v>
      </c>
      <c r="G363" s="124" t="s">
        <v>3125</v>
      </c>
      <c r="H363" s="124" t="s">
        <v>101</v>
      </c>
      <c r="I363" s="124" t="s">
        <v>4019</v>
      </c>
      <c r="J363" s="124" t="s">
        <v>3120</v>
      </c>
      <c r="K363" s="124" t="s">
        <v>3123</v>
      </c>
      <c r="L363" s="124">
        <v>5.579948131E9</v>
      </c>
      <c r="M363" s="128"/>
      <c r="N363" s="128"/>
      <c r="O363" s="128"/>
      <c r="P363" s="129">
        <v>23.0</v>
      </c>
      <c r="Q363" s="130">
        <v>46024.73163194444</v>
      </c>
      <c r="R363" s="124" t="s">
        <v>546</v>
      </c>
      <c r="S363" s="124" t="s">
        <v>125</v>
      </c>
      <c r="T363" s="124" t="s">
        <v>171</v>
      </c>
      <c r="U363" s="124" t="s">
        <v>1048</v>
      </c>
      <c r="V363" s="124" t="s">
        <v>1050</v>
      </c>
      <c r="W363" s="124" t="s">
        <v>1051</v>
      </c>
      <c r="X363" s="124" t="s">
        <v>120</v>
      </c>
      <c r="Y363" s="128"/>
      <c r="Z363" s="124" t="s">
        <v>120</v>
      </c>
      <c r="AA363" s="128"/>
      <c r="AB363" s="124" t="s">
        <v>117</v>
      </c>
      <c r="AC363" s="124" t="s">
        <v>117</v>
      </c>
      <c r="AD363" s="124" t="s">
        <v>4020</v>
      </c>
      <c r="AE363" s="124" t="s">
        <v>120</v>
      </c>
      <c r="AF363" s="128"/>
      <c r="AG363" s="124" t="s">
        <v>120</v>
      </c>
      <c r="AH363" s="128"/>
      <c r="AI363" s="124" t="s">
        <v>120</v>
      </c>
      <c r="AJ363" s="128"/>
      <c r="AK363" s="128"/>
      <c r="AL363" s="124" t="s">
        <v>129</v>
      </c>
      <c r="AM363" s="124" t="s">
        <v>156</v>
      </c>
      <c r="AN363" s="124" t="s">
        <v>242</v>
      </c>
      <c r="AO363" s="124" t="s">
        <v>216</v>
      </c>
      <c r="AP363" s="124"/>
    </row>
    <row r="364">
      <c r="A364" s="124" t="s">
        <v>1884</v>
      </c>
      <c r="B364" s="124" t="s">
        <v>1885</v>
      </c>
      <c r="C364" s="124" t="s">
        <v>1886</v>
      </c>
      <c r="D364" s="127">
        <v>40529.0</v>
      </c>
      <c r="E364" s="124" t="s">
        <v>98</v>
      </c>
      <c r="F364" s="124">
        <v>5.626599942E9</v>
      </c>
      <c r="G364" s="124" t="s">
        <v>1893</v>
      </c>
      <c r="H364" s="124" t="s">
        <v>101</v>
      </c>
      <c r="I364" s="128"/>
      <c r="J364" s="124" t="s">
        <v>1896</v>
      </c>
      <c r="K364" s="124" t="s">
        <v>1898</v>
      </c>
      <c r="L364" s="124">
        <v>5.522527367E9</v>
      </c>
      <c r="M364" s="124" t="s">
        <v>1902</v>
      </c>
      <c r="N364" s="124" t="s">
        <v>1904</v>
      </c>
      <c r="O364" s="124">
        <v>5.517298132E9</v>
      </c>
      <c r="P364" s="129">
        <v>15.0</v>
      </c>
      <c r="Q364" s="130">
        <v>46024.79935185185</v>
      </c>
      <c r="R364" s="124" t="s">
        <v>107</v>
      </c>
      <c r="S364" s="124" t="s">
        <v>109</v>
      </c>
      <c r="T364" s="124" t="s">
        <v>127</v>
      </c>
      <c r="U364" s="124" t="s">
        <v>531</v>
      </c>
      <c r="V364" s="124" t="s">
        <v>532</v>
      </c>
      <c r="W364" s="124" t="s">
        <v>534</v>
      </c>
      <c r="X364" s="124" t="s">
        <v>120</v>
      </c>
      <c r="Y364" s="128"/>
      <c r="Z364" s="124" t="s">
        <v>117</v>
      </c>
      <c r="AA364" s="124" t="s">
        <v>1910</v>
      </c>
      <c r="AB364" s="124" t="s">
        <v>117</v>
      </c>
      <c r="AC364" s="124" t="s">
        <v>117</v>
      </c>
      <c r="AD364" s="124" t="s">
        <v>1053</v>
      </c>
      <c r="AE364" s="124" t="s">
        <v>120</v>
      </c>
      <c r="AF364" s="128"/>
      <c r="AG364" s="124" t="s">
        <v>120</v>
      </c>
      <c r="AH364" s="128"/>
      <c r="AI364" s="124" t="s">
        <v>120</v>
      </c>
      <c r="AJ364" s="128"/>
      <c r="AK364" s="128"/>
      <c r="AL364" s="124" t="s">
        <v>185</v>
      </c>
      <c r="AM364" s="124" t="s">
        <v>216</v>
      </c>
      <c r="AN364" s="124" t="s">
        <v>126</v>
      </c>
      <c r="AO364" s="124" t="s">
        <v>129</v>
      </c>
      <c r="AP364" s="124"/>
    </row>
    <row r="365">
      <c r="A365" s="124" t="s">
        <v>4021</v>
      </c>
      <c r="B365" s="124" t="s">
        <v>4022</v>
      </c>
      <c r="C365" s="124" t="s">
        <v>4023</v>
      </c>
      <c r="D365" s="127">
        <v>39480.0</v>
      </c>
      <c r="E365" s="124" t="s">
        <v>98</v>
      </c>
      <c r="F365" s="124">
        <v>5.518505018E9</v>
      </c>
      <c r="G365" s="124" t="s">
        <v>4024</v>
      </c>
      <c r="H365" s="124" t="s">
        <v>101</v>
      </c>
      <c r="I365" s="128"/>
      <c r="J365" s="124" t="s">
        <v>4025</v>
      </c>
      <c r="K365" s="124" t="s">
        <v>4026</v>
      </c>
      <c r="L365" s="124">
        <v>5.518505018E9</v>
      </c>
      <c r="M365" s="128"/>
      <c r="N365" s="128"/>
      <c r="O365" s="128"/>
      <c r="P365" s="129">
        <v>18.0</v>
      </c>
      <c r="Q365" s="130">
        <v>46040.94770833333</v>
      </c>
      <c r="R365" s="124" t="s">
        <v>107</v>
      </c>
      <c r="S365" s="124" t="s">
        <v>109</v>
      </c>
      <c r="T365" s="124" t="s">
        <v>192</v>
      </c>
      <c r="U365" s="124" t="s">
        <v>749</v>
      </c>
      <c r="V365" s="124" t="s">
        <v>750</v>
      </c>
      <c r="W365" s="124" t="s">
        <v>751</v>
      </c>
      <c r="X365" s="124" t="s">
        <v>120</v>
      </c>
      <c r="Y365" s="128"/>
      <c r="Z365" s="124" t="s">
        <v>120</v>
      </c>
      <c r="AA365" s="128"/>
      <c r="AB365" s="124" t="s">
        <v>120</v>
      </c>
      <c r="AC365" s="124" t="s">
        <v>120</v>
      </c>
      <c r="AD365" s="128"/>
      <c r="AE365" s="124" t="s">
        <v>120</v>
      </c>
      <c r="AF365" s="128"/>
      <c r="AG365" s="124" t="s">
        <v>120</v>
      </c>
      <c r="AH365" s="128"/>
      <c r="AI365" s="124" t="s">
        <v>120</v>
      </c>
      <c r="AJ365" s="128"/>
      <c r="AK365" s="128"/>
      <c r="AL365" s="124" t="s">
        <v>129</v>
      </c>
      <c r="AM365" s="124" t="s">
        <v>138</v>
      </c>
      <c r="AN365" s="124" t="s">
        <v>242</v>
      </c>
      <c r="AO365" s="124" t="s">
        <v>156</v>
      </c>
      <c r="AP365" s="124"/>
    </row>
    <row r="366">
      <c r="A366" s="124" t="s">
        <v>4027</v>
      </c>
      <c r="B366" s="124" t="s">
        <v>4028</v>
      </c>
      <c r="C366" s="124" t="s">
        <v>4029</v>
      </c>
      <c r="D366" s="127">
        <v>41255.0</v>
      </c>
      <c r="E366" s="124" t="s">
        <v>177</v>
      </c>
      <c r="F366" s="124">
        <v>5.588304293E9</v>
      </c>
      <c r="G366" s="124" t="s">
        <v>4030</v>
      </c>
      <c r="H366" s="124" t="s">
        <v>140</v>
      </c>
      <c r="I366" s="124" t="s">
        <v>4031</v>
      </c>
      <c r="J366" s="124" t="s">
        <v>4032</v>
      </c>
      <c r="K366" s="124" t="s">
        <v>4033</v>
      </c>
      <c r="L366" s="124">
        <v>5.588304293E9</v>
      </c>
      <c r="M366" s="124" t="s">
        <v>4034</v>
      </c>
      <c r="N366" s="124" t="s">
        <v>4035</v>
      </c>
      <c r="O366" s="124">
        <v>5.560475132E9</v>
      </c>
      <c r="P366" s="129">
        <v>13.0</v>
      </c>
      <c r="Q366" s="130">
        <v>46038.92408564815</v>
      </c>
      <c r="R366" s="124" t="s">
        <v>107</v>
      </c>
      <c r="S366" s="124" t="s">
        <v>109</v>
      </c>
      <c r="T366" s="124" t="s">
        <v>160</v>
      </c>
      <c r="U366" s="124" t="s">
        <v>308</v>
      </c>
      <c r="V366" s="124" t="s">
        <v>309</v>
      </c>
      <c r="W366" s="124" t="s">
        <v>310</v>
      </c>
      <c r="X366" s="124" t="s">
        <v>120</v>
      </c>
      <c r="Y366" s="128"/>
      <c r="Z366" s="124" t="s">
        <v>117</v>
      </c>
      <c r="AA366" s="124" t="s">
        <v>4036</v>
      </c>
      <c r="AB366" s="124" t="s">
        <v>120</v>
      </c>
      <c r="AC366" s="128"/>
      <c r="AD366" s="128"/>
      <c r="AE366" s="124" t="s">
        <v>120</v>
      </c>
      <c r="AF366" s="128"/>
      <c r="AG366" s="124" t="s">
        <v>120</v>
      </c>
      <c r="AH366" s="128"/>
      <c r="AI366" s="124" t="s">
        <v>120</v>
      </c>
      <c r="AJ366" s="128"/>
      <c r="AK366" s="124" t="s">
        <v>4037</v>
      </c>
      <c r="AL366" s="124" t="s">
        <v>240</v>
      </c>
      <c r="AM366" s="124" t="s">
        <v>138</v>
      </c>
      <c r="AN366" s="124" t="s">
        <v>124</v>
      </c>
      <c r="AO366" s="124" t="s">
        <v>141</v>
      </c>
      <c r="AP366" s="124"/>
    </row>
    <row r="367">
      <c r="A367" s="124" t="s">
        <v>497</v>
      </c>
      <c r="B367" s="124" t="s">
        <v>498</v>
      </c>
      <c r="C367" s="124" t="s">
        <v>499</v>
      </c>
      <c r="D367" s="127">
        <v>38241.0</v>
      </c>
      <c r="E367" s="124" t="s">
        <v>98</v>
      </c>
      <c r="F367" s="124">
        <v>5.549532462E9</v>
      </c>
      <c r="G367" s="124" t="s">
        <v>501</v>
      </c>
      <c r="H367" s="124" t="s">
        <v>101</v>
      </c>
      <c r="I367" s="124" t="s">
        <v>502</v>
      </c>
      <c r="J367" s="124" t="s">
        <v>503</v>
      </c>
      <c r="K367" s="124" t="s">
        <v>504</v>
      </c>
      <c r="L367" s="124">
        <v>5.540767234E9</v>
      </c>
      <c r="M367" s="128"/>
      <c r="N367" s="128"/>
      <c r="O367" s="128"/>
      <c r="P367" s="129">
        <v>21.0</v>
      </c>
      <c r="Q367" s="130">
        <v>46007.91261574074</v>
      </c>
      <c r="R367" s="124" t="s">
        <v>260</v>
      </c>
      <c r="S367" s="124" t="s">
        <v>125</v>
      </c>
      <c r="T367" s="124" t="s">
        <v>192</v>
      </c>
      <c r="U367" s="124" t="s">
        <v>505</v>
      </c>
      <c r="V367" s="124" t="s">
        <v>506</v>
      </c>
      <c r="W367" s="124" t="s">
        <v>507</v>
      </c>
      <c r="X367" s="124" t="s">
        <v>117</v>
      </c>
      <c r="Y367" s="124" t="s">
        <v>458</v>
      </c>
      <c r="Z367" s="124" t="s">
        <v>120</v>
      </c>
      <c r="AA367" s="128"/>
      <c r="AB367" s="124" t="s">
        <v>120</v>
      </c>
      <c r="AC367" s="128"/>
      <c r="AD367" s="128"/>
      <c r="AE367" s="124" t="s">
        <v>120</v>
      </c>
      <c r="AF367" s="128"/>
      <c r="AG367" s="124" t="s">
        <v>120</v>
      </c>
      <c r="AH367" s="128"/>
      <c r="AI367" s="124" t="s">
        <v>117</v>
      </c>
      <c r="AJ367" s="124" t="s">
        <v>178</v>
      </c>
      <c r="AK367" s="124" t="s">
        <v>525</v>
      </c>
      <c r="AL367" s="124" t="s">
        <v>240</v>
      </c>
      <c r="AM367" s="124" t="s">
        <v>138</v>
      </c>
      <c r="AN367" s="124" t="s">
        <v>141</v>
      </c>
      <c r="AO367" s="124" t="s">
        <v>126</v>
      </c>
      <c r="AP367" s="124"/>
    </row>
    <row r="368">
      <c r="A368" s="124" t="s">
        <v>4038</v>
      </c>
      <c r="B368" s="124" t="s">
        <v>4039</v>
      </c>
      <c r="C368" s="124" t="s">
        <v>4040</v>
      </c>
      <c r="D368" s="127">
        <v>41210.0</v>
      </c>
      <c r="E368" s="124" t="s">
        <v>98</v>
      </c>
      <c r="F368" s="124">
        <v>5.527064934E9</v>
      </c>
      <c r="G368" s="124" t="s">
        <v>3860</v>
      </c>
      <c r="H368" s="124" t="s">
        <v>150</v>
      </c>
      <c r="I368" s="128"/>
      <c r="J368" s="124" t="s">
        <v>4041</v>
      </c>
      <c r="K368" s="124" t="s">
        <v>4042</v>
      </c>
      <c r="L368" s="124">
        <v>5.52321027E9</v>
      </c>
      <c r="M368" s="128"/>
      <c r="N368" s="128"/>
      <c r="O368" s="128"/>
      <c r="P368" s="129">
        <v>13.0</v>
      </c>
      <c r="Q368" s="130">
        <v>46037.93357638889</v>
      </c>
      <c r="R368" s="124" t="s">
        <v>107</v>
      </c>
      <c r="S368" s="124" t="s">
        <v>109</v>
      </c>
      <c r="T368" s="124" t="s">
        <v>208</v>
      </c>
      <c r="U368" s="124" t="s">
        <v>1599</v>
      </c>
      <c r="V368" s="124" t="s">
        <v>1600</v>
      </c>
      <c r="W368" s="124" t="s">
        <v>1602</v>
      </c>
      <c r="X368" s="124" t="s">
        <v>120</v>
      </c>
      <c r="Y368" s="128"/>
      <c r="Z368" s="124" t="s">
        <v>120</v>
      </c>
      <c r="AA368" s="128"/>
      <c r="AB368" s="124" t="s">
        <v>120</v>
      </c>
      <c r="AC368" s="124" t="s">
        <v>120</v>
      </c>
      <c r="AD368" s="128"/>
      <c r="AE368" s="124" t="s">
        <v>120</v>
      </c>
      <c r="AF368" s="128"/>
      <c r="AG368" s="124" t="s">
        <v>120</v>
      </c>
      <c r="AH368" s="128"/>
      <c r="AI368" s="124" t="s">
        <v>120</v>
      </c>
      <c r="AJ368" s="128"/>
      <c r="AK368" s="128"/>
      <c r="AL368" s="124" t="s">
        <v>138</v>
      </c>
      <c r="AM368" s="124" t="s">
        <v>126</v>
      </c>
      <c r="AN368" s="124" t="s">
        <v>124</v>
      </c>
      <c r="AO368" s="124" t="s">
        <v>242</v>
      </c>
      <c r="AP368" s="124"/>
    </row>
    <row r="369">
      <c r="A369" s="124" t="s">
        <v>4043</v>
      </c>
      <c r="B369" s="124" t="s">
        <v>4044</v>
      </c>
      <c r="C369" s="124" t="s">
        <v>4045</v>
      </c>
      <c r="D369" s="127">
        <v>41259.0</v>
      </c>
      <c r="E369" s="124" t="s">
        <v>98</v>
      </c>
      <c r="F369" s="124" t="s">
        <v>4046</v>
      </c>
      <c r="G369" s="124" t="s">
        <v>4047</v>
      </c>
      <c r="H369" s="124" t="s">
        <v>101</v>
      </c>
      <c r="I369" s="128"/>
      <c r="J369" s="124" t="s">
        <v>4048</v>
      </c>
      <c r="K369" s="124" t="s">
        <v>4049</v>
      </c>
      <c r="L369" s="124" t="s">
        <v>4050</v>
      </c>
      <c r="M369" s="128"/>
      <c r="N369" s="128"/>
      <c r="O369" s="128"/>
      <c r="P369" s="129">
        <v>13.0</v>
      </c>
      <c r="Q369" s="130">
        <v>46031.55609953704</v>
      </c>
      <c r="R369" s="124" t="s">
        <v>107</v>
      </c>
      <c r="S369" s="124" t="s">
        <v>109</v>
      </c>
      <c r="T369" s="124" t="s">
        <v>171</v>
      </c>
      <c r="U369" s="124" t="s">
        <v>388</v>
      </c>
      <c r="V369" s="124" t="s">
        <v>389</v>
      </c>
      <c r="W369" s="124" t="s">
        <v>392</v>
      </c>
      <c r="X369" s="124" t="s">
        <v>120</v>
      </c>
      <c r="Y369" s="128"/>
      <c r="Z369" s="124" t="s">
        <v>120</v>
      </c>
      <c r="AA369" s="128"/>
      <c r="AB369" s="124" t="s">
        <v>120</v>
      </c>
      <c r="AC369" s="124" t="s">
        <v>120</v>
      </c>
      <c r="AD369" s="128"/>
      <c r="AE369" s="124" t="s">
        <v>120</v>
      </c>
      <c r="AF369" s="128"/>
      <c r="AG369" s="124" t="s">
        <v>120</v>
      </c>
      <c r="AH369" s="128"/>
      <c r="AI369" s="124" t="s">
        <v>120</v>
      </c>
      <c r="AJ369" s="128"/>
      <c r="AK369" s="128"/>
      <c r="AL369" s="124" t="s">
        <v>138</v>
      </c>
      <c r="AM369" s="124" t="s">
        <v>156</v>
      </c>
      <c r="AN369" s="124" t="s">
        <v>124</v>
      </c>
      <c r="AO369" s="124" t="s">
        <v>216</v>
      </c>
      <c r="AP369" s="124"/>
    </row>
    <row r="370">
      <c r="A370" s="124" t="s">
        <v>4051</v>
      </c>
      <c r="B370" s="124" t="s">
        <v>4052</v>
      </c>
      <c r="C370" s="124" t="s">
        <v>4053</v>
      </c>
      <c r="D370" s="127">
        <v>39970.0</v>
      </c>
      <c r="E370" s="124" t="s">
        <v>98</v>
      </c>
      <c r="F370" s="124" t="s">
        <v>4054</v>
      </c>
      <c r="G370" s="124" t="s">
        <v>4055</v>
      </c>
      <c r="H370" s="124" t="s">
        <v>140</v>
      </c>
      <c r="I370" s="128"/>
      <c r="J370" s="124" t="s">
        <v>4056</v>
      </c>
      <c r="K370" s="124" t="s">
        <v>2924</v>
      </c>
      <c r="L370" s="124">
        <v>5.649161588E9</v>
      </c>
      <c r="M370" s="128"/>
      <c r="N370" s="128"/>
      <c r="O370" s="128"/>
      <c r="P370" s="129">
        <v>16.0</v>
      </c>
      <c r="Q370" s="130">
        <v>46040.839270833334</v>
      </c>
      <c r="R370" s="124" t="s">
        <v>107</v>
      </c>
      <c r="S370" s="124" t="s">
        <v>109</v>
      </c>
      <c r="T370" s="124" t="s">
        <v>192</v>
      </c>
      <c r="U370" s="124" t="s">
        <v>609</v>
      </c>
      <c r="V370" s="124" t="s">
        <v>611</v>
      </c>
      <c r="W370" s="124" t="s">
        <v>612</v>
      </c>
      <c r="X370" s="124" t="s">
        <v>120</v>
      </c>
      <c r="Y370" s="128"/>
      <c r="Z370" s="124" t="s">
        <v>117</v>
      </c>
      <c r="AA370" s="124" t="s">
        <v>4057</v>
      </c>
      <c r="AB370" s="124" t="s">
        <v>120</v>
      </c>
      <c r="AC370" s="128"/>
      <c r="AD370" s="128"/>
      <c r="AE370" s="124" t="s">
        <v>120</v>
      </c>
      <c r="AF370" s="128"/>
      <c r="AG370" s="124" t="s">
        <v>120</v>
      </c>
      <c r="AH370" s="128"/>
      <c r="AI370" s="124" t="s">
        <v>120</v>
      </c>
      <c r="AJ370" s="128"/>
      <c r="AK370" s="128"/>
      <c r="AL370" s="124" t="s">
        <v>141</v>
      </c>
      <c r="AM370" s="124" t="s">
        <v>138</v>
      </c>
      <c r="AN370" s="124" t="s">
        <v>126</v>
      </c>
      <c r="AO370" s="124" t="s">
        <v>185</v>
      </c>
      <c r="AP370" s="124"/>
    </row>
    <row r="371">
      <c r="A371" s="124" t="s">
        <v>4058</v>
      </c>
      <c r="B371" s="124" t="s">
        <v>4059</v>
      </c>
      <c r="C371" s="124" t="s">
        <v>4060</v>
      </c>
      <c r="D371" s="127">
        <v>41008.0</v>
      </c>
      <c r="E371" s="124" t="s">
        <v>98</v>
      </c>
      <c r="F371" s="124">
        <v>5.561802706E9</v>
      </c>
      <c r="G371" s="124" t="s">
        <v>4061</v>
      </c>
      <c r="H371" s="124" t="s">
        <v>101</v>
      </c>
      <c r="I371" s="128"/>
      <c r="J371" s="124" t="s">
        <v>4062</v>
      </c>
      <c r="K371" s="124" t="s">
        <v>4061</v>
      </c>
      <c r="L371" s="124">
        <v>5.561802706E9</v>
      </c>
      <c r="M371" s="128"/>
      <c r="N371" s="128"/>
      <c r="O371" s="128"/>
      <c r="P371" s="129">
        <v>13.0</v>
      </c>
      <c r="Q371" s="130">
        <v>46036.79393518518</v>
      </c>
      <c r="R371" s="124" t="s">
        <v>107</v>
      </c>
      <c r="S371" s="124" t="s">
        <v>109</v>
      </c>
      <c r="T371" s="124" t="s">
        <v>171</v>
      </c>
      <c r="U371" s="124" t="s">
        <v>2149</v>
      </c>
      <c r="V371" s="124" t="s">
        <v>2141</v>
      </c>
      <c r="W371" s="124" t="s">
        <v>2151</v>
      </c>
      <c r="X371" s="124" t="s">
        <v>120</v>
      </c>
      <c r="Y371" s="128"/>
      <c r="Z371" s="124" t="s">
        <v>120</v>
      </c>
      <c r="AA371" s="128"/>
      <c r="AB371" s="124" t="s">
        <v>120</v>
      </c>
      <c r="AC371" s="124" t="s">
        <v>120</v>
      </c>
      <c r="AD371" s="128"/>
      <c r="AE371" s="124" t="s">
        <v>120</v>
      </c>
      <c r="AF371" s="128"/>
      <c r="AG371" s="124" t="s">
        <v>120</v>
      </c>
      <c r="AH371" s="128"/>
      <c r="AI371" s="124" t="s">
        <v>120</v>
      </c>
      <c r="AJ371" s="128"/>
      <c r="AK371" s="128"/>
      <c r="AL371" s="124" t="s">
        <v>124</v>
      </c>
      <c r="AM371" s="124" t="s">
        <v>129</v>
      </c>
      <c r="AN371" s="124" t="s">
        <v>156</v>
      </c>
      <c r="AO371" s="124" t="s">
        <v>242</v>
      </c>
      <c r="AP371" s="124"/>
    </row>
    <row r="372">
      <c r="A372" s="124" t="s">
        <v>2373</v>
      </c>
      <c r="B372" s="124" t="s">
        <v>2374</v>
      </c>
      <c r="C372" s="124" t="s">
        <v>2375</v>
      </c>
      <c r="D372" s="127">
        <v>36104.0</v>
      </c>
      <c r="E372" s="124" t="s">
        <v>98</v>
      </c>
      <c r="F372" s="124">
        <v>7.226715531E9</v>
      </c>
      <c r="G372" s="124" t="s">
        <v>2376</v>
      </c>
      <c r="H372" s="124" t="s">
        <v>382</v>
      </c>
      <c r="I372" s="128"/>
      <c r="J372" s="124" t="s">
        <v>2377</v>
      </c>
      <c r="K372" s="124" t="s">
        <v>2378</v>
      </c>
      <c r="L372" s="128">
        <f>+525534613306</f>
        <v>525534613306</v>
      </c>
      <c r="M372" s="128"/>
      <c r="N372" s="128"/>
      <c r="O372" s="128"/>
      <c r="P372" s="129">
        <v>27.0</v>
      </c>
      <c r="Q372" s="130">
        <v>45970.73678240741</v>
      </c>
      <c r="R372" s="124" t="s">
        <v>260</v>
      </c>
      <c r="S372" s="124" t="s">
        <v>125</v>
      </c>
      <c r="T372" s="124" t="s">
        <v>2379</v>
      </c>
      <c r="U372" s="124" t="s">
        <v>2380</v>
      </c>
      <c r="V372" s="124" t="s">
        <v>2381</v>
      </c>
      <c r="W372" s="124" t="s">
        <v>2382</v>
      </c>
      <c r="X372" s="124" t="s">
        <v>120</v>
      </c>
      <c r="Y372" s="128"/>
      <c r="Z372" s="124" t="s">
        <v>120</v>
      </c>
      <c r="AA372" s="128"/>
      <c r="AB372" s="124" t="s">
        <v>120</v>
      </c>
      <c r="AC372" s="128"/>
      <c r="AD372" s="128"/>
      <c r="AE372" s="124" t="s">
        <v>120</v>
      </c>
      <c r="AF372" s="128"/>
      <c r="AG372" s="124" t="s">
        <v>120</v>
      </c>
      <c r="AH372" s="128"/>
      <c r="AI372" s="124" t="s">
        <v>120</v>
      </c>
      <c r="AJ372" s="128"/>
      <c r="AK372" s="128"/>
      <c r="AL372" s="124" t="s">
        <v>126</v>
      </c>
      <c r="AM372" s="124" t="s">
        <v>138</v>
      </c>
      <c r="AN372" s="124" t="s">
        <v>242</v>
      </c>
      <c r="AO372" s="124" t="s">
        <v>185</v>
      </c>
      <c r="AP372" s="124"/>
    </row>
    <row r="373">
      <c r="A373" s="124" t="s">
        <v>2388</v>
      </c>
      <c r="B373" s="124" t="s">
        <v>2389</v>
      </c>
      <c r="C373" s="124" t="s">
        <v>2390</v>
      </c>
      <c r="D373" s="127">
        <v>38632.0</v>
      </c>
      <c r="E373" s="124" t="s">
        <v>177</v>
      </c>
      <c r="F373" s="124">
        <v>5.649333565E9</v>
      </c>
      <c r="G373" s="124" t="s">
        <v>2391</v>
      </c>
      <c r="H373" s="124" t="s">
        <v>101</v>
      </c>
      <c r="I373" s="128"/>
      <c r="J373" s="124" t="s">
        <v>2392</v>
      </c>
      <c r="K373" s="124" t="s">
        <v>1600</v>
      </c>
      <c r="L373" s="124">
        <v>5.626696557E9</v>
      </c>
      <c r="M373" s="128"/>
      <c r="N373" s="128"/>
      <c r="O373" s="128"/>
      <c r="P373" s="129">
        <v>20.0</v>
      </c>
      <c r="Q373" s="130">
        <v>46040.98600694445</v>
      </c>
      <c r="R373" s="124" t="s">
        <v>107</v>
      </c>
      <c r="S373" s="124" t="s">
        <v>125</v>
      </c>
      <c r="T373" s="124" t="s">
        <v>208</v>
      </c>
      <c r="U373" s="124" t="s">
        <v>1599</v>
      </c>
      <c r="V373" s="124" t="s">
        <v>1600</v>
      </c>
      <c r="W373" s="124" t="s">
        <v>1602</v>
      </c>
      <c r="X373" s="124" t="s">
        <v>120</v>
      </c>
      <c r="Y373" s="128"/>
      <c r="Z373" s="124" t="s">
        <v>120</v>
      </c>
      <c r="AA373" s="128"/>
      <c r="AB373" s="124" t="s">
        <v>120</v>
      </c>
      <c r="AC373" s="124" t="s">
        <v>120</v>
      </c>
      <c r="AD373" s="128"/>
      <c r="AE373" s="124" t="s">
        <v>120</v>
      </c>
      <c r="AF373" s="128"/>
      <c r="AG373" s="124" t="s">
        <v>120</v>
      </c>
      <c r="AH373" s="128"/>
      <c r="AI373" s="124" t="s">
        <v>120</v>
      </c>
      <c r="AJ373" s="128"/>
      <c r="AK373" s="128"/>
      <c r="AL373" s="124" t="s">
        <v>242</v>
      </c>
      <c r="AM373" s="124" t="s">
        <v>185</v>
      </c>
      <c r="AN373" s="124" t="s">
        <v>156</v>
      </c>
      <c r="AO373" s="124" t="s">
        <v>138</v>
      </c>
      <c r="AP373" s="124"/>
    </row>
    <row r="374">
      <c r="A374" s="124" t="s">
        <v>1715</v>
      </c>
      <c r="B374" s="124" t="s">
        <v>1718</v>
      </c>
      <c r="C374" s="124" t="s">
        <v>1721</v>
      </c>
      <c r="D374" s="127">
        <v>39656.0</v>
      </c>
      <c r="E374" s="124" t="s">
        <v>98</v>
      </c>
      <c r="F374" s="124">
        <v>5.586817115E9</v>
      </c>
      <c r="G374" s="124" t="s">
        <v>1723</v>
      </c>
      <c r="H374" s="124" t="s">
        <v>150</v>
      </c>
      <c r="I374" s="128"/>
      <c r="J374" s="124" t="s">
        <v>1726</v>
      </c>
      <c r="K374" s="124" t="s">
        <v>1727</v>
      </c>
      <c r="L374" s="124">
        <v>5.565208788E9</v>
      </c>
      <c r="M374" s="128"/>
      <c r="N374" s="128"/>
      <c r="O374" s="128"/>
      <c r="P374" s="129">
        <v>17.0</v>
      </c>
      <c r="Q374" s="130">
        <v>46029.90769675926</v>
      </c>
      <c r="R374" s="124" t="s">
        <v>107</v>
      </c>
      <c r="S374" s="124" t="s">
        <v>109</v>
      </c>
      <c r="T374" s="124" t="s">
        <v>160</v>
      </c>
      <c r="U374" s="124" t="s">
        <v>1739</v>
      </c>
      <c r="V374" s="124" t="s">
        <v>1740</v>
      </c>
      <c r="W374" s="124" t="s">
        <v>1741</v>
      </c>
      <c r="X374" s="124" t="s">
        <v>120</v>
      </c>
      <c r="Y374" s="128"/>
      <c r="Z374" s="124" t="s">
        <v>120</v>
      </c>
      <c r="AA374" s="128"/>
      <c r="AB374" s="124" t="s">
        <v>120</v>
      </c>
      <c r="AC374" s="128"/>
      <c r="AD374" s="128"/>
      <c r="AE374" s="124" t="s">
        <v>120</v>
      </c>
      <c r="AF374" s="128"/>
      <c r="AG374" s="124" t="s">
        <v>120</v>
      </c>
      <c r="AH374" s="128"/>
      <c r="AI374" s="124" t="s">
        <v>117</v>
      </c>
      <c r="AJ374" s="124" t="s">
        <v>575</v>
      </c>
      <c r="AK374" s="128"/>
      <c r="AL374" s="124" t="s">
        <v>141</v>
      </c>
      <c r="AM374" s="124" t="s">
        <v>129</v>
      </c>
      <c r="AN374" s="124" t="s">
        <v>128</v>
      </c>
      <c r="AO374" s="124" t="s">
        <v>156</v>
      </c>
      <c r="AP374" s="124"/>
    </row>
    <row r="375">
      <c r="A375" s="124" t="s">
        <v>835</v>
      </c>
      <c r="B375" s="124" t="s">
        <v>836</v>
      </c>
      <c r="C375" s="124" t="s">
        <v>837</v>
      </c>
      <c r="D375" s="127">
        <v>40675.0</v>
      </c>
      <c r="E375" s="124" t="s">
        <v>98</v>
      </c>
      <c r="F375" s="124">
        <v>5.65128028E9</v>
      </c>
      <c r="G375" s="124" t="s">
        <v>838</v>
      </c>
      <c r="H375" s="124" t="s">
        <v>101</v>
      </c>
      <c r="I375" s="128"/>
      <c r="J375" s="124" t="s">
        <v>839</v>
      </c>
      <c r="K375" s="124" t="s">
        <v>840</v>
      </c>
      <c r="L375" s="124">
        <v>5.613774776E9</v>
      </c>
      <c r="M375" s="124" t="s">
        <v>841</v>
      </c>
      <c r="N375" s="124" t="s">
        <v>842</v>
      </c>
      <c r="O375" s="124">
        <v>5.533488246E9</v>
      </c>
      <c r="P375" s="129">
        <v>14.0</v>
      </c>
      <c r="Q375" s="130">
        <v>46033.867418981485</v>
      </c>
      <c r="R375" s="124" t="s">
        <v>107</v>
      </c>
      <c r="S375" s="124" t="s">
        <v>109</v>
      </c>
      <c r="T375" s="124" t="s">
        <v>192</v>
      </c>
      <c r="U375" s="124" t="s">
        <v>195</v>
      </c>
      <c r="V375" s="124" t="s">
        <v>198</v>
      </c>
      <c r="W375" s="124" t="s">
        <v>200</v>
      </c>
      <c r="X375" s="124" t="s">
        <v>117</v>
      </c>
      <c r="Y375" s="128"/>
      <c r="Z375" s="124" t="s">
        <v>117</v>
      </c>
      <c r="AA375" s="128"/>
      <c r="AB375" s="124" t="s">
        <v>117</v>
      </c>
      <c r="AC375" s="128"/>
      <c r="AD375" s="128"/>
      <c r="AE375" s="124" t="s">
        <v>117</v>
      </c>
      <c r="AF375" s="128"/>
      <c r="AG375" s="124" t="s">
        <v>117</v>
      </c>
      <c r="AH375" s="128"/>
      <c r="AI375" s="124" t="s">
        <v>120</v>
      </c>
      <c r="AJ375" s="128"/>
      <c r="AK375" s="128"/>
      <c r="AL375" s="124" t="s">
        <v>129</v>
      </c>
      <c r="AM375" s="124" t="s">
        <v>138</v>
      </c>
      <c r="AN375" s="124" t="s">
        <v>156</v>
      </c>
      <c r="AO375" s="124" t="s">
        <v>185</v>
      </c>
      <c r="AP375" s="124"/>
    </row>
    <row r="376">
      <c r="A376" s="124" t="s">
        <v>2393</v>
      </c>
      <c r="B376" s="124" t="s">
        <v>2394</v>
      </c>
      <c r="C376" s="124" t="s">
        <v>2395</v>
      </c>
      <c r="D376" s="127">
        <v>37457.0</v>
      </c>
      <c r="E376" s="124" t="s">
        <v>98</v>
      </c>
      <c r="F376" s="124">
        <v>5.537924168E9</v>
      </c>
      <c r="G376" s="124" t="s">
        <v>2396</v>
      </c>
      <c r="H376" s="124" t="s">
        <v>382</v>
      </c>
      <c r="I376" s="124" t="s">
        <v>2397</v>
      </c>
      <c r="J376" s="124" t="s">
        <v>2398</v>
      </c>
      <c r="K376" s="124" t="s">
        <v>2399</v>
      </c>
      <c r="L376" s="124">
        <v>5.522060036E9</v>
      </c>
      <c r="M376" s="124" t="s">
        <v>2400</v>
      </c>
      <c r="N376" s="124" t="s">
        <v>2401</v>
      </c>
      <c r="O376" s="124">
        <v>5.51190073E9</v>
      </c>
      <c r="P376" s="129">
        <v>23.0</v>
      </c>
      <c r="Q376" s="130">
        <v>46023.47871527778</v>
      </c>
      <c r="R376" s="124" t="s">
        <v>107</v>
      </c>
      <c r="S376" s="124" t="s">
        <v>125</v>
      </c>
      <c r="T376" s="124" t="s">
        <v>111</v>
      </c>
      <c r="U376" s="124" t="s">
        <v>398</v>
      </c>
      <c r="V376" s="124" t="s">
        <v>399</v>
      </c>
      <c r="W376" s="124" t="s">
        <v>400</v>
      </c>
      <c r="X376" s="124" t="s">
        <v>120</v>
      </c>
      <c r="Y376" s="124" t="s">
        <v>2397</v>
      </c>
      <c r="Z376" s="124" t="s">
        <v>120</v>
      </c>
      <c r="AA376" s="124" t="s">
        <v>2397</v>
      </c>
      <c r="AB376" s="124" t="s">
        <v>120</v>
      </c>
      <c r="AC376" s="124" t="s">
        <v>120</v>
      </c>
      <c r="AD376" s="124" t="s">
        <v>2397</v>
      </c>
      <c r="AE376" s="124" t="s">
        <v>120</v>
      </c>
      <c r="AF376" s="124" t="s">
        <v>2397</v>
      </c>
      <c r="AG376" s="124" t="s">
        <v>120</v>
      </c>
      <c r="AH376" s="124" t="s">
        <v>2397</v>
      </c>
      <c r="AI376" s="124" t="s">
        <v>120</v>
      </c>
      <c r="AJ376" s="124" t="s">
        <v>2397</v>
      </c>
      <c r="AK376" s="124" t="s">
        <v>2397</v>
      </c>
      <c r="AL376" s="124" t="s">
        <v>242</v>
      </c>
      <c r="AM376" s="124" t="s">
        <v>138</v>
      </c>
      <c r="AN376" s="124" t="s">
        <v>216</v>
      </c>
      <c r="AO376" s="124" t="s">
        <v>124</v>
      </c>
      <c r="AP376" s="124"/>
    </row>
    <row r="377">
      <c r="A377" s="124" t="s">
        <v>620</v>
      </c>
      <c r="B377" s="124" t="s">
        <v>622</v>
      </c>
      <c r="C377" s="124" t="s">
        <v>624</v>
      </c>
      <c r="D377" s="127">
        <v>40036.0</v>
      </c>
      <c r="E377" s="124" t="s">
        <v>177</v>
      </c>
      <c r="F377" s="124">
        <v>5.534644229E9</v>
      </c>
      <c r="G377" s="124" t="s">
        <v>629</v>
      </c>
      <c r="H377" s="124" t="s">
        <v>150</v>
      </c>
      <c r="I377" s="128"/>
      <c r="J377" s="124" t="s">
        <v>631</v>
      </c>
      <c r="K377" s="124" t="s">
        <v>632</v>
      </c>
      <c r="L377" s="124">
        <v>5.561827544E9</v>
      </c>
      <c r="M377" s="128"/>
      <c r="N377" s="128"/>
      <c r="O377" s="128"/>
      <c r="P377" s="129">
        <v>16.0</v>
      </c>
      <c r="Q377" s="130">
        <v>46034.52142361111</v>
      </c>
      <c r="R377" s="124" t="s">
        <v>107</v>
      </c>
      <c r="S377" s="124" t="s">
        <v>109</v>
      </c>
      <c r="T377" s="124" t="s">
        <v>171</v>
      </c>
      <c r="U377" s="124" t="s">
        <v>638</v>
      </c>
      <c r="V377" s="124" t="s">
        <v>639</v>
      </c>
      <c r="W377" s="124" t="s">
        <v>641</v>
      </c>
      <c r="X377" s="124" t="s">
        <v>117</v>
      </c>
      <c r="Y377" s="124" t="s">
        <v>630</v>
      </c>
      <c r="Z377" s="124" t="s">
        <v>120</v>
      </c>
      <c r="AA377" s="128"/>
      <c r="AB377" s="124" t="s">
        <v>120</v>
      </c>
      <c r="AC377" s="124" t="s">
        <v>120</v>
      </c>
      <c r="AD377" s="128"/>
      <c r="AE377" s="124" t="s">
        <v>117</v>
      </c>
      <c r="AF377" s="124" t="s">
        <v>642</v>
      </c>
      <c r="AG377" s="124" t="s">
        <v>120</v>
      </c>
      <c r="AH377" s="128"/>
      <c r="AI377" s="124" t="s">
        <v>120</v>
      </c>
      <c r="AJ377" s="128"/>
      <c r="AK377" s="128"/>
      <c r="AL377" s="124" t="s">
        <v>185</v>
      </c>
      <c r="AM377" s="124" t="s">
        <v>240</v>
      </c>
      <c r="AN377" s="124" t="s">
        <v>242</v>
      </c>
      <c r="AO377" s="124" t="s">
        <v>138</v>
      </c>
      <c r="AP377" s="124"/>
    </row>
    <row r="378">
      <c r="A378" s="124" t="s">
        <v>2413</v>
      </c>
      <c r="B378" s="124" t="s">
        <v>2414</v>
      </c>
      <c r="C378" s="124" t="s">
        <v>2415</v>
      </c>
      <c r="D378" s="127">
        <v>35914.0</v>
      </c>
      <c r="E378" s="124" t="s">
        <v>98</v>
      </c>
      <c r="F378" s="124">
        <v>5.549139182E9</v>
      </c>
      <c r="G378" s="124" t="s">
        <v>2416</v>
      </c>
      <c r="H378" s="124" t="s">
        <v>140</v>
      </c>
      <c r="I378" s="124" t="s">
        <v>135</v>
      </c>
      <c r="J378" s="124" t="s">
        <v>2417</v>
      </c>
      <c r="K378" s="124" t="s">
        <v>2418</v>
      </c>
      <c r="L378" s="124">
        <v>5.535002853E9</v>
      </c>
      <c r="M378" s="128"/>
      <c r="N378" s="128"/>
      <c r="O378" s="128"/>
      <c r="P378" s="129">
        <v>27.0</v>
      </c>
      <c r="Q378" s="130">
        <v>46040.41475694445</v>
      </c>
      <c r="R378" s="124" t="s">
        <v>231</v>
      </c>
      <c r="S378" s="124" t="s">
        <v>125</v>
      </c>
      <c r="T378" s="124" t="s">
        <v>192</v>
      </c>
      <c r="U378" s="124" t="s">
        <v>505</v>
      </c>
      <c r="V378" s="124" t="s">
        <v>506</v>
      </c>
      <c r="W378" s="124" t="s">
        <v>507</v>
      </c>
      <c r="X378" s="124" t="s">
        <v>120</v>
      </c>
      <c r="Y378" s="128"/>
      <c r="Z378" s="124" t="s">
        <v>120</v>
      </c>
      <c r="AA378" s="128"/>
      <c r="AB378" s="124" t="s">
        <v>117</v>
      </c>
      <c r="AC378" s="124" t="s">
        <v>117</v>
      </c>
      <c r="AD378" s="124" t="s">
        <v>2423</v>
      </c>
      <c r="AE378" s="124" t="s">
        <v>120</v>
      </c>
      <c r="AF378" s="128"/>
      <c r="AG378" s="124" t="s">
        <v>120</v>
      </c>
      <c r="AH378" s="128"/>
      <c r="AI378" s="124" t="s">
        <v>117</v>
      </c>
      <c r="AJ378" s="124" t="s">
        <v>2427</v>
      </c>
      <c r="AK378" s="128"/>
      <c r="AL378" s="124" t="s">
        <v>138</v>
      </c>
      <c r="AM378" s="124" t="s">
        <v>124</v>
      </c>
      <c r="AN378" s="124" t="s">
        <v>129</v>
      </c>
      <c r="AO378" s="124" t="s">
        <v>242</v>
      </c>
      <c r="AP378" s="124"/>
    </row>
    <row r="379">
      <c r="A379" s="124" t="s">
        <v>2432</v>
      </c>
      <c r="B379" s="124" t="s">
        <v>2433</v>
      </c>
      <c r="C379" s="124" t="s">
        <v>2435</v>
      </c>
      <c r="D379" s="127">
        <v>37079.0</v>
      </c>
      <c r="E379" s="124" t="s">
        <v>98</v>
      </c>
      <c r="F379" s="124">
        <v>5.630865467E9</v>
      </c>
      <c r="G379" s="124" t="s">
        <v>2439</v>
      </c>
      <c r="H379" s="124" t="s">
        <v>101</v>
      </c>
      <c r="I379" s="128"/>
      <c r="J379" s="124" t="s">
        <v>2440</v>
      </c>
      <c r="K379" s="124" t="s">
        <v>2441</v>
      </c>
      <c r="L379" s="124">
        <v>5.525591383E9</v>
      </c>
      <c r="M379" s="128"/>
      <c r="N379" s="128"/>
      <c r="O379" s="128"/>
      <c r="P379" s="129">
        <v>24.0</v>
      </c>
      <c r="Q379" s="130">
        <v>46026.30451388889</v>
      </c>
      <c r="R379" s="124" t="s">
        <v>107</v>
      </c>
      <c r="S379" s="124" t="s">
        <v>125</v>
      </c>
      <c r="T379" s="124" t="s">
        <v>171</v>
      </c>
      <c r="U379" s="124" t="s">
        <v>638</v>
      </c>
      <c r="V379" s="124" t="s">
        <v>639</v>
      </c>
      <c r="W379" s="124" t="s">
        <v>641</v>
      </c>
      <c r="X379" s="124" t="s">
        <v>120</v>
      </c>
      <c r="Y379" s="128"/>
      <c r="Z379" s="124" t="s">
        <v>120</v>
      </c>
      <c r="AA379" s="128"/>
      <c r="AB379" s="124" t="s">
        <v>120</v>
      </c>
      <c r="AC379" s="124" t="s">
        <v>120</v>
      </c>
      <c r="AD379" s="128"/>
      <c r="AE379" s="124" t="s">
        <v>120</v>
      </c>
      <c r="AF379" s="128"/>
      <c r="AG379" s="124" t="s">
        <v>120</v>
      </c>
      <c r="AH379" s="128"/>
      <c r="AI379" s="124" t="s">
        <v>120</v>
      </c>
      <c r="AJ379" s="128"/>
      <c r="AK379" s="128"/>
      <c r="AL379" s="124" t="s">
        <v>138</v>
      </c>
      <c r="AM379" s="124" t="s">
        <v>240</v>
      </c>
      <c r="AN379" s="124" t="s">
        <v>141</v>
      </c>
      <c r="AO379" s="124" t="s">
        <v>128</v>
      </c>
      <c r="AP379" s="124"/>
    </row>
    <row r="380">
      <c r="A380" s="124" t="s">
        <v>463</v>
      </c>
      <c r="B380" s="124" t="s">
        <v>464</v>
      </c>
      <c r="C380" s="124" t="s">
        <v>466</v>
      </c>
      <c r="D380" s="127">
        <v>40695.0</v>
      </c>
      <c r="E380" s="124" t="s">
        <v>98</v>
      </c>
      <c r="F380" s="124">
        <v>5.539002006E9</v>
      </c>
      <c r="G380" s="124" t="s">
        <v>467</v>
      </c>
      <c r="H380" s="124" t="s">
        <v>140</v>
      </c>
      <c r="I380" s="124" t="s">
        <v>469</v>
      </c>
      <c r="J380" s="124" t="s">
        <v>471</v>
      </c>
      <c r="K380" s="124" t="s">
        <v>472</v>
      </c>
      <c r="L380" s="124">
        <v>5.539002006E9</v>
      </c>
      <c r="M380" s="124" t="s">
        <v>475</v>
      </c>
      <c r="N380" s="124" t="s">
        <v>476</v>
      </c>
      <c r="O380" s="124">
        <v>5.516548321E9</v>
      </c>
      <c r="P380" s="129">
        <v>14.0</v>
      </c>
      <c r="Q380" s="130">
        <v>46024.349270833336</v>
      </c>
      <c r="R380" s="124" t="s">
        <v>107</v>
      </c>
      <c r="S380" s="124" t="s">
        <v>109</v>
      </c>
      <c r="T380" s="124" t="s">
        <v>208</v>
      </c>
      <c r="U380" s="124" t="s">
        <v>478</v>
      </c>
      <c r="V380" s="124" t="s">
        <v>480</v>
      </c>
      <c r="W380" s="124" t="s">
        <v>481</v>
      </c>
      <c r="X380" s="124" t="s">
        <v>117</v>
      </c>
      <c r="Y380" s="124" t="s">
        <v>447</v>
      </c>
      <c r="Z380" s="124" t="s">
        <v>120</v>
      </c>
      <c r="AA380" s="128"/>
      <c r="AB380" s="124" t="s">
        <v>120</v>
      </c>
      <c r="AC380" s="128"/>
      <c r="AD380" s="128"/>
      <c r="AE380" s="124" t="s">
        <v>120</v>
      </c>
      <c r="AF380" s="128"/>
      <c r="AG380" s="124" t="s">
        <v>120</v>
      </c>
      <c r="AH380" s="128"/>
      <c r="AI380" s="124" t="s">
        <v>120</v>
      </c>
      <c r="AJ380" s="128"/>
      <c r="AK380" s="128"/>
      <c r="AL380" s="124" t="s">
        <v>126</v>
      </c>
      <c r="AM380" s="124" t="s">
        <v>141</v>
      </c>
      <c r="AN380" s="124" t="s">
        <v>242</v>
      </c>
      <c r="AO380" s="124" t="s">
        <v>185</v>
      </c>
      <c r="AP380" s="124"/>
    </row>
    <row r="381">
      <c r="A381" s="124" t="s">
        <v>1914</v>
      </c>
      <c r="B381" s="124" t="s">
        <v>1916</v>
      </c>
      <c r="C381" s="124" t="s">
        <v>1917</v>
      </c>
      <c r="D381" s="127">
        <v>40219.0</v>
      </c>
      <c r="E381" s="124" t="s">
        <v>98</v>
      </c>
      <c r="F381" s="124">
        <v>5.591250945E9</v>
      </c>
      <c r="G381" s="124" t="s">
        <v>1921</v>
      </c>
      <c r="H381" s="124" t="s">
        <v>140</v>
      </c>
      <c r="I381" s="128"/>
      <c r="J381" s="124" t="s">
        <v>1926</v>
      </c>
      <c r="K381" s="124" t="s">
        <v>1927</v>
      </c>
      <c r="L381" s="124">
        <v>5.526562276E9</v>
      </c>
      <c r="M381" s="124" t="s">
        <v>1930</v>
      </c>
      <c r="N381" s="124" t="s">
        <v>1931</v>
      </c>
      <c r="O381" s="124">
        <v>5.548543468E9</v>
      </c>
      <c r="P381" s="129">
        <v>16.0</v>
      </c>
      <c r="Q381" s="130">
        <v>46033.55971064815</v>
      </c>
      <c r="R381" s="124" t="s">
        <v>107</v>
      </c>
      <c r="S381" s="124" t="s">
        <v>109</v>
      </c>
      <c r="T381" s="124" t="s">
        <v>208</v>
      </c>
      <c r="U381" s="124" t="s">
        <v>1599</v>
      </c>
      <c r="V381" s="124" t="s">
        <v>1600</v>
      </c>
      <c r="W381" s="124" t="s">
        <v>1602</v>
      </c>
      <c r="X381" s="124" t="s">
        <v>120</v>
      </c>
      <c r="Y381" s="128"/>
      <c r="Z381" s="124" t="s">
        <v>117</v>
      </c>
      <c r="AA381" s="124" t="s">
        <v>1932</v>
      </c>
      <c r="AB381" s="124" t="s">
        <v>117</v>
      </c>
      <c r="AC381" s="124" t="s">
        <v>117</v>
      </c>
      <c r="AD381" s="124" t="s">
        <v>1639</v>
      </c>
      <c r="AE381" s="124" t="s">
        <v>120</v>
      </c>
      <c r="AF381" s="128"/>
      <c r="AG381" s="124" t="s">
        <v>120</v>
      </c>
      <c r="AH381" s="128"/>
      <c r="AI381" s="124" t="s">
        <v>120</v>
      </c>
      <c r="AJ381" s="128"/>
      <c r="AK381" s="128"/>
      <c r="AL381" s="124" t="s">
        <v>138</v>
      </c>
      <c r="AM381" s="124" t="s">
        <v>128</v>
      </c>
      <c r="AN381" s="124" t="s">
        <v>242</v>
      </c>
      <c r="AO381" s="124" t="s">
        <v>185</v>
      </c>
      <c r="AP381" s="124"/>
    </row>
    <row r="382">
      <c r="A382" s="124" t="s">
        <v>2450</v>
      </c>
      <c r="B382" s="124" t="s">
        <v>2452</v>
      </c>
      <c r="C382" s="124" t="s">
        <v>61</v>
      </c>
      <c r="D382" s="127">
        <v>38182.0</v>
      </c>
      <c r="E382" s="124" t="s">
        <v>177</v>
      </c>
      <c r="F382" s="124">
        <v>5.52342538E9</v>
      </c>
      <c r="G382" s="124" t="s">
        <v>2454</v>
      </c>
      <c r="H382" s="124" t="s">
        <v>382</v>
      </c>
      <c r="I382" s="128"/>
      <c r="J382" s="124" t="s">
        <v>2456</v>
      </c>
      <c r="K382" s="124" t="s">
        <v>2458</v>
      </c>
      <c r="L382" s="124">
        <v>5.554355822E9</v>
      </c>
      <c r="M382" s="128"/>
      <c r="N382" s="128"/>
      <c r="O382" s="128"/>
      <c r="P382" s="129">
        <v>21.0</v>
      </c>
      <c r="Q382" s="130">
        <v>46026.388287037036</v>
      </c>
      <c r="R382" s="124" t="s">
        <v>107</v>
      </c>
      <c r="S382" s="124" t="s">
        <v>125</v>
      </c>
      <c r="T382" s="124" t="s">
        <v>192</v>
      </c>
      <c r="U382" s="124" t="s">
        <v>195</v>
      </c>
      <c r="V382" s="124" t="s">
        <v>198</v>
      </c>
      <c r="W382" s="124" t="s">
        <v>200</v>
      </c>
      <c r="X382" s="124" t="s">
        <v>120</v>
      </c>
      <c r="Y382" s="128"/>
      <c r="Z382" s="124" t="s">
        <v>120</v>
      </c>
      <c r="AA382" s="128"/>
      <c r="AB382" s="124" t="s">
        <v>117</v>
      </c>
      <c r="AC382" s="124" t="s">
        <v>117</v>
      </c>
      <c r="AD382" s="128"/>
      <c r="AE382" s="124" t="s">
        <v>120</v>
      </c>
      <c r="AF382" s="128"/>
      <c r="AG382" s="124" t="s">
        <v>120</v>
      </c>
      <c r="AH382" s="128"/>
      <c r="AI382" s="124" t="s">
        <v>120</v>
      </c>
      <c r="AJ382" s="128"/>
      <c r="AK382" s="128"/>
      <c r="AL382" s="124" t="s">
        <v>129</v>
      </c>
      <c r="AM382" s="124" t="s">
        <v>156</v>
      </c>
      <c r="AN382" s="124" t="s">
        <v>138</v>
      </c>
      <c r="AO382" s="124" t="s">
        <v>128</v>
      </c>
      <c r="AP382" s="124"/>
    </row>
    <row r="383">
      <c r="A383" s="124" t="s">
        <v>217</v>
      </c>
      <c r="B383" s="124" t="s">
        <v>219</v>
      </c>
      <c r="C383" s="124" t="s">
        <v>220</v>
      </c>
      <c r="D383" s="127">
        <v>36192.0</v>
      </c>
      <c r="E383" s="124" t="s">
        <v>98</v>
      </c>
      <c r="F383" s="124">
        <v>5.631557148E9</v>
      </c>
      <c r="G383" s="124" t="s">
        <v>224</v>
      </c>
      <c r="H383" s="124" t="s">
        <v>101</v>
      </c>
      <c r="I383" s="124" t="s">
        <v>225</v>
      </c>
      <c r="J383" s="124" t="s">
        <v>226</v>
      </c>
      <c r="K383" s="124" t="s">
        <v>227</v>
      </c>
      <c r="L383" s="124">
        <v>5.512159943E9</v>
      </c>
      <c r="M383" s="128"/>
      <c r="N383" s="128"/>
      <c r="O383" s="128"/>
      <c r="P383" s="129">
        <v>27.0</v>
      </c>
      <c r="Q383" s="130">
        <v>46047.799108796295</v>
      </c>
      <c r="R383" s="124" t="s">
        <v>231</v>
      </c>
      <c r="S383" s="124" t="s">
        <v>125</v>
      </c>
      <c r="T383" s="124" t="s">
        <v>127</v>
      </c>
      <c r="U383" s="124" t="s">
        <v>234</v>
      </c>
      <c r="V383" s="124" t="s">
        <v>227</v>
      </c>
      <c r="W383" s="124" t="s">
        <v>236</v>
      </c>
      <c r="X383" s="124" t="s">
        <v>117</v>
      </c>
      <c r="Y383" s="124" t="s">
        <v>237</v>
      </c>
      <c r="Z383" s="124" t="s">
        <v>117</v>
      </c>
      <c r="AA383" s="124" t="s">
        <v>238</v>
      </c>
      <c r="AB383" s="124" t="s">
        <v>120</v>
      </c>
      <c r="AC383" s="128"/>
      <c r="AD383" s="128"/>
      <c r="AE383" s="124" t="s">
        <v>117</v>
      </c>
      <c r="AF383" s="124" t="s">
        <v>241</v>
      </c>
      <c r="AG383" s="124" t="s">
        <v>120</v>
      </c>
      <c r="AH383" s="128"/>
      <c r="AI383" s="124" t="s">
        <v>120</v>
      </c>
      <c r="AJ383" s="128"/>
      <c r="AK383" s="128"/>
      <c r="AL383" s="124" t="s">
        <v>141</v>
      </c>
      <c r="AM383" s="124" t="s">
        <v>129</v>
      </c>
      <c r="AN383" s="124" t="s">
        <v>156</v>
      </c>
      <c r="AO383" s="124" t="s">
        <v>185</v>
      </c>
      <c r="AP383" s="124"/>
    </row>
    <row r="384">
      <c r="A384" s="124" t="s">
        <v>561</v>
      </c>
      <c r="B384" s="124" t="s">
        <v>562</v>
      </c>
      <c r="C384" s="124" t="s">
        <v>564</v>
      </c>
      <c r="D384" s="127">
        <v>40627.0</v>
      </c>
      <c r="E384" s="124" t="s">
        <v>98</v>
      </c>
      <c r="F384" s="124">
        <v>8.911147794E9</v>
      </c>
      <c r="G384" s="124" t="s">
        <v>566</v>
      </c>
      <c r="H384" s="124" t="s">
        <v>101</v>
      </c>
      <c r="I384" s="124" t="s">
        <v>567</v>
      </c>
      <c r="J384" s="124" t="s">
        <v>568</v>
      </c>
      <c r="K384" s="124" t="s">
        <v>566</v>
      </c>
      <c r="L384" s="124">
        <v>8.911147794E9</v>
      </c>
      <c r="M384" s="124" t="s">
        <v>571</v>
      </c>
      <c r="N384" s="124" t="s">
        <v>572</v>
      </c>
      <c r="O384" s="124">
        <v>5.543573982E9</v>
      </c>
      <c r="P384" s="129">
        <v>14.0</v>
      </c>
      <c r="Q384" s="130">
        <v>46026.4975</v>
      </c>
      <c r="R384" s="124" t="s">
        <v>107</v>
      </c>
      <c r="S384" s="124" t="s">
        <v>109</v>
      </c>
      <c r="T384" s="124" t="s">
        <v>208</v>
      </c>
      <c r="U384" s="124" t="s">
        <v>228</v>
      </c>
      <c r="V384" s="124" t="s">
        <v>229</v>
      </c>
      <c r="W384" s="124" t="s">
        <v>230</v>
      </c>
      <c r="X384" s="124" t="s">
        <v>117</v>
      </c>
      <c r="Y384" s="124" t="s">
        <v>576</v>
      </c>
      <c r="Z384" s="124" t="s">
        <v>120</v>
      </c>
      <c r="AA384" s="128"/>
      <c r="AB384" s="124" t="s">
        <v>117</v>
      </c>
      <c r="AC384" s="124" t="s">
        <v>117</v>
      </c>
      <c r="AD384" s="124" t="s">
        <v>577</v>
      </c>
      <c r="AE384" s="124" t="s">
        <v>117</v>
      </c>
      <c r="AF384" s="124" t="s">
        <v>578</v>
      </c>
      <c r="AG384" s="124" t="s">
        <v>120</v>
      </c>
      <c r="AH384" s="128"/>
      <c r="AI384" s="124" t="s">
        <v>120</v>
      </c>
      <c r="AJ384" s="128"/>
      <c r="AK384" s="128"/>
      <c r="AL384" s="124" t="s">
        <v>126</v>
      </c>
      <c r="AM384" s="124" t="s">
        <v>185</v>
      </c>
      <c r="AN384" s="124" t="s">
        <v>138</v>
      </c>
      <c r="AO384" s="124" t="s">
        <v>242</v>
      </c>
      <c r="AP384" s="124"/>
    </row>
    <row r="385">
      <c r="A385" s="124" t="s">
        <v>1941</v>
      </c>
      <c r="B385" s="124" t="s">
        <v>1943</v>
      </c>
      <c r="C385" s="124" t="s">
        <v>1945</v>
      </c>
      <c r="D385" s="127">
        <v>40014.0</v>
      </c>
      <c r="E385" s="124" t="s">
        <v>98</v>
      </c>
      <c r="F385" s="124" t="s">
        <v>1950</v>
      </c>
      <c r="G385" s="124" t="s">
        <v>1952</v>
      </c>
      <c r="H385" s="124" t="s">
        <v>101</v>
      </c>
      <c r="I385" s="128"/>
      <c r="J385" s="124" t="s">
        <v>1962</v>
      </c>
      <c r="K385" s="124" t="s">
        <v>1963</v>
      </c>
      <c r="L385" s="124" t="s">
        <v>1950</v>
      </c>
      <c r="M385" s="128"/>
      <c r="N385" s="128"/>
      <c r="O385" s="128"/>
      <c r="P385" s="129">
        <v>16.0</v>
      </c>
      <c r="Q385" s="130">
        <v>46040.87321759259</v>
      </c>
      <c r="R385" s="124" t="s">
        <v>107</v>
      </c>
      <c r="S385" s="124" t="s">
        <v>109</v>
      </c>
      <c r="T385" s="124" t="s">
        <v>171</v>
      </c>
      <c r="U385" s="124" t="s">
        <v>388</v>
      </c>
      <c r="V385" s="124" t="s">
        <v>389</v>
      </c>
      <c r="W385" s="124" t="s">
        <v>392</v>
      </c>
      <c r="X385" s="124" t="s">
        <v>120</v>
      </c>
      <c r="Y385" s="128"/>
      <c r="Z385" s="124" t="s">
        <v>117</v>
      </c>
      <c r="AA385" s="124" t="s">
        <v>1970</v>
      </c>
      <c r="AB385" s="124" t="s">
        <v>117</v>
      </c>
      <c r="AC385" s="124" t="s">
        <v>117</v>
      </c>
      <c r="AD385" s="124" t="s">
        <v>1972</v>
      </c>
      <c r="AE385" s="124" t="s">
        <v>120</v>
      </c>
      <c r="AF385" s="128"/>
      <c r="AG385" s="124" t="s">
        <v>120</v>
      </c>
      <c r="AH385" s="128"/>
      <c r="AI385" s="124" t="s">
        <v>120</v>
      </c>
      <c r="AJ385" s="128"/>
      <c r="AK385" s="128"/>
      <c r="AL385" s="124" t="s">
        <v>126</v>
      </c>
      <c r="AM385" s="124" t="s">
        <v>141</v>
      </c>
      <c r="AN385" s="124" t="s">
        <v>240</v>
      </c>
      <c r="AO385" s="124" t="s">
        <v>138</v>
      </c>
      <c r="AP385" s="124"/>
    </row>
    <row r="386">
      <c r="A386" s="124" t="s">
        <v>4063</v>
      </c>
      <c r="B386" s="124" t="s">
        <v>4064</v>
      </c>
      <c r="C386" s="124" t="s">
        <v>4065</v>
      </c>
      <c r="D386" s="127">
        <v>40932.0</v>
      </c>
      <c r="E386" s="124" t="s">
        <v>177</v>
      </c>
      <c r="F386" s="124">
        <v>5.574576038E9</v>
      </c>
      <c r="G386" s="124" t="s">
        <v>4066</v>
      </c>
      <c r="H386" s="124" t="s">
        <v>382</v>
      </c>
      <c r="I386" s="124" t="s">
        <v>4067</v>
      </c>
      <c r="J386" s="124" t="s">
        <v>4068</v>
      </c>
      <c r="K386" s="124" t="s">
        <v>4069</v>
      </c>
      <c r="L386" s="124">
        <v>5.531097547E9</v>
      </c>
      <c r="M386" s="124" t="s">
        <v>4070</v>
      </c>
      <c r="N386" s="124" t="s">
        <v>4071</v>
      </c>
      <c r="O386" s="124">
        <v>5.584916691E9</v>
      </c>
      <c r="P386" s="129">
        <v>14.0</v>
      </c>
      <c r="Q386" s="130">
        <v>46028.89119212963</v>
      </c>
      <c r="R386" s="124" t="s">
        <v>107</v>
      </c>
      <c r="S386" s="124" t="s">
        <v>109</v>
      </c>
      <c r="T386" s="124" t="s">
        <v>111</v>
      </c>
      <c r="U386" s="124" t="s">
        <v>1979</v>
      </c>
      <c r="V386" s="124" t="s">
        <v>1980</v>
      </c>
      <c r="W386" s="124" t="s">
        <v>1981</v>
      </c>
      <c r="X386" s="124" t="s">
        <v>120</v>
      </c>
      <c r="Y386" s="128"/>
      <c r="Z386" s="124" t="s">
        <v>120</v>
      </c>
      <c r="AA386" s="128"/>
      <c r="AB386" s="124" t="s">
        <v>120</v>
      </c>
      <c r="AC386" s="128"/>
      <c r="AD386" s="128"/>
      <c r="AE386" s="124" t="s">
        <v>120</v>
      </c>
      <c r="AF386" s="128"/>
      <c r="AG386" s="124" t="s">
        <v>120</v>
      </c>
      <c r="AH386" s="128"/>
      <c r="AI386" s="124" t="s">
        <v>120</v>
      </c>
      <c r="AJ386" s="128"/>
      <c r="AK386" s="128"/>
      <c r="AL386" s="124" t="s">
        <v>185</v>
      </c>
      <c r="AM386" s="124" t="s">
        <v>141</v>
      </c>
      <c r="AN386" s="124" t="s">
        <v>138</v>
      </c>
      <c r="AO386" s="124" t="s">
        <v>126</v>
      </c>
      <c r="AP386" s="124"/>
    </row>
    <row r="387">
      <c r="A387" s="124" t="s">
        <v>4072</v>
      </c>
      <c r="B387" s="124" t="s">
        <v>4073</v>
      </c>
      <c r="C387" s="128"/>
      <c r="D387" s="127">
        <v>40528.0</v>
      </c>
      <c r="E387" s="124" t="s">
        <v>177</v>
      </c>
      <c r="F387" s="124">
        <v>5.66347281E9</v>
      </c>
      <c r="G387" s="124" t="s">
        <v>4074</v>
      </c>
      <c r="H387" s="124" t="s">
        <v>101</v>
      </c>
      <c r="I387" s="124" t="s">
        <v>1325</v>
      </c>
      <c r="J387" s="124" t="s">
        <v>4075</v>
      </c>
      <c r="K387" s="124" t="s">
        <v>4076</v>
      </c>
      <c r="L387" s="124">
        <v>7.772156795E9</v>
      </c>
      <c r="M387" s="128"/>
      <c r="N387" s="128"/>
      <c r="O387" s="128"/>
      <c r="P387" s="129">
        <v>15.0</v>
      </c>
      <c r="Q387" s="130">
        <v>46041.83797453704</v>
      </c>
      <c r="R387" s="124" t="s">
        <v>107</v>
      </c>
      <c r="S387" s="124" t="s">
        <v>109</v>
      </c>
      <c r="T387" s="124" t="s">
        <v>111</v>
      </c>
      <c r="U387" s="124" t="s">
        <v>398</v>
      </c>
      <c r="V387" s="124" t="s">
        <v>399</v>
      </c>
      <c r="W387" s="124" t="s">
        <v>400</v>
      </c>
      <c r="X387" s="124" t="s">
        <v>120</v>
      </c>
      <c r="Y387" s="128"/>
      <c r="Z387" s="124" t="s">
        <v>120</v>
      </c>
      <c r="AA387" s="128"/>
      <c r="AB387" s="124" t="s">
        <v>120</v>
      </c>
      <c r="AC387" s="124" t="s">
        <v>120</v>
      </c>
      <c r="AD387" s="128"/>
      <c r="AE387" s="124" t="s">
        <v>120</v>
      </c>
      <c r="AF387" s="128"/>
      <c r="AG387" s="124" t="s">
        <v>120</v>
      </c>
      <c r="AH387" s="128"/>
      <c r="AI387" s="124" t="s">
        <v>120</v>
      </c>
      <c r="AJ387" s="128"/>
      <c r="AK387" s="128"/>
      <c r="AL387" s="124" t="s">
        <v>240</v>
      </c>
      <c r="AM387" s="124" t="s">
        <v>138</v>
      </c>
      <c r="AN387" s="124" t="s">
        <v>185</v>
      </c>
      <c r="AO387" s="124" t="s">
        <v>124</v>
      </c>
      <c r="AP387" s="124"/>
    </row>
    <row r="388">
      <c r="A388" s="124" t="s">
        <v>1754</v>
      </c>
      <c r="B388" s="124" t="s">
        <v>1757</v>
      </c>
      <c r="C388" s="124" t="s">
        <v>1758</v>
      </c>
      <c r="D388" s="127">
        <v>41197.0</v>
      </c>
      <c r="E388" s="124" t="s">
        <v>98</v>
      </c>
      <c r="F388" s="124">
        <v>5.540167442E9</v>
      </c>
      <c r="G388" s="124" t="s">
        <v>1762</v>
      </c>
      <c r="H388" s="124" t="s">
        <v>150</v>
      </c>
      <c r="I388" s="128"/>
      <c r="J388" s="124" t="s">
        <v>1764</v>
      </c>
      <c r="K388" s="124" t="s">
        <v>1766</v>
      </c>
      <c r="L388" s="124">
        <v>5.539984743E9</v>
      </c>
      <c r="M388" s="124" t="s">
        <v>1769</v>
      </c>
      <c r="N388" s="124" t="s">
        <v>1770</v>
      </c>
      <c r="O388" s="124">
        <v>5.511350907E9</v>
      </c>
      <c r="P388" s="129">
        <v>13.0</v>
      </c>
      <c r="Q388" s="130">
        <v>46021.54019675926</v>
      </c>
      <c r="R388" s="124" t="s">
        <v>107</v>
      </c>
      <c r="S388" s="124" t="s">
        <v>109</v>
      </c>
      <c r="T388" s="124" t="s">
        <v>204</v>
      </c>
      <c r="U388" s="124" t="s">
        <v>205</v>
      </c>
      <c r="V388" s="124" t="s">
        <v>206</v>
      </c>
      <c r="W388" s="124" t="s">
        <v>207</v>
      </c>
      <c r="X388" s="124" t="s">
        <v>120</v>
      </c>
      <c r="Y388" s="128"/>
      <c r="Z388" s="124" t="s">
        <v>120</v>
      </c>
      <c r="AA388" s="128"/>
      <c r="AB388" s="124" t="s">
        <v>117</v>
      </c>
      <c r="AC388" s="124" t="s">
        <v>117</v>
      </c>
      <c r="AD388" s="124" t="s">
        <v>4077</v>
      </c>
      <c r="AE388" s="124" t="s">
        <v>117</v>
      </c>
      <c r="AF388" s="124" t="s">
        <v>1778</v>
      </c>
      <c r="AG388" s="124" t="s">
        <v>117</v>
      </c>
      <c r="AH388" s="124" t="s">
        <v>1779</v>
      </c>
      <c r="AI388" s="124" t="s">
        <v>117</v>
      </c>
      <c r="AJ388" s="124" t="s">
        <v>1780</v>
      </c>
      <c r="AK388" s="128"/>
      <c r="AL388" s="124" t="s">
        <v>138</v>
      </c>
      <c r="AM388" s="124" t="s">
        <v>156</v>
      </c>
      <c r="AN388" s="124" t="s">
        <v>126</v>
      </c>
      <c r="AO388" s="124" t="s">
        <v>185</v>
      </c>
      <c r="AP388" s="124"/>
    </row>
    <row r="389">
      <c r="A389" s="124" t="s">
        <v>1782</v>
      </c>
      <c r="B389" s="124" t="s">
        <v>1783</v>
      </c>
      <c r="C389" s="124" t="s">
        <v>1786</v>
      </c>
      <c r="D389" s="127">
        <v>40523.0</v>
      </c>
      <c r="E389" s="124" t="s">
        <v>177</v>
      </c>
      <c r="F389" s="124">
        <v>5.513875488E9</v>
      </c>
      <c r="G389" s="124" t="s">
        <v>1792</v>
      </c>
      <c r="H389" s="124" t="s">
        <v>150</v>
      </c>
      <c r="I389" s="124" t="s">
        <v>1325</v>
      </c>
      <c r="J389" s="124" t="s">
        <v>1794</v>
      </c>
      <c r="K389" s="124" t="s">
        <v>1796</v>
      </c>
      <c r="L389" s="124">
        <v>5.559632729E9</v>
      </c>
      <c r="M389" s="128"/>
      <c r="N389" s="128"/>
      <c r="O389" s="128"/>
      <c r="P389" s="129">
        <v>15.0</v>
      </c>
      <c r="Q389" s="130">
        <v>46039.877847222226</v>
      </c>
      <c r="R389" s="124" t="s">
        <v>107</v>
      </c>
      <c r="S389" s="124" t="s">
        <v>109</v>
      </c>
      <c r="T389" s="124" t="s">
        <v>204</v>
      </c>
      <c r="U389" s="124" t="s">
        <v>295</v>
      </c>
      <c r="V389" s="124" t="s">
        <v>298</v>
      </c>
      <c r="W389" s="124" t="s">
        <v>299</v>
      </c>
      <c r="X389" s="124" t="s">
        <v>120</v>
      </c>
      <c r="Y389" s="128"/>
      <c r="Z389" s="124" t="s">
        <v>120</v>
      </c>
      <c r="AA389" s="128"/>
      <c r="AB389" s="124" t="s">
        <v>120</v>
      </c>
      <c r="AC389" s="128"/>
      <c r="AD389" s="128"/>
      <c r="AE389" s="124" t="s">
        <v>120</v>
      </c>
      <c r="AF389" s="128"/>
      <c r="AG389" s="124" t="s">
        <v>120</v>
      </c>
      <c r="AH389" s="128"/>
      <c r="AI389" s="124" t="s">
        <v>117</v>
      </c>
      <c r="AJ389" s="124" t="s">
        <v>1810</v>
      </c>
      <c r="AK389" s="124" t="s">
        <v>1325</v>
      </c>
      <c r="AL389" s="124" t="s">
        <v>138</v>
      </c>
      <c r="AM389" s="124" t="s">
        <v>124</v>
      </c>
      <c r="AN389" s="124" t="s">
        <v>126</v>
      </c>
      <c r="AO389" s="124" t="s">
        <v>240</v>
      </c>
      <c r="AP389" s="124"/>
    </row>
    <row r="390">
      <c r="A390" s="124" t="s">
        <v>294</v>
      </c>
      <c r="B390" s="124" t="s">
        <v>296</v>
      </c>
      <c r="C390" s="124" t="s">
        <v>297</v>
      </c>
      <c r="D390" s="127">
        <v>39466.0</v>
      </c>
      <c r="E390" s="124" t="s">
        <v>98</v>
      </c>
      <c r="F390" s="124">
        <v>5.522975638E9</v>
      </c>
      <c r="G390" s="124" t="s">
        <v>300</v>
      </c>
      <c r="H390" s="124" t="s">
        <v>140</v>
      </c>
      <c r="I390" s="124" t="s">
        <v>302</v>
      </c>
      <c r="J390" s="124" t="s">
        <v>303</v>
      </c>
      <c r="K390" s="124" t="s">
        <v>304</v>
      </c>
      <c r="L390" s="124">
        <v>5.517879467E9</v>
      </c>
      <c r="M390" s="124" t="s">
        <v>305</v>
      </c>
      <c r="N390" s="124" t="s">
        <v>306</v>
      </c>
      <c r="O390" s="124">
        <v>5.511264517E9</v>
      </c>
      <c r="P390" s="129">
        <v>18.0</v>
      </c>
      <c r="Q390" s="130">
        <v>46020.4871875</v>
      </c>
      <c r="R390" s="124" t="s">
        <v>107</v>
      </c>
      <c r="S390" s="124" t="s">
        <v>109</v>
      </c>
      <c r="T390" s="124" t="s">
        <v>204</v>
      </c>
      <c r="U390" s="124" t="s">
        <v>311</v>
      </c>
      <c r="V390" s="124" t="s">
        <v>312</v>
      </c>
      <c r="W390" s="124" t="s">
        <v>313</v>
      </c>
      <c r="X390" s="124" t="s">
        <v>117</v>
      </c>
      <c r="Y390" s="124" t="s">
        <v>315</v>
      </c>
      <c r="Z390" s="124" t="s">
        <v>117</v>
      </c>
      <c r="AA390" s="124" t="s">
        <v>316</v>
      </c>
      <c r="AB390" s="124" t="s">
        <v>120</v>
      </c>
      <c r="AC390" s="128"/>
      <c r="AD390" s="128"/>
      <c r="AE390" s="124" t="s">
        <v>120</v>
      </c>
      <c r="AF390" s="128"/>
      <c r="AG390" s="124" t="s">
        <v>120</v>
      </c>
      <c r="AH390" s="128"/>
      <c r="AI390" s="124" t="s">
        <v>120</v>
      </c>
      <c r="AJ390" s="128"/>
      <c r="AK390" s="128"/>
      <c r="AL390" s="124" t="s">
        <v>185</v>
      </c>
      <c r="AM390" s="124" t="s">
        <v>138</v>
      </c>
      <c r="AN390" s="124" t="s">
        <v>124</v>
      </c>
      <c r="AO390" s="124" t="s">
        <v>216</v>
      </c>
      <c r="AP390" s="124"/>
    </row>
    <row r="391">
      <c r="A391" s="124" t="s">
        <v>2466</v>
      </c>
      <c r="B391" s="124" t="s">
        <v>2467</v>
      </c>
      <c r="C391" s="124" t="s">
        <v>2468</v>
      </c>
      <c r="D391" s="127">
        <v>38296.0</v>
      </c>
      <c r="E391" s="124" t="s">
        <v>177</v>
      </c>
      <c r="F391" s="124">
        <v>5.586106934E9</v>
      </c>
      <c r="G391" s="124" t="s">
        <v>2469</v>
      </c>
      <c r="H391" s="124" t="s">
        <v>150</v>
      </c>
      <c r="I391" s="128"/>
      <c r="J391" s="124" t="s">
        <v>2470</v>
      </c>
      <c r="K391" s="124" t="s">
        <v>2471</v>
      </c>
      <c r="L391" s="124">
        <v>5.581739741E9</v>
      </c>
      <c r="M391" s="128"/>
      <c r="N391" s="128"/>
      <c r="O391" s="128"/>
      <c r="P391" s="129">
        <v>21.0</v>
      </c>
      <c r="Q391" s="130">
        <v>46040.56043981481</v>
      </c>
      <c r="R391" s="124" t="s">
        <v>107</v>
      </c>
      <c r="S391" s="124" t="s">
        <v>125</v>
      </c>
      <c r="T391" s="124" t="s">
        <v>208</v>
      </c>
      <c r="U391" s="124" t="s">
        <v>601</v>
      </c>
      <c r="V391" s="124" t="s">
        <v>602</v>
      </c>
      <c r="W391" s="124" t="s">
        <v>603</v>
      </c>
      <c r="X391" s="124" t="s">
        <v>120</v>
      </c>
      <c r="Y391" s="128"/>
      <c r="Z391" s="124" t="s">
        <v>120</v>
      </c>
      <c r="AA391" s="128"/>
      <c r="AB391" s="124" t="s">
        <v>120</v>
      </c>
      <c r="AC391" s="128"/>
      <c r="AD391" s="128"/>
      <c r="AE391" s="124" t="s">
        <v>120</v>
      </c>
      <c r="AF391" s="128"/>
      <c r="AG391" s="124" t="s">
        <v>120</v>
      </c>
      <c r="AH391" s="128"/>
      <c r="AI391" s="124" t="s">
        <v>120</v>
      </c>
      <c r="AJ391" s="128"/>
      <c r="AK391" s="128"/>
      <c r="AL391" s="124" t="s">
        <v>138</v>
      </c>
      <c r="AM391" s="124" t="s">
        <v>126</v>
      </c>
      <c r="AN391" s="124" t="s">
        <v>128</v>
      </c>
      <c r="AO391" s="124" t="s">
        <v>242</v>
      </c>
      <c r="AP391" s="124"/>
    </row>
    <row r="392">
      <c r="A392" s="124" t="s">
        <v>3870</v>
      </c>
      <c r="B392" s="124" t="s">
        <v>4078</v>
      </c>
      <c r="C392" s="124" t="s">
        <v>4079</v>
      </c>
      <c r="D392" s="127">
        <v>41181.0</v>
      </c>
      <c r="E392" s="124" t="s">
        <v>177</v>
      </c>
      <c r="F392" s="124">
        <v>5.58805919E9</v>
      </c>
      <c r="G392" s="124" t="s">
        <v>4080</v>
      </c>
      <c r="H392" s="124" t="s">
        <v>140</v>
      </c>
      <c r="I392" s="128"/>
      <c r="J392" s="124" t="s">
        <v>4081</v>
      </c>
      <c r="K392" s="124" t="s">
        <v>4082</v>
      </c>
      <c r="L392" s="124">
        <v>5.58805919E9</v>
      </c>
      <c r="M392" s="128"/>
      <c r="N392" s="128"/>
      <c r="O392" s="128"/>
      <c r="P392" s="129">
        <v>13.0</v>
      </c>
      <c r="Q392" s="130">
        <v>46033.509571759256</v>
      </c>
      <c r="R392" s="124" t="s">
        <v>107</v>
      </c>
      <c r="S392" s="124" t="s">
        <v>109</v>
      </c>
      <c r="T392" s="124" t="s">
        <v>127</v>
      </c>
      <c r="U392" s="124" t="s">
        <v>531</v>
      </c>
      <c r="V392" s="124" t="s">
        <v>532</v>
      </c>
      <c r="W392" s="124" t="s">
        <v>534</v>
      </c>
      <c r="X392" s="124" t="s">
        <v>120</v>
      </c>
      <c r="Y392" s="128"/>
      <c r="Z392" s="124" t="s">
        <v>120</v>
      </c>
      <c r="AA392" s="128"/>
      <c r="AB392" s="124" t="s">
        <v>120</v>
      </c>
      <c r="AC392" s="128"/>
      <c r="AD392" s="128"/>
      <c r="AE392" s="124" t="s">
        <v>120</v>
      </c>
      <c r="AF392" s="128"/>
      <c r="AG392" s="124" t="s">
        <v>120</v>
      </c>
      <c r="AH392" s="128"/>
      <c r="AI392" s="124" t="s">
        <v>120</v>
      </c>
      <c r="AJ392" s="128"/>
      <c r="AK392" s="128"/>
      <c r="AL392" s="124" t="s">
        <v>129</v>
      </c>
      <c r="AM392" s="124" t="s">
        <v>185</v>
      </c>
      <c r="AN392" s="124" t="s">
        <v>138</v>
      </c>
      <c r="AO392" s="124" t="s">
        <v>128</v>
      </c>
      <c r="AP392" s="124"/>
    </row>
    <row r="393">
      <c r="A393" s="124" t="s">
        <v>4083</v>
      </c>
      <c r="B393" s="124" t="s">
        <v>4084</v>
      </c>
      <c r="C393" s="124" t="s">
        <v>4085</v>
      </c>
      <c r="D393" s="127">
        <v>39543.0</v>
      </c>
      <c r="E393" s="124" t="s">
        <v>177</v>
      </c>
      <c r="F393" s="124">
        <v>5.561261602E9</v>
      </c>
      <c r="G393" s="124" t="s">
        <v>4086</v>
      </c>
      <c r="H393" s="124" t="s">
        <v>150</v>
      </c>
      <c r="I393" s="128"/>
      <c r="J393" s="124" t="s">
        <v>4087</v>
      </c>
      <c r="K393" s="124" t="s">
        <v>4086</v>
      </c>
      <c r="L393" s="124">
        <v>5.561261602E9</v>
      </c>
      <c r="M393" s="128"/>
      <c r="N393" s="128"/>
      <c r="O393" s="128"/>
      <c r="P393" s="129">
        <v>17.0</v>
      </c>
      <c r="Q393" s="130">
        <v>46037.9153125</v>
      </c>
      <c r="R393" s="124" t="s">
        <v>107</v>
      </c>
      <c r="S393" s="124" t="s">
        <v>109</v>
      </c>
      <c r="T393" s="124" t="s">
        <v>171</v>
      </c>
      <c r="U393" s="124" t="s">
        <v>2149</v>
      </c>
      <c r="V393" s="124" t="s">
        <v>2141</v>
      </c>
      <c r="W393" s="124" t="s">
        <v>2151</v>
      </c>
      <c r="X393" s="124" t="s">
        <v>120</v>
      </c>
      <c r="Y393" s="128"/>
      <c r="Z393" s="124" t="s">
        <v>120</v>
      </c>
      <c r="AA393" s="128"/>
      <c r="AB393" s="124" t="s">
        <v>120</v>
      </c>
      <c r="AC393" s="124" t="s">
        <v>120</v>
      </c>
      <c r="AD393" s="128"/>
      <c r="AE393" s="124" t="s">
        <v>120</v>
      </c>
      <c r="AF393" s="128"/>
      <c r="AG393" s="124" t="s">
        <v>120</v>
      </c>
      <c r="AH393" s="128"/>
      <c r="AI393" s="124" t="s">
        <v>120</v>
      </c>
      <c r="AJ393" s="128"/>
      <c r="AK393" s="128"/>
      <c r="AL393" s="124" t="s">
        <v>126</v>
      </c>
      <c r="AM393" s="124" t="s">
        <v>124</v>
      </c>
      <c r="AN393" s="124" t="s">
        <v>240</v>
      </c>
      <c r="AO393" s="124" t="s">
        <v>138</v>
      </c>
      <c r="AP393" s="124"/>
    </row>
    <row r="394">
      <c r="A394" s="124" t="s">
        <v>3994</v>
      </c>
      <c r="B394" s="124" t="s">
        <v>3995</v>
      </c>
      <c r="C394" s="124" t="s">
        <v>3996</v>
      </c>
      <c r="D394" s="127">
        <v>40093.0</v>
      </c>
      <c r="E394" s="124" t="s">
        <v>98</v>
      </c>
      <c r="F394" s="124">
        <v>5.565243628E9</v>
      </c>
      <c r="G394" s="124" t="s">
        <v>3997</v>
      </c>
      <c r="H394" s="124" t="s">
        <v>140</v>
      </c>
      <c r="I394" s="124" t="s">
        <v>783</v>
      </c>
      <c r="J394" s="124" t="s">
        <v>3998</v>
      </c>
      <c r="K394" s="124" t="s">
        <v>3999</v>
      </c>
      <c r="L394" s="124">
        <v>5.568794778E9</v>
      </c>
      <c r="M394" s="124" t="s">
        <v>4000</v>
      </c>
      <c r="N394" s="124" t="s">
        <v>4001</v>
      </c>
      <c r="O394" s="124">
        <v>5.539691329E9</v>
      </c>
      <c r="P394" s="129">
        <v>16.0</v>
      </c>
      <c r="Q394" s="130">
        <v>46019.67827546296</v>
      </c>
      <c r="R394" s="124" t="s">
        <v>107</v>
      </c>
      <c r="S394" s="124" t="s">
        <v>109</v>
      </c>
      <c r="T394" s="124" t="s">
        <v>127</v>
      </c>
      <c r="U394" s="124" t="s">
        <v>531</v>
      </c>
      <c r="V394" s="124" t="s">
        <v>532</v>
      </c>
      <c r="W394" s="124" t="s">
        <v>534</v>
      </c>
      <c r="X394" s="124" t="s">
        <v>120</v>
      </c>
      <c r="Y394" s="124" t="s">
        <v>783</v>
      </c>
      <c r="Z394" s="124" t="s">
        <v>120</v>
      </c>
      <c r="AA394" s="124" t="s">
        <v>783</v>
      </c>
      <c r="AB394" s="124" t="s">
        <v>120</v>
      </c>
      <c r="AC394" s="124" t="s">
        <v>120</v>
      </c>
      <c r="AD394" s="124" t="s">
        <v>783</v>
      </c>
      <c r="AE394" s="124" t="s">
        <v>120</v>
      </c>
      <c r="AF394" s="124" t="s">
        <v>783</v>
      </c>
      <c r="AG394" s="124" t="s">
        <v>120</v>
      </c>
      <c r="AH394" s="124" t="s">
        <v>783</v>
      </c>
      <c r="AI394" s="124" t="s">
        <v>120</v>
      </c>
      <c r="AJ394" s="124" t="s">
        <v>783</v>
      </c>
      <c r="AK394" s="124" t="s">
        <v>783</v>
      </c>
      <c r="AL394" s="124" t="s">
        <v>129</v>
      </c>
      <c r="AM394" s="124" t="s">
        <v>124</v>
      </c>
      <c r="AN394" s="124" t="s">
        <v>138</v>
      </c>
      <c r="AO394" s="124" t="s">
        <v>185</v>
      </c>
      <c r="AP394" s="124"/>
    </row>
    <row r="395">
      <c r="A395" s="124" t="s">
        <v>2692</v>
      </c>
      <c r="B395" s="124" t="s">
        <v>4088</v>
      </c>
      <c r="C395" s="124" t="s">
        <v>4089</v>
      </c>
      <c r="D395" s="127">
        <v>40630.0</v>
      </c>
      <c r="E395" s="124" t="s">
        <v>177</v>
      </c>
      <c r="F395" s="124">
        <v>5.521331702E9</v>
      </c>
      <c r="G395" s="124" t="s">
        <v>4090</v>
      </c>
      <c r="H395" s="124" t="s">
        <v>150</v>
      </c>
      <c r="I395" s="124" t="s">
        <v>135</v>
      </c>
      <c r="J395" s="124" t="s">
        <v>4091</v>
      </c>
      <c r="K395" s="124" t="s">
        <v>4092</v>
      </c>
      <c r="L395" s="124">
        <v>5.585591381E9</v>
      </c>
      <c r="M395" s="128"/>
      <c r="N395" s="128"/>
      <c r="O395" s="128"/>
      <c r="P395" s="129">
        <v>14.0</v>
      </c>
      <c r="Q395" s="130">
        <v>46033.802835648145</v>
      </c>
      <c r="R395" s="124" t="s">
        <v>107</v>
      </c>
      <c r="S395" s="124" t="s">
        <v>109</v>
      </c>
      <c r="T395" s="124" t="s">
        <v>160</v>
      </c>
      <c r="U395" s="124" t="s">
        <v>279</v>
      </c>
      <c r="V395" s="124" t="s">
        <v>280</v>
      </c>
      <c r="W395" s="124" t="s">
        <v>282</v>
      </c>
      <c r="X395" s="124" t="s">
        <v>120</v>
      </c>
      <c r="Y395" s="128"/>
      <c r="Z395" s="124" t="s">
        <v>120</v>
      </c>
      <c r="AA395" s="128"/>
      <c r="AB395" s="124" t="s">
        <v>120</v>
      </c>
      <c r="AC395" s="124" t="s">
        <v>120</v>
      </c>
      <c r="AD395" s="128"/>
      <c r="AE395" s="124" t="s">
        <v>120</v>
      </c>
      <c r="AF395" s="128"/>
      <c r="AG395" s="124" t="s">
        <v>120</v>
      </c>
      <c r="AH395" s="128"/>
      <c r="AI395" s="124" t="s">
        <v>120</v>
      </c>
      <c r="AJ395" s="128"/>
      <c r="AK395" s="128"/>
      <c r="AL395" s="124" t="s">
        <v>185</v>
      </c>
      <c r="AM395" s="124" t="s">
        <v>141</v>
      </c>
      <c r="AN395" s="124" t="s">
        <v>126</v>
      </c>
      <c r="AO395" s="124" t="s">
        <v>138</v>
      </c>
      <c r="AP395" s="124"/>
    </row>
    <row r="396">
      <c r="A396" s="124" t="s">
        <v>1816</v>
      </c>
      <c r="B396" s="124" t="s">
        <v>1818</v>
      </c>
      <c r="C396" s="124" t="s">
        <v>1819</v>
      </c>
      <c r="D396" s="127">
        <v>40828.0</v>
      </c>
      <c r="E396" s="124" t="s">
        <v>177</v>
      </c>
      <c r="F396" s="124">
        <v>5.513438456E9</v>
      </c>
      <c r="G396" s="124" t="s">
        <v>1823</v>
      </c>
      <c r="H396" s="124" t="s">
        <v>101</v>
      </c>
      <c r="I396" s="124" t="s">
        <v>1824</v>
      </c>
      <c r="J396" s="124" t="s">
        <v>1825</v>
      </c>
      <c r="K396" s="124" t="s">
        <v>1823</v>
      </c>
      <c r="L396" s="124">
        <v>5.513438456E9</v>
      </c>
      <c r="M396" s="128"/>
      <c r="N396" s="128"/>
      <c r="O396" s="128"/>
      <c r="P396" s="129">
        <v>14.0</v>
      </c>
      <c r="Q396" s="130">
        <v>46024.60833333333</v>
      </c>
      <c r="R396" s="124" t="s">
        <v>107</v>
      </c>
      <c r="S396" s="124" t="s">
        <v>109</v>
      </c>
      <c r="T396" s="124" t="s">
        <v>160</v>
      </c>
      <c r="U396" s="124" t="s">
        <v>329</v>
      </c>
      <c r="V396" s="124" t="s">
        <v>331</v>
      </c>
      <c r="W396" s="124" t="s">
        <v>332</v>
      </c>
      <c r="X396" s="124" t="s">
        <v>120</v>
      </c>
      <c r="Y396" s="128"/>
      <c r="Z396" s="124" t="s">
        <v>120</v>
      </c>
      <c r="AA396" s="128"/>
      <c r="AB396" s="124" t="s">
        <v>120</v>
      </c>
      <c r="AC396" s="128"/>
      <c r="AD396" s="128"/>
      <c r="AE396" s="124" t="s">
        <v>120</v>
      </c>
      <c r="AF396" s="128"/>
      <c r="AG396" s="124" t="s">
        <v>120</v>
      </c>
      <c r="AH396" s="128"/>
      <c r="AI396" s="124" t="s">
        <v>117</v>
      </c>
      <c r="AJ396" s="124" t="s">
        <v>1841</v>
      </c>
      <c r="AK396" s="128"/>
      <c r="AL396" s="124" t="s">
        <v>138</v>
      </c>
      <c r="AM396" s="124" t="s">
        <v>185</v>
      </c>
      <c r="AN396" s="124" t="s">
        <v>156</v>
      </c>
      <c r="AO396" s="124" t="s">
        <v>129</v>
      </c>
      <c r="AP396" s="124"/>
    </row>
    <row r="397">
      <c r="A397" s="124" t="s">
        <v>1996</v>
      </c>
      <c r="B397" s="124" t="s">
        <v>1678</v>
      </c>
      <c r="C397" s="124" t="s">
        <v>1997</v>
      </c>
      <c r="D397" s="127">
        <v>40003.0</v>
      </c>
      <c r="E397" s="124" t="s">
        <v>177</v>
      </c>
      <c r="F397" s="124">
        <v>5.640030363E9</v>
      </c>
      <c r="G397" s="124" t="s">
        <v>1998</v>
      </c>
      <c r="H397" s="124" t="s">
        <v>101</v>
      </c>
      <c r="I397" s="124" t="s">
        <v>2001</v>
      </c>
      <c r="J397" s="124" t="s">
        <v>2003</v>
      </c>
      <c r="K397" s="124" t="s">
        <v>2004</v>
      </c>
      <c r="L397" s="124">
        <v>5.510464135E9</v>
      </c>
      <c r="M397" s="124" t="s">
        <v>1687</v>
      </c>
      <c r="N397" s="124" t="s">
        <v>1688</v>
      </c>
      <c r="O397" s="124">
        <v>5.580325992E9</v>
      </c>
      <c r="P397" s="129">
        <v>16.0</v>
      </c>
      <c r="Q397" s="130">
        <v>46036.91539351852</v>
      </c>
      <c r="R397" s="124" t="s">
        <v>107</v>
      </c>
      <c r="S397" s="124" t="s">
        <v>109</v>
      </c>
      <c r="T397" s="124" t="s">
        <v>160</v>
      </c>
      <c r="U397" s="124" t="s">
        <v>308</v>
      </c>
      <c r="V397" s="124" t="s">
        <v>309</v>
      </c>
      <c r="W397" s="124" t="s">
        <v>310</v>
      </c>
      <c r="X397" s="124" t="s">
        <v>120</v>
      </c>
      <c r="Y397" s="128"/>
      <c r="Z397" s="124" t="s">
        <v>117</v>
      </c>
      <c r="AA397" s="124" t="s">
        <v>2020</v>
      </c>
      <c r="AB397" s="124" t="s">
        <v>117</v>
      </c>
      <c r="AC397" s="124" t="s">
        <v>117</v>
      </c>
      <c r="AD397" s="124" t="s">
        <v>2023</v>
      </c>
      <c r="AE397" s="124" t="s">
        <v>120</v>
      </c>
      <c r="AF397" s="128"/>
      <c r="AG397" s="124" t="s">
        <v>120</v>
      </c>
      <c r="AH397" s="128"/>
      <c r="AI397" s="124" t="s">
        <v>120</v>
      </c>
      <c r="AJ397" s="128"/>
      <c r="AK397" s="128"/>
      <c r="AL397" s="124" t="s">
        <v>141</v>
      </c>
      <c r="AM397" s="124" t="s">
        <v>129</v>
      </c>
      <c r="AN397" s="124" t="s">
        <v>138</v>
      </c>
      <c r="AO397" s="124" t="s">
        <v>128</v>
      </c>
      <c r="AP397" s="124"/>
    </row>
    <row r="398">
      <c r="A398" s="124" t="s">
        <v>2025</v>
      </c>
      <c r="B398" s="124" t="s">
        <v>2026</v>
      </c>
      <c r="C398" s="124" t="s">
        <v>2027</v>
      </c>
      <c r="D398" s="127">
        <v>39665.0</v>
      </c>
      <c r="E398" s="124" t="s">
        <v>98</v>
      </c>
      <c r="F398" s="124">
        <v>5.562253593E9</v>
      </c>
      <c r="G398" s="124" t="s">
        <v>2035</v>
      </c>
      <c r="H398" s="124" t="s">
        <v>140</v>
      </c>
      <c r="I398" s="128"/>
      <c r="J398" s="124" t="s">
        <v>2039</v>
      </c>
      <c r="K398" s="124" t="s">
        <v>2041</v>
      </c>
      <c r="L398" s="124">
        <v>5.529227098E9</v>
      </c>
      <c r="M398" s="124" t="s">
        <v>2044</v>
      </c>
      <c r="N398" s="124" t="s">
        <v>2047</v>
      </c>
      <c r="O398" s="124">
        <v>5.540300525E9</v>
      </c>
      <c r="P398" s="129">
        <v>17.0</v>
      </c>
      <c r="Q398" s="130">
        <v>46026.468125</v>
      </c>
      <c r="R398" s="124" t="s">
        <v>107</v>
      </c>
      <c r="S398" s="124" t="s">
        <v>109</v>
      </c>
      <c r="T398" s="124" t="s">
        <v>208</v>
      </c>
      <c r="U398" s="124" t="s">
        <v>209</v>
      </c>
      <c r="V398" s="124" t="s">
        <v>210</v>
      </c>
      <c r="W398" s="124" t="s">
        <v>211</v>
      </c>
      <c r="X398" s="124" t="s">
        <v>120</v>
      </c>
      <c r="Y398" s="128"/>
      <c r="Z398" s="124" t="s">
        <v>117</v>
      </c>
      <c r="AA398" s="124" t="s">
        <v>2051</v>
      </c>
      <c r="AB398" s="124" t="s">
        <v>117</v>
      </c>
      <c r="AC398" s="124" t="s">
        <v>117</v>
      </c>
      <c r="AD398" s="124" t="s">
        <v>2052</v>
      </c>
      <c r="AE398" s="124" t="s">
        <v>120</v>
      </c>
      <c r="AF398" s="128"/>
      <c r="AG398" s="124" t="s">
        <v>120</v>
      </c>
      <c r="AH398" s="128"/>
      <c r="AI398" s="124" t="s">
        <v>117</v>
      </c>
      <c r="AJ398" s="128"/>
      <c r="AK398" s="128"/>
      <c r="AL398" s="124" t="s">
        <v>141</v>
      </c>
      <c r="AM398" s="124" t="s">
        <v>185</v>
      </c>
      <c r="AN398" s="124" t="s">
        <v>156</v>
      </c>
      <c r="AO398" s="124" t="s">
        <v>185</v>
      </c>
      <c r="AP398" s="124"/>
    </row>
    <row r="399">
      <c r="A399" s="124" t="s">
        <v>4093</v>
      </c>
      <c r="B399" s="124" t="s">
        <v>4094</v>
      </c>
      <c r="C399" s="124" t="s">
        <v>4095</v>
      </c>
      <c r="D399" s="127">
        <v>40395.0</v>
      </c>
      <c r="E399" s="124" t="s">
        <v>177</v>
      </c>
      <c r="F399" s="124">
        <v>5.532024441E9</v>
      </c>
      <c r="G399" s="124" t="s">
        <v>4096</v>
      </c>
      <c r="H399" s="124" t="s">
        <v>101</v>
      </c>
      <c r="I399" s="128"/>
      <c r="J399" s="124" t="s">
        <v>4097</v>
      </c>
      <c r="K399" s="124" t="s">
        <v>4098</v>
      </c>
      <c r="L399" s="124">
        <v>5.53396012E9</v>
      </c>
      <c r="M399" s="128"/>
      <c r="N399" s="128"/>
      <c r="O399" s="128"/>
      <c r="P399" s="129">
        <v>15.0</v>
      </c>
      <c r="Q399" s="130">
        <v>46033.435532407406</v>
      </c>
      <c r="R399" s="124" t="s">
        <v>107</v>
      </c>
      <c r="S399" s="124" t="s">
        <v>109</v>
      </c>
      <c r="T399" s="124" t="s">
        <v>160</v>
      </c>
      <c r="U399" s="124" t="s">
        <v>308</v>
      </c>
      <c r="V399" s="124" t="s">
        <v>309</v>
      </c>
      <c r="W399" s="124" t="s">
        <v>310</v>
      </c>
      <c r="X399" s="124" t="s">
        <v>120</v>
      </c>
      <c r="Y399" s="128"/>
      <c r="Z399" s="124" t="s">
        <v>120</v>
      </c>
      <c r="AA399" s="128"/>
      <c r="AB399" s="124" t="s">
        <v>120</v>
      </c>
      <c r="AC399" s="128"/>
      <c r="AD399" s="128"/>
      <c r="AE399" s="124" t="s">
        <v>120</v>
      </c>
      <c r="AF399" s="128"/>
      <c r="AG399" s="124" t="s">
        <v>120</v>
      </c>
      <c r="AH399" s="128"/>
      <c r="AI399" s="124" t="s">
        <v>120</v>
      </c>
      <c r="AJ399" s="128"/>
      <c r="AK399" s="128"/>
      <c r="AL399" s="124" t="s">
        <v>129</v>
      </c>
      <c r="AM399" s="124" t="s">
        <v>129</v>
      </c>
      <c r="AN399" s="124" t="s">
        <v>126</v>
      </c>
      <c r="AO399" s="124" t="s">
        <v>126</v>
      </c>
      <c r="AP399" s="124"/>
    </row>
    <row r="400">
      <c r="A400" s="124" t="s">
        <v>2479</v>
      </c>
      <c r="B400" s="124" t="s">
        <v>2480</v>
      </c>
      <c r="C400" s="124" t="s">
        <v>2481</v>
      </c>
      <c r="D400" s="127">
        <v>38879.0</v>
      </c>
      <c r="E400" s="124" t="s">
        <v>177</v>
      </c>
      <c r="F400" s="124">
        <v>5.530796041E9</v>
      </c>
      <c r="G400" s="124" t="s">
        <v>2482</v>
      </c>
      <c r="H400" s="124" t="s">
        <v>101</v>
      </c>
      <c r="I400" s="128"/>
      <c r="J400" s="124" t="s">
        <v>2484</v>
      </c>
      <c r="K400" s="124" t="s">
        <v>2486</v>
      </c>
      <c r="L400" s="128" t="str">
        <f>+52 55 3473 0638</f>
        <v>#ERROR!</v>
      </c>
      <c r="M400" s="128"/>
      <c r="N400" s="128"/>
      <c r="O400" s="128"/>
      <c r="P400" s="129">
        <v>19.0</v>
      </c>
      <c r="Q400" s="130">
        <v>46038.36105324074</v>
      </c>
      <c r="R400" s="124" t="s">
        <v>107</v>
      </c>
      <c r="S400" s="124" t="s">
        <v>125</v>
      </c>
      <c r="T400" s="124" t="s">
        <v>160</v>
      </c>
      <c r="U400" s="124" t="s">
        <v>308</v>
      </c>
      <c r="V400" s="124" t="s">
        <v>309</v>
      </c>
      <c r="W400" s="124" t="s">
        <v>310</v>
      </c>
      <c r="X400" s="124" t="s">
        <v>120</v>
      </c>
      <c r="Y400" s="128"/>
      <c r="Z400" s="124" t="s">
        <v>120</v>
      </c>
      <c r="AA400" s="128"/>
      <c r="AB400" s="124" t="s">
        <v>120</v>
      </c>
      <c r="AC400" s="124" t="s">
        <v>117</v>
      </c>
      <c r="AD400" s="128"/>
      <c r="AE400" s="124" t="s">
        <v>120</v>
      </c>
      <c r="AF400" s="128"/>
      <c r="AG400" s="124" t="s">
        <v>120</v>
      </c>
      <c r="AH400" s="128"/>
      <c r="AI400" s="124" t="s">
        <v>120</v>
      </c>
      <c r="AJ400" s="128"/>
      <c r="AK400" s="128"/>
      <c r="AL400" s="124" t="s">
        <v>240</v>
      </c>
      <c r="AM400" s="124" t="s">
        <v>138</v>
      </c>
      <c r="AN400" s="124" t="s">
        <v>126</v>
      </c>
      <c r="AO400" s="124" t="s">
        <v>240</v>
      </c>
      <c r="AP400" s="124"/>
    </row>
    <row r="401">
      <c r="A401" s="124" t="s">
        <v>1749</v>
      </c>
      <c r="B401" s="124" t="s">
        <v>1751</v>
      </c>
      <c r="C401" s="124" t="s">
        <v>1752</v>
      </c>
      <c r="D401" s="127">
        <v>39958.0</v>
      </c>
      <c r="E401" s="124" t="s">
        <v>98</v>
      </c>
      <c r="F401" s="124">
        <v>5.537331039E9</v>
      </c>
      <c r="G401" s="124" t="s">
        <v>1753</v>
      </c>
      <c r="H401" s="124" t="s">
        <v>101</v>
      </c>
      <c r="I401" s="124" t="s">
        <v>2062</v>
      </c>
      <c r="J401" s="124" t="s">
        <v>2064</v>
      </c>
      <c r="K401" s="124" t="s">
        <v>1760</v>
      </c>
      <c r="L401" s="124">
        <v>5.554159611E9</v>
      </c>
      <c r="M401" s="124" t="s">
        <v>1755</v>
      </c>
      <c r="N401" s="124" t="s">
        <v>1756</v>
      </c>
      <c r="O401" s="124">
        <v>5.537331039E9</v>
      </c>
      <c r="P401" s="129">
        <v>16.0</v>
      </c>
      <c r="Q401" s="130">
        <v>46033.79350694444</v>
      </c>
      <c r="R401" s="124" t="s">
        <v>546</v>
      </c>
      <c r="S401" s="124" t="s">
        <v>109</v>
      </c>
      <c r="T401" s="124" t="s">
        <v>171</v>
      </c>
      <c r="U401" s="124" t="s">
        <v>526</v>
      </c>
      <c r="V401" s="124" t="s">
        <v>527</v>
      </c>
      <c r="W401" s="124" t="s">
        <v>528</v>
      </c>
      <c r="X401" s="124" t="s">
        <v>120</v>
      </c>
      <c r="Y401" s="128"/>
      <c r="Z401" s="124" t="s">
        <v>120</v>
      </c>
      <c r="AA401" s="128"/>
      <c r="AB401" s="124" t="s">
        <v>117</v>
      </c>
      <c r="AC401" s="124" t="s">
        <v>117</v>
      </c>
      <c r="AD401" s="124" t="s">
        <v>2072</v>
      </c>
      <c r="AE401" s="124" t="s">
        <v>120</v>
      </c>
      <c r="AF401" s="128"/>
      <c r="AG401" s="124" t="s">
        <v>120</v>
      </c>
      <c r="AH401" s="128"/>
      <c r="AI401" s="124" t="s">
        <v>120</v>
      </c>
      <c r="AJ401" s="128"/>
      <c r="AK401" s="124" t="s">
        <v>135</v>
      </c>
      <c r="AL401" s="124" t="s">
        <v>126</v>
      </c>
      <c r="AM401" s="124" t="s">
        <v>242</v>
      </c>
      <c r="AN401" s="124" t="s">
        <v>156</v>
      </c>
      <c r="AO401" s="124" t="s">
        <v>129</v>
      </c>
      <c r="AP401" s="124"/>
    </row>
    <row r="402">
      <c r="A402" s="124" t="s">
        <v>4099</v>
      </c>
      <c r="B402" s="124" t="s">
        <v>4100</v>
      </c>
      <c r="C402" s="124" t="s">
        <v>4101</v>
      </c>
      <c r="D402" s="127">
        <v>40174.0</v>
      </c>
      <c r="E402" s="124" t="s">
        <v>177</v>
      </c>
      <c r="F402" s="124">
        <v>5.539615677E9</v>
      </c>
      <c r="G402" s="124" t="s">
        <v>4102</v>
      </c>
      <c r="H402" s="124" t="s">
        <v>101</v>
      </c>
      <c r="I402" s="128"/>
      <c r="J402" s="124" t="s">
        <v>4103</v>
      </c>
      <c r="K402" s="124" t="s">
        <v>4104</v>
      </c>
      <c r="L402" s="128" t="str">
        <f>+52 56 3152 3092</f>
        <v>#ERROR!</v>
      </c>
      <c r="M402" s="124" t="s">
        <v>4105</v>
      </c>
      <c r="N402" s="124" t="s">
        <v>4102</v>
      </c>
      <c r="O402" s="128" t="str">
        <f>+52 55 2941 2096</f>
        <v>#ERROR!</v>
      </c>
      <c r="P402" s="129">
        <v>16.0</v>
      </c>
      <c r="Q402" s="130">
        <v>46035.724803240744</v>
      </c>
      <c r="R402" s="124" t="s">
        <v>107</v>
      </c>
      <c r="S402" s="124" t="s">
        <v>109</v>
      </c>
      <c r="T402" s="124" t="s">
        <v>204</v>
      </c>
      <c r="U402" s="124" t="s">
        <v>367</v>
      </c>
      <c r="V402" s="124" t="s">
        <v>368</v>
      </c>
      <c r="W402" s="124" t="s">
        <v>369</v>
      </c>
      <c r="X402" s="124" t="s">
        <v>120</v>
      </c>
      <c r="Y402" s="128"/>
      <c r="Z402" s="124" t="s">
        <v>120</v>
      </c>
      <c r="AA402" s="128"/>
      <c r="AB402" s="124" t="s">
        <v>120</v>
      </c>
      <c r="AC402" s="128"/>
      <c r="AD402" s="128"/>
      <c r="AE402" s="124" t="s">
        <v>120</v>
      </c>
      <c r="AF402" s="128"/>
      <c r="AG402" s="124" t="s">
        <v>120</v>
      </c>
      <c r="AH402" s="128"/>
      <c r="AI402" s="124" t="s">
        <v>120</v>
      </c>
      <c r="AJ402" s="128"/>
      <c r="AK402" s="128"/>
      <c r="AL402" s="124" t="s">
        <v>141</v>
      </c>
      <c r="AM402" s="124" t="s">
        <v>129</v>
      </c>
      <c r="AN402" s="124" t="s">
        <v>128</v>
      </c>
      <c r="AO402" s="124" t="s">
        <v>185</v>
      </c>
      <c r="AP402" s="124"/>
    </row>
    <row r="403">
      <c r="A403" s="124" t="s">
        <v>1847</v>
      </c>
      <c r="B403" s="124" t="s">
        <v>1848</v>
      </c>
      <c r="C403" s="124" t="s">
        <v>1849</v>
      </c>
      <c r="D403" s="127">
        <v>39577.0</v>
      </c>
      <c r="E403" s="124" t="s">
        <v>98</v>
      </c>
      <c r="F403" s="124">
        <v>5.574880708E9</v>
      </c>
      <c r="G403" s="124" t="s">
        <v>1851</v>
      </c>
      <c r="H403" s="124" t="s">
        <v>150</v>
      </c>
      <c r="I403" s="128"/>
      <c r="J403" s="124" t="s">
        <v>1852</v>
      </c>
      <c r="K403" s="124" t="s">
        <v>1853</v>
      </c>
      <c r="L403" s="124">
        <v>5.536704548E9</v>
      </c>
      <c r="M403" s="128"/>
      <c r="N403" s="128"/>
      <c r="O403" s="128"/>
      <c r="P403" s="129">
        <v>17.0</v>
      </c>
      <c r="Q403" s="130">
        <v>46034.69836805556</v>
      </c>
      <c r="R403" s="124" t="s">
        <v>107</v>
      </c>
      <c r="S403" s="124" t="s">
        <v>109</v>
      </c>
      <c r="T403" s="124" t="s">
        <v>127</v>
      </c>
      <c r="U403" s="124" t="s">
        <v>234</v>
      </c>
      <c r="V403" s="124" t="s">
        <v>227</v>
      </c>
      <c r="W403" s="124" t="s">
        <v>236</v>
      </c>
      <c r="X403" s="124" t="s">
        <v>120</v>
      </c>
      <c r="Y403" s="128"/>
      <c r="Z403" s="124" t="s">
        <v>120</v>
      </c>
      <c r="AA403" s="128"/>
      <c r="AB403" s="124" t="s">
        <v>120</v>
      </c>
      <c r="AC403" s="128"/>
      <c r="AD403" s="128"/>
      <c r="AE403" s="124" t="s">
        <v>120</v>
      </c>
      <c r="AF403" s="128"/>
      <c r="AG403" s="124" t="s">
        <v>120</v>
      </c>
      <c r="AH403" s="128"/>
      <c r="AI403" s="124" t="s">
        <v>117</v>
      </c>
      <c r="AJ403" s="124" t="s">
        <v>178</v>
      </c>
      <c r="AK403" s="128"/>
      <c r="AL403" s="124" t="s">
        <v>138</v>
      </c>
      <c r="AM403" s="124" t="s">
        <v>242</v>
      </c>
      <c r="AN403" s="124" t="s">
        <v>141</v>
      </c>
      <c r="AO403" s="124" t="s">
        <v>126</v>
      </c>
      <c r="AP403" s="124"/>
    </row>
    <row r="404">
      <c r="A404" s="124" t="s">
        <v>4106</v>
      </c>
      <c r="B404" s="124" t="s">
        <v>4107</v>
      </c>
      <c r="C404" s="124" t="s">
        <v>4108</v>
      </c>
      <c r="D404" s="127">
        <v>39494.0</v>
      </c>
      <c r="E404" s="124" t="s">
        <v>98</v>
      </c>
      <c r="F404" s="124">
        <v>5.570853245E9</v>
      </c>
      <c r="G404" s="124" t="s">
        <v>4109</v>
      </c>
      <c r="H404" s="124" t="s">
        <v>140</v>
      </c>
      <c r="I404" s="124" t="s">
        <v>135</v>
      </c>
      <c r="J404" s="124" t="s">
        <v>4110</v>
      </c>
      <c r="K404" s="124" t="s">
        <v>4111</v>
      </c>
      <c r="L404" s="124">
        <v>5.611180992E9</v>
      </c>
      <c r="M404" s="124" t="s">
        <v>3836</v>
      </c>
      <c r="N404" s="124" t="s">
        <v>4112</v>
      </c>
      <c r="O404" s="124">
        <v>5.529685412E9</v>
      </c>
      <c r="P404" s="129">
        <v>18.0</v>
      </c>
      <c r="Q404" s="130">
        <v>46033.91143518518</v>
      </c>
      <c r="R404" s="124" t="s">
        <v>107</v>
      </c>
      <c r="S404" s="124" t="s">
        <v>109</v>
      </c>
      <c r="T404" s="124" t="s">
        <v>192</v>
      </c>
      <c r="U404" s="124" t="s">
        <v>749</v>
      </c>
      <c r="V404" s="124" t="s">
        <v>750</v>
      </c>
      <c r="W404" s="124" t="s">
        <v>751</v>
      </c>
      <c r="X404" s="124" t="s">
        <v>120</v>
      </c>
      <c r="Y404" s="124" t="s">
        <v>135</v>
      </c>
      <c r="Z404" s="124" t="s">
        <v>120</v>
      </c>
      <c r="AA404" s="124" t="s">
        <v>135</v>
      </c>
      <c r="AB404" s="124" t="s">
        <v>120</v>
      </c>
      <c r="AC404" s="124" t="s">
        <v>120</v>
      </c>
      <c r="AD404" s="124" t="s">
        <v>2397</v>
      </c>
      <c r="AE404" s="124" t="s">
        <v>120</v>
      </c>
      <c r="AF404" s="124" t="s">
        <v>2397</v>
      </c>
      <c r="AG404" s="124" t="s">
        <v>120</v>
      </c>
      <c r="AH404" s="124" t="s">
        <v>135</v>
      </c>
      <c r="AI404" s="124" t="s">
        <v>120</v>
      </c>
      <c r="AJ404" s="124" t="s">
        <v>2397</v>
      </c>
      <c r="AK404" s="124" t="s">
        <v>2397</v>
      </c>
      <c r="AL404" s="124" t="s">
        <v>129</v>
      </c>
      <c r="AM404" s="124" t="s">
        <v>126</v>
      </c>
      <c r="AN404" s="124" t="s">
        <v>128</v>
      </c>
      <c r="AO404" s="124" t="s">
        <v>156</v>
      </c>
      <c r="AP404" s="124"/>
    </row>
    <row r="405">
      <c r="A405" s="124" t="s">
        <v>2075</v>
      </c>
      <c r="B405" s="124" t="s">
        <v>2077</v>
      </c>
      <c r="C405" s="124" t="s">
        <v>2079</v>
      </c>
      <c r="D405" s="127">
        <v>39850.0</v>
      </c>
      <c r="E405" s="124" t="s">
        <v>98</v>
      </c>
      <c r="F405" s="124">
        <v>5.549421273E9</v>
      </c>
      <c r="G405" s="124" t="s">
        <v>2082</v>
      </c>
      <c r="H405" s="124" t="s">
        <v>140</v>
      </c>
      <c r="I405" s="128"/>
      <c r="J405" s="124" t="s">
        <v>2083</v>
      </c>
      <c r="K405" s="124" t="s">
        <v>2084</v>
      </c>
      <c r="L405" s="124">
        <v>5.5101181E9</v>
      </c>
      <c r="M405" s="124" t="s">
        <v>2085</v>
      </c>
      <c r="N405" s="124" t="s">
        <v>2086</v>
      </c>
      <c r="O405" s="124">
        <v>5.549421318E9</v>
      </c>
      <c r="P405" s="129">
        <v>17.0</v>
      </c>
      <c r="Q405" s="130">
        <v>46026.91018518519</v>
      </c>
      <c r="R405" s="124" t="s">
        <v>107</v>
      </c>
      <c r="S405" s="124" t="s">
        <v>109</v>
      </c>
      <c r="T405" s="124" t="s">
        <v>192</v>
      </c>
      <c r="U405" s="124" t="s">
        <v>505</v>
      </c>
      <c r="V405" s="124" t="s">
        <v>506</v>
      </c>
      <c r="W405" s="124" t="s">
        <v>507</v>
      </c>
      <c r="X405" s="124" t="s">
        <v>120</v>
      </c>
      <c r="Y405" s="128"/>
      <c r="Z405" s="124" t="s">
        <v>117</v>
      </c>
      <c r="AA405" s="124" t="s">
        <v>2090</v>
      </c>
      <c r="AB405" s="124" t="s">
        <v>117</v>
      </c>
      <c r="AC405" s="124" t="s">
        <v>117</v>
      </c>
      <c r="AD405" s="124" t="s">
        <v>2092</v>
      </c>
      <c r="AE405" s="124" t="s">
        <v>120</v>
      </c>
      <c r="AF405" s="128"/>
      <c r="AG405" s="124" t="s">
        <v>120</v>
      </c>
      <c r="AH405" s="128"/>
      <c r="AI405" s="124" t="s">
        <v>120</v>
      </c>
      <c r="AJ405" s="128"/>
      <c r="AK405" s="128"/>
      <c r="AL405" s="124" t="s">
        <v>124</v>
      </c>
      <c r="AM405" s="124" t="s">
        <v>185</v>
      </c>
      <c r="AN405" s="124" t="s">
        <v>242</v>
      </c>
      <c r="AO405" s="124" t="s">
        <v>129</v>
      </c>
      <c r="AP405" s="124"/>
    </row>
    <row r="406">
      <c r="A406" s="124" t="s">
        <v>1111</v>
      </c>
      <c r="B406" s="124" t="s">
        <v>1112</v>
      </c>
      <c r="C406" s="124" t="s">
        <v>1113</v>
      </c>
      <c r="D406" s="127">
        <v>40390.0</v>
      </c>
      <c r="E406" s="124" t="s">
        <v>98</v>
      </c>
      <c r="F406" s="124">
        <v>5.611797542E9</v>
      </c>
      <c r="G406" s="124" t="s">
        <v>1115</v>
      </c>
      <c r="H406" s="124" t="s">
        <v>101</v>
      </c>
      <c r="I406" s="124" t="s">
        <v>1117</v>
      </c>
      <c r="J406" s="124" t="s">
        <v>1119</v>
      </c>
      <c r="K406" s="124" t="s">
        <v>1121</v>
      </c>
      <c r="L406" s="124">
        <v>5.581570515E9</v>
      </c>
      <c r="M406" s="128"/>
      <c r="N406" s="128"/>
      <c r="O406" s="128"/>
      <c r="P406" s="129">
        <v>15.0</v>
      </c>
      <c r="Q406" s="130">
        <v>46028.85824074074</v>
      </c>
      <c r="R406" s="124" t="s">
        <v>107</v>
      </c>
      <c r="S406" s="124" t="s">
        <v>109</v>
      </c>
      <c r="T406" s="124" t="s">
        <v>204</v>
      </c>
      <c r="U406" s="124" t="s">
        <v>311</v>
      </c>
      <c r="V406" s="124" t="s">
        <v>312</v>
      </c>
      <c r="W406" s="124" t="s">
        <v>313</v>
      </c>
      <c r="X406" s="124" t="s">
        <v>120</v>
      </c>
      <c r="Y406" s="128"/>
      <c r="Z406" s="124" t="s">
        <v>120</v>
      </c>
      <c r="AA406" s="128"/>
      <c r="AB406" s="124" t="s">
        <v>120</v>
      </c>
      <c r="AC406" s="128"/>
      <c r="AD406" s="128"/>
      <c r="AE406" s="124" t="s">
        <v>120</v>
      </c>
      <c r="AF406" s="128"/>
      <c r="AG406" s="124" t="s">
        <v>120</v>
      </c>
      <c r="AH406" s="128"/>
      <c r="AI406" s="124" t="s">
        <v>120</v>
      </c>
      <c r="AJ406" s="128"/>
      <c r="AK406" s="128"/>
      <c r="AL406" s="124" t="s">
        <v>138</v>
      </c>
      <c r="AM406" s="124" t="s">
        <v>124</v>
      </c>
      <c r="AN406" s="124" t="s">
        <v>129</v>
      </c>
      <c r="AO406" s="124" t="s">
        <v>128</v>
      </c>
      <c r="AP406" s="124"/>
    </row>
    <row r="407">
      <c r="A407" s="124" t="s">
        <v>1308</v>
      </c>
      <c r="B407" s="124" t="s">
        <v>1310</v>
      </c>
      <c r="C407" s="124" t="s">
        <v>72</v>
      </c>
      <c r="D407" s="127">
        <v>40376.0</v>
      </c>
      <c r="E407" s="124" t="s">
        <v>177</v>
      </c>
      <c r="F407" s="128" t="str">
        <f>+52 722 453 1475</f>
        <v>#ERROR!</v>
      </c>
      <c r="G407" s="124" t="s">
        <v>1315</v>
      </c>
      <c r="H407" s="124" t="s">
        <v>101</v>
      </c>
      <c r="I407" s="128"/>
      <c r="J407" s="124" t="s">
        <v>1318</v>
      </c>
      <c r="K407" s="124" t="s">
        <v>1319</v>
      </c>
      <c r="L407" s="124">
        <v>5.518631673E9</v>
      </c>
      <c r="M407" s="124" t="s">
        <v>1321</v>
      </c>
      <c r="N407" s="124" t="s">
        <v>1323</v>
      </c>
      <c r="O407" s="124" t="s">
        <v>1324</v>
      </c>
      <c r="P407" s="129">
        <v>15.0</v>
      </c>
      <c r="Q407" s="130">
        <v>46021.5812037037</v>
      </c>
      <c r="R407" s="124" t="s">
        <v>107</v>
      </c>
      <c r="S407" s="124" t="s">
        <v>109</v>
      </c>
      <c r="T407" s="124" t="s">
        <v>192</v>
      </c>
      <c r="U407" s="124" t="s">
        <v>749</v>
      </c>
      <c r="V407" s="124" t="s">
        <v>750</v>
      </c>
      <c r="W407" s="124" t="s">
        <v>751</v>
      </c>
      <c r="X407" s="124" t="s">
        <v>120</v>
      </c>
      <c r="Y407" s="124" t="s">
        <v>1332</v>
      </c>
      <c r="Z407" s="124" t="s">
        <v>120</v>
      </c>
      <c r="AA407" s="128"/>
      <c r="AB407" s="124" t="s">
        <v>120</v>
      </c>
      <c r="AC407" s="128"/>
      <c r="AD407" s="128"/>
      <c r="AE407" s="124" t="s">
        <v>120</v>
      </c>
      <c r="AF407" s="128"/>
      <c r="AG407" s="124" t="s">
        <v>120</v>
      </c>
      <c r="AH407" s="128"/>
      <c r="AI407" s="124" t="s">
        <v>120</v>
      </c>
      <c r="AJ407" s="128"/>
      <c r="AK407" s="124" t="s">
        <v>1339</v>
      </c>
      <c r="AL407" s="124" t="s">
        <v>185</v>
      </c>
      <c r="AM407" s="124" t="s">
        <v>138</v>
      </c>
      <c r="AN407" s="124" t="s">
        <v>242</v>
      </c>
      <c r="AO407" s="124" t="s">
        <v>126</v>
      </c>
      <c r="AP407" s="124"/>
    </row>
    <row r="408">
      <c r="A408" s="124" t="s">
        <v>1879</v>
      </c>
      <c r="B408" s="124" t="s">
        <v>1881</v>
      </c>
      <c r="C408" s="124" t="s">
        <v>1882</v>
      </c>
      <c r="D408" s="127">
        <v>39946.0</v>
      </c>
      <c r="E408" s="124" t="s">
        <v>98</v>
      </c>
      <c r="F408" s="124">
        <v>5.561064727E9</v>
      </c>
      <c r="G408" s="124" t="s">
        <v>1883</v>
      </c>
      <c r="H408" s="124" t="s">
        <v>140</v>
      </c>
      <c r="I408" s="128"/>
      <c r="J408" s="124" t="s">
        <v>1889</v>
      </c>
      <c r="K408" s="124" t="s">
        <v>1891</v>
      </c>
      <c r="L408" s="124">
        <v>5.529369198E9</v>
      </c>
      <c r="M408" s="128"/>
      <c r="N408" s="128"/>
      <c r="O408" s="128"/>
      <c r="P408" s="129">
        <v>16.0</v>
      </c>
      <c r="Q408" s="130">
        <v>46038.53</v>
      </c>
      <c r="R408" s="124" t="s">
        <v>107</v>
      </c>
      <c r="S408" s="124" t="s">
        <v>109</v>
      </c>
      <c r="T408" s="124" t="s">
        <v>192</v>
      </c>
      <c r="U408" s="124" t="s">
        <v>485</v>
      </c>
      <c r="V408" s="124" t="s">
        <v>486</v>
      </c>
      <c r="W408" s="124" t="s">
        <v>487</v>
      </c>
      <c r="X408" s="124" t="s">
        <v>120</v>
      </c>
      <c r="Y408" s="128"/>
      <c r="Z408" s="124" t="s">
        <v>120</v>
      </c>
      <c r="AA408" s="128"/>
      <c r="AB408" s="124" t="s">
        <v>120</v>
      </c>
      <c r="AC408" s="128"/>
      <c r="AD408" s="128"/>
      <c r="AE408" s="124" t="s">
        <v>120</v>
      </c>
      <c r="AF408" s="128"/>
      <c r="AG408" s="124" t="s">
        <v>120</v>
      </c>
      <c r="AH408" s="128"/>
      <c r="AI408" s="124" t="s">
        <v>117</v>
      </c>
      <c r="AJ408" s="124" t="s">
        <v>807</v>
      </c>
      <c r="AK408" s="128"/>
      <c r="AL408" s="124" t="s">
        <v>216</v>
      </c>
      <c r="AM408" s="124" t="s">
        <v>185</v>
      </c>
      <c r="AN408" s="124" t="s">
        <v>138</v>
      </c>
      <c r="AO408" s="124" t="s">
        <v>156</v>
      </c>
      <c r="AP408" s="124"/>
    </row>
    <row r="409">
      <c r="A409" s="124" t="s">
        <v>4113</v>
      </c>
      <c r="B409" s="124" t="s">
        <v>4114</v>
      </c>
      <c r="C409" s="124" t="s">
        <v>4115</v>
      </c>
      <c r="D409" s="127">
        <v>39022.0</v>
      </c>
      <c r="E409" s="124" t="s">
        <v>177</v>
      </c>
      <c r="F409" s="124">
        <v>5.581028702E9</v>
      </c>
      <c r="G409" s="124" t="s">
        <v>4116</v>
      </c>
      <c r="H409" s="124" t="s">
        <v>101</v>
      </c>
      <c r="I409" s="128"/>
      <c r="J409" s="124" t="s">
        <v>4117</v>
      </c>
      <c r="K409" s="124" t="s">
        <v>4118</v>
      </c>
      <c r="L409" s="124">
        <v>5.53084821E9</v>
      </c>
      <c r="M409" s="128"/>
      <c r="N409" s="128"/>
      <c r="O409" s="128"/>
      <c r="P409" s="129">
        <v>19.0</v>
      </c>
      <c r="Q409" s="130">
        <v>46040.977118055554</v>
      </c>
      <c r="R409" s="124" t="s">
        <v>107</v>
      </c>
      <c r="S409" s="124" t="s">
        <v>125</v>
      </c>
      <c r="T409" s="124" t="s">
        <v>111</v>
      </c>
      <c r="U409" s="124" t="s">
        <v>657</v>
      </c>
      <c r="V409" s="124" t="s">
        <v>659</v>
      </c>
      <c r="W409" s="124" t="s">
        <v>662</v>
      </c>
      <c r="X409" s="124" t="s">
        <v>120</v>
      </c>
      <c r="Y409" s="128"/>
      <c r="Z409" s="124" t="s">
        <v>120</v>
      </c>
      <c r="AA409" s="128"/>
      <c r="AB409" s="124" t="s">
        <v>120</v>
      </c>
      <c r="AC409" s="128"/>
      <c r="AD409" s="128"/>
      <c r="AE409" s="124" t="s">
        <v>120</v>
      </c>
      <c r="AF409" s="128"/>
      <c r="AG409" s="124" t="s">
        <v>120</v>
      </c>
      <c r="AH409" s="128"/>
      <c r="AI409" s="124" t="s">
        <v>120</v>
      </c>
      <c r="AJ409" s="128"/>
      <c r="AK409" s="128"/>
      <c r="AL409" s="124" t="s">
        <v>156</v>
      </c>
      <c r="AM409" s="124" t="s">
        <v>138</v>
      </c>
      <c r="AN409" s="124" t="s">
        <v>128</v>
      </c>
      <c r="AO409" s="124" t="s">
        <v>126</v>
      </c>
      <c r="AP409" s="124"/>
    </row>
    <row r="410">
      <c r="A410" s="124" t="s">
        <v>371</v>
      </c>
      <c r="B410" s="124" t="s">
        <v>373</v>
      </c>
      <c r="C410" s="124" t="s">
        <v>375</v>
      </c>
      <c r="D410" s="127">
        <v>39987.0</v>
      </c>
      <c r="E410" s="124" t="s">
        <v>177</v>
      </c>
      <c r="F410" s="124" t="s">
        <v>376</v>
      </c>
      <c r="G410" s="124" t="s">
        <v>377</v>
      </c>
      <c r="H410" s="124" t="s">
        <v>101</v>
      </c>
      <c r="I410" s="124" t="s">
        <v>380</v>
      </c>
      <c r="J410" s="124" t="s">
        <v>381</v>
      </c>
      <c r="K410" s="124" t="s">
        <v>383</v>
      </c>
      <c r="L410" s="124">
        <v>5.522972753E9</v>
      </c>
      <c r="M410" s="128"/>
      <c r="N410" s="128"/>
      <c r="O410" s="128"/>
      <c r="P410" s="129">
        <v>16.0</v>
      </c>
      <c r="Q410" s="130">
        <v>46039.989756944444</v>
      </c>
      <c r="R410" s="124" t="s">
        <v>107</v>
      </c>
      <c r="S410" s="124" t="s">
        <v>109</v>
      </c>
      <c r="T410" s="124" t="s">
        <v>171</v>
      </c>
      <c r="U410" s="124" t="s">
        <v>388</v>
      </c>
      <c r="V410" s="124" t="s">
        <v>389</v>
      </c>
      <c r="W410" s="124" t="s">
        <v>392</v>
      </c>
      <c r="X410" s="124" t="s">
        <v>117</v>
      </c>
      <c r="Y410" s="124" t="s">
        <v>395</v>
      </c>
      <c r="Z410" s="124" t="s">
        <v>117</v>
      </c>
      <c r="AA410" s="124" t="s">
        <v>396</v>
      </c>
      <c r="AB410" s="124" t="s">
        <v>120</v>
      </c>
      <c r="AC410" s="124" t="s">
        <v>120</v>
      </c>
      <c r="AD410" s="128"/>
      <c r="AE410" s="124" t="s">
        <v>120</v>
      </c>
      <c r="AF410" s="128"/>
      <c r="AG410" s="124" t="s">
        <v>120</v>
      </c>
      <c r="AH410" s="128"/>
      <c r="AI410" s="124" t="s">
        <v>120</v>
      </c>
      <c r="AJ410" s="128"/>
      <c r="AK410" s="128"/>
      <c r="AL410" s="124" t="s">
        <v>126</v>
      </c>
      <c r="AM410" s="124" t="s">
        <v>240</v>
      </c>
      <c r="AN410" s="124" t="s">
        <v>216</v>
      </c>
      <c r="AO410" s="124" t="s">
        <v>138</v>
      </c>
      <c r="AP410" s="124"/>
    </row>
    <row r="411">
      <c r="A411" s="124" t="s">
        <v>580</v>
      </c>
      <c r="B411" s="124" t="s">
        <v>581</v>
      </c>
      <c r="C411" s="124" t="s">
        <v>582</v>
      </c>
      <c r="D411" s="127">
        <v>39669.0</v>
      </c>
      <c r="E411" s="124" t="s">
        <v>177</v>
      </c>
      <c r="F411" s="124">
        <v>5.527578972E9</v>
      </c>
      <c r="G411" s="124" t="s">
        <v>583</v>
      </c>
      <c r="H411" s="124" t="s">
        <v>382</v>
      </c>
      <c r="I411" s="124" t="s">
        <v>584</v>
      </c>
      <c r="J411" s="124" t="s">
        <v>585</v>
      </c>
      <c r="K411" s="124" t="s">
        <v>583</v>
      </c>
      <c r="L411" s="124">
        <v>5.515055669E9</v>
      </c>
      <c r="M411" s="128"/>
      <c r="N411" s="128"/>
      <c r="O411" s="128"/>
      <c r="P411" s="129">
        <v>17.0</v>
      </c>
      <c r="Q411" s="130">
        <v>46025.85971064815</v>
      </c>
      <c r="R411" s="124" t="s">
        <v>107</v>
      </c>
      <c r="S411" s="124" t="s">
        <v>109</v>
      </c>
      <c r="T411" s="124" t="s">
        <v>204</v>
      </c>
      <c r="U411" s="124" t="s">
        <v>367</v>
      </c>
      <c r="V411" s="124" t="s">
        <v>368</v>
      </c>
      <c r="W411" s="124" t="s">
        <v>369</v>
      </c>
      <c r="X411" s="124" t="s">
        <v>117</v>
      </c>
      <c r="Y411" s="124" t="s">
        <v>586</v>
      </c>
      <c r="Z411" s="124" t="s">
        <v>117</v>
      </c>
      <c r="AA411" s="128"/>
      <c r="AB411" s="124" t="s">
        <v>117</v>
      </c>
      <c r="AC411" s="124" t="s">
        <v>117</v>
      </c>
      <c r="AD411" s="128"/>
      <c r="AE411" s="124" t="s">
        <v>117</v>
      </c>
      <c r="AF411" s="128"/>
      <c r="AG411" s="124" t="s">
        <v>117</v>
      </c>
      <c r="AH411" s="128"/>
      <c r="AI411" s="124" t="s">
        <v>117</v>
      </c>
      <c r="AJ411" s="128"/>
      <c r="AK411" s="128"/>
      <c r="AL411" s="124" t="s">
        <v>141</v>
      </c>
      <c r="AM411" s="124" t="s">
        <v>240</v>
      </c>
      <c r="AN411" s="124" t="s">
        <v>242</v>
      </c>
      <c r="AO411" s="124" t="s">
        <v>138</v>
      </c>
      <c r="AP411" s="124"/>
    </row>
    <row r="412">
      <c r="A412" s="124" t="s">
        <v>3836</v>
      </c>
      <c r="B412" s="124" t="s">
        <v>4119</v>
      </c>
      <c r="C412" s="124" t="s">
        <v>4120</v>
      </c>
      <c r="D412" s="127">
        <v>39943.0</v>
      </c>
      <c r="E412" s="124" t="s">
        <v>98</v>
      </c>
      <c r="F412" s="124">
        <v>2.201323605E9</v>
      </c>
      <c r="G412" s="124" t="s">
        <v>4121</v>
      </c>
      <c r="H412" s="124" t="s">
        <v>101</v>
      </c>
      <c r="I412" s="128"/>
      <c r="J412" s="124" t="s">
        <v>4122</v>
      </c>
      <c r="K412" s="124" t="s">
        <v>4123</v>
      </c>
      <c r="L412" s="124">
        <v>5.646807857E9</v>
      </c>
      <c r="M412" s="124" t="s">
        <v>4124</v>
      </c>
      <c r="N412" s="124" t="s">
        <v>4125</v>
      </c>
      <c r="O412" s="124">
        <v>5.646807883E9</v>
      </c>
      <c r="P412" s="129">
        <v>16.0</v>
      </c>
      <c r="Q412" s="130">
        <v>46026.56915509259</v>
      </c>
      <c r="R412" s="124" t="s">
        <v>107</v>
      </c>
      <c r="S412" s="124" t="s">
        <v>109</v>
      </c>
      <c r="T412" s="124" t="s">
        <v>204</v>
      </c>
      <c r="U412" s="124" t="s">
        <v>699</v>
      </c>
      <c r="V412" s="124" t="s">
        <v>700</v>
      </c>
      <c r="W412" s="124" t="s">
        <v>702</v>
      </c>
      <c r="X412" s="124" t="s">
        <v>120</v>
      </c>
      <c r="Y412" s="128"/>
      <c r="Z412" s="124" t="s">
        <v>120</v>
      </c>
      <c r="AA412" s="128"/>
      <c r="AB412" s="124" t="s">
        <v>120</v>
      </c>
      <c r="AC412" s="128"/>
      <c r="AD412" s="128"/>
      <c r="AE412" s="124" t="s">
        <v>120</v>
      </c>
      <c r="AF412" s="128"/>
      <c r="AG412" s="124" t="s">
        <v>120</v>
      </c>
      <c r="AH412" s="128"/>
      <c r="AI412" s="124" t="s">
        <v>120</v>
      </c>
      <c r="AJ412" s="128"/>
      <c r="AK412" s="128"/>
      <c r="AL412" s="124" t="s">
        <v>126</v>
      </c>
      <c r="AM412" s="124" t="s">
        <v>138</v>
      </c>
      <c r="AN412" s="124" t="s">
        <v>129</v>
      </c>
      <c r="AO412" s="124" t="s">
        <v>185</v>
      </c>
      <c r="AP412" s="124"/>
    </row>
    <row r="413">
      <c r="A413" s="124" t="s">
        <v>1518</v>
      </c>
      <c r="B413" s="124" t="s">
        <v>754</v>
      </c>
      <c r="C413" s="124" t="s">
        <v>1520</v>
      </c>
      <c r="D413" s="127">
        <v>39990.0</v>
      </c>
      <c r="E413" s="124" t="s">
        <v>177</v>
      </c>
      <c r="F413" s="124">
        <v>5.563467989E9</v>
      </c>
      <c r="G413" s="124" t="s">
        <v>1522</v>
      </c>
      <c r="H413" s="124" t="s">
        <v>140</v>
      </c>
      <c r="I413" s="124" t="s">
        <v>516</v>
      </c>
      <c r="J413" s="124" t="s">
        <v>1523</v>
      </c>
      <c r="K413" s="124" t="s">
        <v>1524</v>
      </c>
      <c r="L413" s="124">
        <v>5.513188924E9</v>
      </c>
      <c r="M413" s="128"/>
      <c r="N413" s="128"/>
      <c r="O413" s="128"/>
      <c r="P413" s="129">
        <v>16.0</v>
      </c>
      <c r="Q413" s="130">
        <v>46035.86467592593</v>
      </c>
      <c r="R413" s="124" t="s">
        <v>107</v>
      </c>
      <c r="S413" s="124" t="s">
        <v>109</v>
      </c>
      <c r="T413" s="124" t="s">
        <v>127</v>
      </c>
      <c r="U413" s="124" t="s">
        <v>766</v>
      </c>
      <c r="V413" s="124" t="s">
        <v>767</v>
      </c>
      <c r="W413" s="124" t="s">
        <v>768</v>
      </c>
      <c r="X413" s="124" t="s">
        <v>120</v>
      </c>
      <c r="Y413" s="128"/>
      <c r="Z413" s="124" t="s">
        <v>120</v>
      </c>
      <c r="AA413" s="128"/>
      <c r="AB413" s="124" t="s">
        <v>120</v>
      </c>
      <c r="AC413" s="128"/>
      <c r="AD413" s="128"/>
      <c r="AE413" s="124" t="s">
        <v>120</v>
      </c>
      <c r="AF413" s="128"/>
      <c r="AG413" s="124" t="s">
        <v>120</v>
      </c>
      <c r="AH413" s="128"/>
      <c r="AI413" s="124" t="s">
        <v>120</v>
      </c>
      <c r="AJ413" s="128"/>
      <c r="AK413" s="128"/>
      <c r="AL413" s="124" t="s">
        <v>124</v>
      </c>
      <c r="AM413" s="124" t="s">
        <v>138</v>
      </c>
      <c r="AN413" s="124" t="s">
        <v>128</v>
      </c>
      <c r="AO413" s="124" t="s">
        <v>240</v>
      </c>
      <c r="AP413" s="124"/>
    </row>
    <row r="414">
      <c r="A414" s="124" t="s">
        <v>1554</v>
      </c>
      <c r="B414" s="124" t="s">
        <v>1556</v>
      </c>
      <c r="C414" s="124" t="s">
        <v>1557</v>
      </c>
      <c r="D414" s="127">
        <v>40456.0</v>
      </c>
      <c r="E414" s="124" t="s">
        <v>98</v>
      </c>
      <c r="F414" s="124">
        <v>5.518188558E9</v>
      </c>
      <c r="G414" s="124" t="s">
        <v>1561</v>
      </c>
      <c r="H414" s="124" t="s">
        <v>140</v>
      </c>
      <c r="I414" s="124" t="s">
        <v>1562</v>
      </c>
      <c r="J414" s="124" t="s">
        <v>1563</v>
      </c>
      <c r="K414" s="124" t="s">
        <v>1564</v>
      </c>
      <c r="L414" s="124">
        <v>5.531354207E9</v>
      </c>
      <c r="M414" s="128"/>
      <c r="N414" s="128"/>
      <c r="O414" s="128"/>
      <c r="P414" s="129">
        <v>15.0</v>
      </c>
      <c r="Q414" s="130">
        <v>46033.49866898148</v>
      </c>
      <c r="R414" s="124" t="s">
        <v>107</v>
      </c>
      <c r="S414" s="124" t="s">
        <v>109</v>
      </c>
      <c r="T414" s="124" t="s">
        <v>208</v>
      </c>
      <c r="U414" s="124" t="s">
        <v>228</v>
      </c>
      <c r="V414" s="124" t="s">
        <v>229</v>
      </c>
      <c r="W414" s="124" t="s">
        <v>230</v>
      </c>
      <c r="X414" s="124" t="s">
        <v>120</v>
      </c>
      <c r="Y414" s="128"/>
      <c r="Z414" s="124" t="s">
        <v>120</v>
      </c>
      <c r="AA414" s="128"/>
      <c r="AB414" s="124" t="s">
        <v>120</v>
      </c>
      <c r="AC414" s="124" t="s">
        <v>120</v>
      </c>
      <c r="AD414" s="128"/>
      <c r="AE414" s="124" t="s">
        <v>120</v>
      </c>
      <c r="AF414" s="128"/>
      <c r="AG414" s="124" t="s">
        <v>120</v>
      </c>
      <c r="AH414" s="128"/>
      <c r="AI414" s="124" t="s">
        <v>120</v>
      </c>
      <c r="AJ414" s="128"/>
      <c r="AK414" s="128"/>
      <c r="AL414" s="124" t="s">
        <v>156</v>
      </c>
      <c r="AM414" s="124" t="s">
        <v>240</v>
      </c>
      <c r="AN414" s="124" t="s">
        <v>129</v>
      </c>
      <c r="AO414" s="124" t="s">
        <v>138</v>
      </c>
      <c r="AP414" s="124"/>
    </row>
    <row r="415">
      <c r="A415" s="124" t="s">
        <v>4126</v>
      </c>
      <c r="B415" s="124" t="s">
        <v>4094</v>
      </c>
      <c r="C415" s="124" t="s">
        <v>4127</v>
      </c>
      <c r="D415" s="127">
        <v>39965.0</v>
      </c>
      <c r="E415" s="124" t="s">
        <v>177</v>
      </c>
      <c r="F415" s="124">
        <v>5.577548643E9</v>
      </c>
      <c r="G415" s="124" t="s">
        <v>4128</v>
      </c>
      <c r="H415" s="124" t="s">
        <v>150</v>
      </c>
      <c r="I415" s="128"/>
      <c r="J415" s="124" t="s">
        <v>4129</v>
      </c>
      <c r="K415" s="124" t="s">
        <v>4098</v>
      </c>
      <c r="L415" s="124">
        <v>5.53396012E9</v>
      </c>
      <c r="M415" s="128"/>
      <c r="N415" s="128"/>
      <c r="O415" s="128"/>
      <c r="P415" s="129">
        <v>16.0</v>
      </c>
      <c r="Q415" s="130">
        <v>46033.47856481482</v>
      </c>
      <c r="R415" s="124" t="s">
        <v>107</v>
      </c>
      <c r="S415" s="124" t="s">
        <v>109</v>
      </c>
      <c r="T415" s="124" t="s">
        <v>160</v>
      </c>
      <c r="U415" s="124" t="s">
        <v>308</v>
      </c>
      <c r="V415" s="124" t="s">
        <v>309</v>
      </c>
      <c r="W415" s="124" t="s">
        <v>310</v>
      </c>
      <c r="X415" s="124" t="s">
        <v>120</v>
      </c>
      <c r="Y415" s="128"/>
      <c r="Z415" s="124" t="s">
        <v>120</v>
      </c>
      <c r="AA415" s="128"/>
      <c r="AB415" s="124" t="s">
        <v>120</v>
      </c>
      <c r="AC415" s="128"/>
      <c r="AD415" s="128"/>
      <c r="AE415" s="124" t="s">
        <v>120</v>
      </c>
      <c r="AF415" s="128"/>
      <c r="AG415" s="124" t="s">
        <v>120</v>
      </c>
      <c r="AH415" s="128"/>
      <c r="AI415" s="124" t="s">
        <v>120</v>
      </c>
      <c r="AJ415" s="128"/>
      <c r="AK415" s="128"/>
      <c r="AL415" s="124" t="s">
        <v>141</v>
      </c>
      <c r="AM415" s="124" t="s">
        <v>185</v>
      </c>
      <c r="AN415" s="124" t="s">
        <v>156</v>
      </c>
      <c r="AO415" s="124" t="s">
        <v>124</v>
      </c>
      <c r="AP415" s="124"/>
    </row>
    <row r="416">
      <c r="A416" s="124" t="s">
        <v>1219</v>
      </c>
      <c r="B416" s="124" t="s">
        <v>1156</v>
      </c>
      <c r="C416" s="124" t="s">
        <v>1223</v>
      </c>
      <c r="D416" s="127">
        <v>40654.0</v>
      </c>
      <c r="E416" s="124" t="s">
        <v>177</v>
      </c>
      <c r="F416" s="124">
        <v>5.563536685E9</v>
      </c>
      <c r="G416" s="124" t="s">
        <v>1226</v>
      </c>
      <c r="H416" s="124" t="s">
        <v>101</v>
      </c>
      <c r="I416" s="124" t="s">
        <v>1228</v>
      </c>
      <c r="J416" s="124" t="s">
        <v>1229</v>
      </c>
      <c r="K416" s="124" t="s">
        <v>659</v>
      </c>
      <c r="L416" s="124">
        <v>5.548321876E9</v>
      </c>
      <c r="M416" s="124" t="s">
        <v>1232</v>
      </c>
      <c r="N416" s="124" t="s">
        <v>1166</v>
      </c>
      <c r="O416" s="124">
        <v>5.568740439E9</v>
      </c>
      <c r="P416" s="129">
        <v>14.0</v>
      </c>
      <c r="Q416" s="130">
        <v>46032.86601851852</v>
      </c>
      <c r="R416" s="124" t="s">
        <v>107</v>
      </c>
      <c r="S416" s="124" t="s">
        <v>109</v>
      </c>
      <c r="T416" s="124" t="s">
        <v>111</v>
      </c>
      <c r="U416" s="124" t="s">
        <v>657</v>
      </c>
      <c r="V416" s="124" t="s">
        <v>659</v>
      </c>
      <c r="W416" s="124" t="s">
        <v>662</v>
      </c>
      <c r="X416" s="124" t="s">
        <v>120</v>
      </c>
      <c r="Y416" s="124" t="s">
        <v>667</v>
      </c>
      <c r="Z416" s="124" t="s">
        <v>117</v>
      </c>
      <c r="AA416" s="124" t="s">
        <v>1239</v>
      </c>
      <c r="AB416" s="124" t="s">
        <v>117</v>
      </c>
      <c r="AC416" s="124" t="s">
        <v>117</v>
      </c>
      <c r="AD416" s="124" t="s">
        <v>1175</v>
      </c>
      <c r="AE416" s="124" t="s">
        <v>117</v>
      </c>
      <c r="AF416" s="124" t="s">
        <v>1176</v>
      </c>
      <c r="AG416" s="124" t="s">
        <v>120</v>
      </c>
      <c r="AH416" s="124" t="s">
        <v>667</v>
      </c>
      <c r="AI416" s="124" t="s">
        <v>120</v>
      </c>
      <c r="AJ416" s="124" t="s">
        <v>667</v>
      </c>
      <c r="AK416" s="124" t="s">
        <v>667</v>
      </c>
      <c r="AL416" s="124" t="s">
        <v>240</v>
      </c>
      <c r="AM416" s="124" t="s">
        <v>124</v>
      </c>
      <c r="AN416" s="124" t="s">
        <v>129</v>
      </c>
      <c r="AO416" s="124" t="s">
        <v>185</v>
      </c>
      <c r="AP416" s="124"/>
    </row>
    <row r="417">
      <c r="A417" s="124" t="s">
        <v>2668</v>
      </c>
      <c r="B417" s="124" t="s">
        <v>2669</v>
      </c>
      <c r="C417" s="124" t="s">
        <v>2670</v>
      </c>
      <c r="D417" s="127">
        <v>40976.0</v>
      </c>
      <c r="E417" s="124" t="s">
        <v>98</v>
      </c>
      <c r="F417" s="124">
        <v>5.567750247E9</v>
      </c>
      <c r="G417" s="124" t="s">
        <v>2671</v>
      </c>
      <c r="H417" s="124" t="s">
        <v>140</v>
      </c>
      <c r="I417" s="124" t="s">
        <v>135</v>
      </c>
      <c r="J417" s="124" t="s">
        <v>2672</v>
      </c>
      <c r="K417" s="124" t="s">
        <v>2673</v>
      </c>
      <c r="L417" s="124">
        <v>5.564583143E9</v>
      </c>
      <c r="M417" s="124" t="s">
        <v>2675</v>
      </c>
      <c r="N417" s="124" t="s">
        <v>2671</v>
      </c>
      <c r="O417" s="124">
        <v>5.567750247E9</v>
      </c>
      <c r="P417" s="129">
        <v>13.0</v>
      </c>
      <c r="Q417" s="130">
        <v>46032.68493055556</v>
      </c>
      <c r="R417" s="124" t="s">
        <v>107</v>
      </c>
      <c r="S417" s="124" t="s">
        <v>109</v>
      </c>
      <c r="T417" s="124" t="s">
        <v>171</v>
      </c>
      <c r="U417" s="124" t="s">
        <v>444</v>
      </c>
      <c r="V417" s="124" t="s">
        <v>445</v>
      </c>
      <c r="W417" s="124" t="s">
        <v>446</v>
      </c>
      <c r="X417" s="124" t="s">
        <v>120</v>
      </c>
      <c r="Y417" s="124" t="s">
        <v>135</v>
      </c>
      <c r="Z417" s="124" t="s">
        <v>120</v>
      </c>
      <c r="AA417" s="124" t="s">
        <v>135</v>
      </c>
      <c r="AB417" s="124" t="s">
        <v>120</v>
      </c>
      <c r="AC417" s="128"/>
      <c r="AD417" s="128"/>
      <c r="AE417" s="124" t="s">
        <v>120</v>
      </c>
      <c r="AF417" s="128"/>
      <c r="AG417" s="124" t="s">
        <v>117</v>
      </c>
      <c r="AH417" s="124" t="s">
        <v>2679</v>
      </c>
      <c r="AI417" s="124" t="s">
        <v>120</v>
      </c>
      <c r="AJ417" s="128"/>
      <c r="AK417" s="128"/>
      <c r="AL417" s="124" t="s">
        <v>138</v>
      </c>
      <c r="AM417" s="124" t="s">
        <v>216</v>
      </c>
      <c r="AN417" s="124" t="s">
        <v>126</v>
      </c>
      <c r="AO417" s="124" t="s">
        <v>141</v>
      </c>
      <c r="AP417" s="124"/>
    </row>
    <row r="418">
      <c r="A418" s="124" t="s">
        <v>4130</v>
      </c>
      <c r="B418" s="124" t="s">
        <v>4131</v>
      </c>
      <c r="C418" s="124" t="s">
        <v>4132</v>
      </c>
      <c r="D418" s="127">
        <v>40302.0</v>
      </c>
      <c r="E418" s="124" t="s">
        <v>98</v>
      </c>
      <c r="F418" s="124">
        <v>5.611454833E9</v>
      </c>
      <c r="G418" s="124" t="s">
        <v>3586</v>
      </c>
      <c r="H418" s="124" t="s">
        <v>101</v>
      </c>
      <c r="I418" s="128"/>
      <c r="J418" s="124" t="s">
        <v>3585</v>
      </c>
      <c r="K418" s="124" t="s">
        <v>3586</v>
      </c>
      <c r="L418" s="124">
        <v>5.563168732E9</v>
      </c>
      <c r="M418" s="124" t="s">
        <v>4133</v>
      </c>
      <c r="N418" s="124" t="s">
        <v>3584</v>
      </c>
      <c r="O418" s="124">
        <v>5.611454833E9</v>
      </c>
      <c r="P418" s="129">
        <v>15.0</v>
      </c>
      <c r="Q418" s="130">
        <v>46002.82498842593</v>
      </c>
      <c r="R418" s="124" t="s">
        <v>107</v>
      </c>
      <c r="S418" s="124" t="s">
        <v>109</v>
      </c>
      <c r="T418" s="124" t="s">
        <v>204</v>
      </c>
      <c r="U418" s="124" t="s">
        <v>357</v>
      </c>
      <c r="V418" s="124" t="s">
        <v>359</v>
      </c>
      <c r="W418" s="124" t="s">
        <v>362</v>
      </c>
      <c r="X418" s="124" t="s">
        <v>120</v>
      </c>
      <c r="Y418" s="128"/>
      <c r="Z418" s="124" t="s">
        <v>120</v>
      </c>
      <c r="AA418" s="128"/>
      <c r="AB418" s="124" t="s">
        <v>120</v>
      </c>
      <c r="AC418" s="128"/>
      <c r="AD418" s="128"/>
      <c r="AE418" s="124" t="s">
        <v>120</v>
      </c>
      <c r="AF418" s="128"/>
      <c r="AG418" s="124" t="s">
        <v>120</v>
      </c>
      <c r="AH418" s="128"/>
      <c r="AI418" s="124" t="s">
        <v>120</v>
      </c>
      <c r="AJ418" s="128"/>
      <c r="AK418" s="128"/>
      <c r="AL418" s="124" t="s">
        <v>185</v>
      </c>
      <c r="AM418" s="124" t="s">
        <v>138</v>
      </c>
      <c r="AN418" s="124" t="s">
        <v>126</v>
      </c>
      <c r="AO418" s="124" t="s">
        <v>129</v>
      </c>
      <c r="AP418" s="124"/>
    </row>
    <row r="419">
      <c r="A419" s="124" t="s">
        <v>2492</v>
      </c>
      <c r="B419" s="124" t="s">
        <v>2493</v>
      </c>
      <c r="C419" s="124" t="s">
        <v>8</v>
      </c>
      <c r="D419" s="127">
        <v>37814.0</v>
      </c>
      <c r="E419" s="124" t="s">
        <v>177</v>
      </c>
      <c r="F419" s="124">
        <v>6.461348195E9</v>
      </c>
      <c r="G419" s="124" t="s">
        <v>2494</v>
      </c>
      <c r="H419" s="124" t="s">
        <v>382</v>
      </c>
      <c r="I419" s="128"/>
      <c r="J419" s="124" t="s">
        <v>2495</v>
      </c>
      <c r="K419" s="124" t="s">
        <v>2496</v>
      </c>
      <c r="L419" s="124">
        <v>6.461272654E9</v>
      </c>
      <c r="M419" s="128"/>
      <c r="N419" s="128"/>
      <c r="O419" s="128"/>
      <c r="P419" s="129">
        <v>22.0</v>
      </c>
      <c r="Q419" s="130">
        <v>46005.53560185185</v>
      </c>
      <c r="R419" s="124" t="s">
        <v>260</v>
      </c>
      <c r="S419" s="124" t="s">
        <v>125</v>
      </c>
      <c r="T419" s="124" t="s">
        <v>2498</v>
      </c>
      <c r="U419" s="124" t="s">
        <v>2499</v>
      </c>
      <c r="V419" s="124" t="s">
        <v>2500</v>
      </c>
      <c r="W419" s="124" t="s">
        <v>2501</v>
      </c>
      <c r="X419" s="124" t="s">
        <v>120</v>
      </c>
      <c r="Y419" s="128"/>
      <c r="Z419" s="124" t="s">
        <v>120</v>
      </c>
      <c r="AA419" s="128"/>
      <c r="AB419" s="124" t="s">
        <v>120</v>
      </c>
      <c r="AC419" s="128"/>
      <c r="AD419" s="128"/>
      <c r="AE419" s="124" t="s">
        <v>120</v>
      </c>
      <c r="AF419" s="128"/>
      <c r="AG419" s="124" t="s">
        <v>120</v>
      </c>
      <c r="AH419" s="128"/>
      <c r="AI419" s="124" t="s">
        <v>120</v>
      </c>
      <c r="AJ419" s="128"/>
      <c r="AK419" s="128"/>
      <c r="AL419" s="124" t="s">
        <v>156</v>
      </c>
      <c r="AM419" s="124" t="s">
        <v>242</v>
      </c>
      <c r="AN419" s="124" t="s">
        <v>129</v>
      </c>
      <c r="AO419" s="124" t="s">
        <v>185</v>
      </c>
      <c r="AP419" s="124"/>
    </row>
    <row r="420">
      <c r="A420" s="124" t="s">
        <v>1146</v>
      </c>
      <c r="B420" s="124" t="s">
        <v>1147</v>
      </c>
      <c r="C420" s="124" t="s">
        <v>1148</v>
      </c>
      <c r="D420" s="127">
        <v>40745.0</v>
      </c>
      <c r="E420" s="124" t="s">
        <v>177</v>
      </c>
      <c r="F420" s="124">
        <v>5.510302422E9</v>
      </c>
      <c r="G420" s="124" t="s">
        <v>1150</v>
      </c>
      <c r="H420" s="124" t="s">
        <v>140</v>
      </c>
      <c r="I420" s="124" t="s">
        <v>1152</v>
      </c>
      <c r="J420" s="124" t="s">
        <v>1154</v>
      </c>
      <c r="K420" s="124" t="s">
        <v>167</v>
      </c>
      <c r="L420" s="124">
        <v>5.510302422E9</v>
      </c>
      <c r="M420" s="128"/>
      <c r="N420" s="128"/>
      <c r="O420" s="128"/>
      <c r="P420" s="129">
        <v>14.0</v>
      </c>
      <c r="Q420" s="130">
        <v>46037.502974537034</v>
      </c>
      <c r="R420" s="124" t="s">
        <v>107</v>
      </c>
      <c r="S420" s="124" t="s">
        <v>109</v>
      </c>
      <c r="T420" s="124" t="s">
        <v>171</v>
      </c>
      <c r="U420" s="124" t="s">
        <v>173</v>
      </c>
      <c r="V420" s="124" t="s">
        <v>167</v>
      </c>
      <c r="W420" s="124" t="s">
        <v>175</v>
      </c>
      <c r="X420" s="124" t="s">
        <v>120</v>
      </c>
      <c r="Y420" s="128"/>
      <c r="Z420" s="124" t="s">
        <v>120</v>
      </c>
      <c r="AA420" s="128"/>
      <c r="AB420" s="124" t="s">
        <v>120</v>
      </c>
      <c r="AC420" s="128"/>
      <c r="AD420" s="128"/>
      <c r="AE420" s="124" t="s">
        <v>120</v>
      </c>
      <c r="AF420" s="128"/>
      <c r="AG420" s="124" t="s">
        <v>120</v>
      </c>
      <c r="AH420" s="128"/>
      <c r="AI420" s="124" t="s">
        <v>120</v>
      </c>
      <c r="AJ420" s="128"/>
      <c r="AK420" s="128"/>
      <c r="AL420" s="124" t="s">
        <v>129</v>
      </c>
      <c r="AM420" s="124" t="s">
        <v>185</v>
      </c>
      <c r="AN420" s="124" t="s">
        <v>124</v>
      </c>
      <c r="AO420" s="124" t="s">
        <v>138</v>
      </c>
      <c r="AP420" s="124"/>
    </row>
    <row r="421">
      <c r="A421" s="124" t="s">
        <v>1730</v>
      </c>
      <c r="B421" s="124" t="s">
        <v>1731</v>
      </c>
      <c r="C421" s="124" t="s">
        <v>1733</v>
      </c>
      <c r="D421" s="127">
        <v>40382.0</v>
      </c>
      <c r="E421" s="124" t="s">
        <v>177</v>
      </c>
      <c r="F421" s="124">
        <v>8.434719935E9</v>
      </c>
      <c r="G421" s="124" t="s">
        <v>1735</v>
      </c>
      <c r="H421" s="124" t="s">
        <v>101</v>
      </c>
      <c r="I421" s="128"/>
      <c r="J421" s="124" t="s">
        <v>1736</v>
      </c>
      <c r="K421" s="124" t="s">
        <v>1737</v>
      </c>
      <c r="L421" s="124">
        <v>5.522714514E9</v>
      </c>
      <c r="M421" s="128"/>
      <c r="N421" s="128"/>
      <c r="O421" s="128"/>
      <c r="P421" s="129">
        <v>15.0</v>
      </c>
      <c r="Q421" s="130">
        <v>46036.405069444445</v>
      </c>
      <c r="R421" s="124" t="s">
        <v>546</v>
      </c>
      <c r="S421" s="124" t="s">
        <v>109</v>
      </c>
      <c r="T421" s="124" t="s">
        <v>171</v>
      </c>
      <c r="U421" s="124" t="s">
        <v>1048</v>
      </c>
      <c r="V421" s="124" t="s">
        <v>1050</v>
      </c>
      <c r="W421" s="124" t="s">
        <v>1051</v>
      </c>
      <c r="X421" s="124" t="s">
        <v>120</v>
      </c>
      <c r="Y421" s="128"/>
      <c r="Z421" s="124" t="s">
        <v>117</v>
      </c>
      <c r="AA421" s="124" t="s">
        <v>1742</v>
      </c>
      <c r="AB421" s="124" t="s">
        <v>117</v>
      </c>
      <c r="AC421" s="124" t="s">
        <v>117</v>
      </c>
      <c r="AD421" s="124" t="s">
        <v>2112</v>
      </c>
      <c r="AE421" s="124" t="s">
        <v>120</v>
      </c>
      <c r="AF421" s="128"/>
      <c r="AG421" s="124" t="s">
        <v>120</v>
      </c>
      <c r="AH421" s="128"/>
      <c r="AI421" s="124" t="s">
        <v>120</v>
      </c>
      <c r="AJ421" s="128"/>
      <c r="AK421" s="128"/>
      <c r="AL421" s="124" t="s">
        <v>126</v>
      </c>
      <c r="AM421" s="124" t="s">
        <v>138</v>
      </c>
      <c r="AN421" s="124" t="s">
        <v>185</v>
      </c>
      <c r="AO421" s="124" t="s">
        <v>141</v>
      </c>
      <c r="AP421" s="124"/>
    </row>
    <row r="422">
      <c r="A422" s="124" t="s">
        <v>4134</v>
      </c>
      <c r="B422" s="124" t="s">
        <v>712</v>
      </c>
      <c r="C422" s="124" t="s">
        <v>4135</v>
      </c>
      <c r="D422" s="127">
        <v>39634.0</v>
      </c>
      <c r="E422" s="124" t="s">
        <v>98</v>
      </c>
      <c r="F422" s="124">
        <v>5.551782187E9</v>
      </c>
      <c r="G422" s="124" t="s">
        <v>4136</v>
      </c>
      <c r="H422" s="124" t="s">
        <v>101</v>
      </c>
      <c r="I422" s="128"/>
      <c r="J422" s="124" t="s">
        <v>717</v>
      </c>
      <c r="K422" s="124" t="s">
        <v>716</v>
      </c>
      <c r="L422" s="124">
        <v>5.513813704E9</v>
      </c>
      <c r="M422" s="128"/>
      <c r="N422" s="128"/>
      <c r="O422" s="128"/>
      <c r="P422" s="129">
        <v>17.0</v>
      </c>
      <c r="Q422" s="130">
        <v>46040.48615740741</v>
      </c>
      <c r="R422" s="124" t="s">
        <v>107</v>
      </c>
      <c r="S422" s="124" t="s">
        <v>109</v>
      </c>
      <c r="T422" s="124" t="s">
        <v>192</v>
      </c>
      <c r="U422" s="124" t="s">
        <v>485</v>
      </c>
      <c r="V422" s="124" t="s">
        <v>486</v>
      </c>
      <c r="W422" s="124" t="s">
        <v>487</v>
      </c>
      <c r="X422" s="124" t="s">
        <v>120</v>
      </c>
      <c r="Y422" s="128"/>
      <c r="Z422" s="124" t="s">
        <v>120</v>
      </c>
      <c r="AA422" s="128"/>
      <c r="AB422" s="124" t="s">
        <v>120</v>
      </c>
      <c r="AC422" s="128"/>
      <c r="AD422" s="128"/>
      <c r="AE422" s="124" t="s">
        <v>120</v>
      </c>
      <c r="AF422" s="128"/>
      <c r="AG422" s="124" t="s">
        <v>120</v>
      </c>
      <c r="AH422" s="128"/>
      <c r="AI422" s="124" t="s">
        <v>120</v>
      </c>
      <c r="AJ422" s="128"/>
      <c r="AK422" s="128"/>
      <c r="AL422" s="124" t="s">
        <v>138</v>
      </c>
      <c r="AM422" s="124" t="s">
        <v>126</v>
      </c>
      <c r="AN422" s="124" t="s">
        <v>128</v>
      </c>
      <c r="AO422" s="124" t="s">
        <v>129</v>
      </c>
      <c r="AP422" s="124"/>
    </row>
    <row r="423">
      <c r="A423" s="124" t="s">
        <v>2508</v>
      </c>
      <c r="B423" s="124" t="s">
        <v>2510</v>
      </c>
      <c r="C423" s="124" t="s">
        <v>2511</v>
      </c>
      <c r="D423" s="127">
        <v>39158.0</v>
      </c>
      <c r="E423" s="124" t="s">
        <v>177</v>
      </c>
      <c r="F423" s="124">
        <v>5.563381959E9</v>
      </c>
      <c r="G423" s="124" t="s">
        <v>2512</v>
      </c>
      <c r="H423" s="124" t="s">
        <v>101</v>
      </c>
      <c r="I423" s="124" t="s">
        <v>2513</v>
      </c>
      <c r="J423" s="124" t="s">
        <v>2514</v>
      </c>
      <c r="K423" s="124" t="s">
        <v>2515</v>
      </c>
      <c r="L423" s="124">
        <v>5.527229124E9</v>
      </c>
      <c r="M423" s="128"/>
      <c r="N423" s="128"/>
      <c r="O423" s="128"/>
      <c r="P423" s="129">
        <v>18.0</v>
      </c>
      <c r="Q423" s="130">
        <v>46033.870358796295</v>
      </c>
      <c r="R423" s="124" t="s">
        <v>260</v>
      </c>
      <c r="S423" s="124" t="s">
        <v>125</v>
      </c>
      <c r="T423" s="124" t="s">
        <v>111</v>
      </c>
      <c r="U423" s="124" t="s">
        <v>657</v>
      </c>
      <c r="V423" s="124" t="s">
        <v>659</v>
      </c>
      <c r="W423" s="124" t="s">
        <v>662</v>
      </c>
      <c r="X423" s="124" t="s">
        <v>120</v>
      </c>
      <c r="Y423" s="128"/>
      <c r="Z423" s="124" t="s">
        <v>120</v>
      </c>
      <c r="AA423" s="128"/>
      <c r="AB423" s="124" t="s">
        <v>120</v>
      </c>
      <c r="AC423" s="128"/>
      <c r="AD423" s="128"/>
      <c r="AE423" s="124" t="s">
        <v>120</v>
      </c>
      <c r="AF423" s="128"/>
      <c r="AG423" s="124" t="s">
        <v>120</v>
      </c>
      <c r="AH423" s="128"/>
      <c r="AI423" s="124" t="s">
        <v>120</v>
      </c>
      <c r="AJ423" s="128"/>
      <c r="AK423" s="128"/>
      <c r="AL423" s="124" t="s">
        <v>126</v>
      </c>
      <c r="AM423" s="124" t="s">
        <v>185</v>
      </c>
      <c r="AN423" s="124" t="s">
        <v>129</v>
      </c>
      <c r="AO423" s="124" t="s">
        <v>128</v>
      </c>
      <c r="AP423" s="124"/>
    </row>
    <row r="424">
      <c r="A424" s="124" t="s">
        <v>1170</v>
      </c>
      <c r="B424" s="124" t="s">
        <v>1172</v>
      </c>
      <c r="C424" s="124" t="s">
        <v>1174</v>
      </c>
      <c r="D424" s="127">
        <v>40641.0</v>
      </c>
      <c r="E424" s="124" t="s">
        <v>177</v>
      </c>
      <c r="F424" s="124">
        <v>5.537058707E9</v>
      </c>
      <c r="G424" s="124" t="s">
        <v>1177</v>
      </c>
      <c r="H424" s="124" t="s">
        <v>101</v>
      </c>
      <c r="I424" s="124" t="s">
        <v>1179</v>
      </c>
      <c r="J424" s="124" t="s">
        <v>1180</v>
      </c>
      <c r="K424" s="124" t="s">
        <v>1182</v>
      </c>
      <c r="L424" s="124">
        <v>5.530543035E9</v>
      </c>
      <c r="M424" s="124" t="s">
        <v>1186</v>
      </c>
      <c r="N424" s="124" t="s">
        <v>1188</v>
      </c>
      <c r="O424" s="124">
        <v>5.514827271E9</v>
      </c>
      <c r="P424" s="129">
        <v>14.0</v>
      </c>
      <c r="Q424" s="130">
        <v>46039.006840277776</v>
      </c>
      <c r="R424" s="124" t="s">
        <v>107</v>
      </c>
      <c r="S424" s="124" t="s">
        <v>109</v>
      </c>
      <c r="T424" s="124" t="s">
        <v>208</v>
      </c>
      <c r="U424" s="124" t="s">
        <v>209</v>
      </c>
      <c r="V424" s="124" t="s">
        <v>210</v>
      </c>
      <c r="W424" s="124" t="s">
        <v>211</v>
      </c>
      <c r="X424" s="124" t="s">
        <v>120</v>
      </c>
      <c r="Y424" s="128"/>
      <c r="Z424" s="124" t="s">
        <v>120</v>
      </c>
      <c r="AA424" s="128"/>
      <c r="AB424" s="124" t="s">
        <v>120</v>
      </c>
      <c r="AC424" s="128"/>
      <c r="AD424" s="128"/>
      <c r="AE424" s="124" t="s">
        <v>120</v>
      </c>
      <c r="AF424" s="128"/>
      <c r="AG424" s="124" t="s">
        <v>120</v>
      </c>
      <c r="AH424" s="128"/>
      <c r="AI424" s="124" t="s">
        <v>117</v>
      </c>
      <c r="AJ424" s="124" t="s">
        <v>1206</v>
      </c>
      <c r="AK424" s="128"/>
      <c r="AL424" s="124" t="s">
        <v>216</v>
      </c>
      <c r="AM424" s="124" t="s">
        <v>138</v>
      </c>
      <c r="AN424" s="124" t="s">
        <v>240</v>
      </c>
      <c r="AO424" s="124" t="s">
        <v>124</v>
      </c>
      <c r="AP424" s="124"/>
    </row>
    <row r="425">
      <c r="A425" s="124" t="s">
        <v>543</v>
      </c>
      <c r="B425" s="124" t="s">
        <v>544</v>
      </c>
      <c r="C425" s="124" t="s">
        <v>545</v>
      </c>
      <c r="D425" s="127">
        <v>40046.0</v>
      </c>
      <c r="E425" s="124" t="s">
        <v>177</v>
      </c>
      <c r="F425" s="124">
        <v>5.619870319E9</v>
      </c>
      <c r="G425" s="124" t="s">
        <v>547</v>
      </c>
      <c r="H425" s="124" t="s">
        <v>382</v>
      </c>
      <c r="I425" s="124" t="s">
        <v>549</v>
      </c>
      <c r="J425" s="124" t="s">
        <v>200</v>
      </c>
      <c r="K425" s="124" t="s">
        <v>198</v>
      </c>
      <c r="L425" s="124">
        <v>5.554088968E9</v>
      </c>
      <c r="M425" s="128"/>
      <c r="N425" s="128"/>
      <c r="O425" s="128"/>
      <c r="P425" s="129">
        <v>16.0</v>
      </c>
      <c r="Q425" s="130">
        <v>46033.87835648148</v>
      </c>
      <c r="R425" s="124" t="s">
        <v>107</v>
      </c>
      <c r="S425" s="124" t="s">
        <v>109</v>
      </c>
      <c r="T425" s="124" t="s">
        <v>192</v>
      </c>
      <c r="U425" s="124" t="s">
        <v>195</v>
      </c>
      <c r="V425" s="124" t="s">
        <v>198</v>
      </c>
      <c r="W425" s="124" t="s">
        <v>200</v>
      </c>
      <c r="X425" s="124" t="s">
        <v>117</v>
      </c>
      <c r="Y425" s="124" t="s">
        <v>553</v>
      </c>
      <c r="Z425" s="124" t="s">
        <v>117</v>
      </c>
      <c r="AA425" s="124" t="s">
        <v>554</v>
      </c>
      <c r="AB425" s="124" t="s">
        <v>117</v>
      </c>
      <c r="AC425" s="124" t="s">
        <v>117</v>
      </c>
      <c r="AD425" s="124" t="s">
        <v>555</v>
      </c>
      <c r="AE425" s="124" t="s">
        <v>117</v>
      </c>
      <c r="AF425" s="124" t="s">
        <v>557</v>
      </c>
      <c r="AG425" s="124" t="s">
        <v>120</v>
      </c>
      <c r="AH425" s="128"/>
      <c r="AI425" s="124" t="s">
        <v>120</v>
      </c>
      <c r="AJ425" s="128"/>
      <c r="AK425" s="128"/>
      <c r="AL425" s="124" t="s">
        <v>185</v>
      </c>
      <c r="AM425" s="124" t="s">
        <v>126</v>
      </c>
      <c r="AN425" s="124" t="s">
        <v>124</v>
      </c>
      <c r="AO425" s="124" t="s">
        <v>242</v>
      </c>
      <c r="AP425" s="124"/>
    </row>
    <row r="426">
      <c r="A426" s="124" t="s">
        <v>1149</v>
      </c>
      <c r="B426" s="124" t="s">
        <v>1151</v>
      </c>
      <c r="C426" s="124" t="s">
        <v>1153</v>
      </c>
      <c r="D426" s="127">
        <v>38706.0</v>
      </c>
      <c r="E426" s="124" t="s">
        <v>98</v>
      </c>
      <c r="F426" s="124">
        <v>5.554669744E9</v>
      </c>
      <c r="G426" s="124" t="s">
        <v>1158</v>
      </c>
      <c r="H426" s="124" t="s">
        <v>150</v>
      </c>
      <c r="I426" s="128"/>
      <c r="J426" s="124" t="s">
        <v>1160</v>
      </c>
      <c r="K426" s="124" t="s">
        <v>1162</v>
      </c>
      <c r="L426" s="124">
        <v>5.611593152E9</v>
      </c>
      <c r="M426" s="128"/>
      <c r="N426" s="128"/>
      <c r="O426" s="128"/>
      <c r="P426" s="129">
        <v>20.0</v>
      </c>
      <c r="Q426" s="130">
        <v>46031.76059027778</v>
      </c>
      <c r="R426" s="124" t="s">
        <v>107</v>
      </c>
      <c r="S426" s="124" t="s">
        <v>125</v>
      </c>
      <c r="T426" s="124" t="s">
        <v>127</v>
      </c>
      <c r="U426" s="124" t="s">
        <v>766</v>
      </c>
      <c r="V426" s="124" t="s">
        <v>767</v>
      </c>
      <c r="W426" s="124" t="s">
        <v>768</v>
      </c>
      <c r="X426" s="124" t="s">
        <v>120</v>
      </c>
      <c r="Y426" s="128"/>
      <c r="Z426" s="124" t="s">
        <v>117</v>
      </c>
      <c r="AA426" s="124" t="s">
        <v>1159</v>
      </c>
      <c r="AB426" s="124" t="s">
        <v>120</v>
      </c>
      <c r="AC426" s="128"/>
      <c r="AD426" s="128"/>
      <c r="AE426" s="124" t="s">
        <v>120</v>
      </c>
      <c r="AF426" s="128"/>
      <c r="AG426" s="124" t="s">
        <v>120</v>
      </c>
      <c r="AH426" s="128"/>
      <c r="AI426" s="124" t="s">
        <v>120</v>
      </c>
      <c r="AJ426" s="128"/>
      <c r="AK426" s="128"/>
      <c r="AL426" s="124" t="s">
        <v>156</v>
      </c>
      <c r="AM426" s="124" t="s">
        <v>129</v>
      </c>
      <c r="AN426" s="124" t="s">
        <v>240</v>
      </c>
      <c r="AO426" s="124" t="s">
        <v>124</v>
      </c>
      <c r="AP426" s="124"/>
    </row>
    <row r="427">
      <c r="A427" s="124" t="s">
        <v>4137</v>
      </c>
      <c r="B427" s="124" t="s">
        <v>4138</v>
      </c>
      <c r="C427" s="124" t="s">
        <v>4139</v>
      </c>
      <c r="D427" s="127">
        <v>40109.0</v>
      </c>
      <c r="E427" s="124" t="s">
        <v>98</v>
      </c>
      <c r="F427" s="124">
        <v>5.574573987E9</v>
      </c>
      <c r="G427" s="124" t="s">
        <v>4140</v>
      </c>
      <c r="H427" s="124" t="s">
        <v>140</v>
      </c>
      <c r="I427" s="128"/>
      <c r="J427" s="124" t="s">
        <v>4141</v>
      </c>
      <c r="K427" s="124" t="s">
        <v>4142</v>
      </c>
      <c r="L427" s="124">
        <v>5.540917134E9</v>
      </c>
      <c r="M427" s="128"/>
      <c r="N427" s="128"/>
      <c r="O427" s="128"/>
      <c r="P427" s="129">
        <v>16.0</v>
      </c>
      <c r="Q427" s="130">
        <v>46032.84130787037</v>
      </c>
      <c r="R427" s="124" t="s">
        <v>107</v>
      </c>
      <c r="S427" s="124" t="s">
        <v>109</v>
      </c>
      <c r="T427" s="124" t="s">
        <v>127</v>
      </c>
      <c r="U427" s="124" t="s">
        <v>531</v>
      </c>
      <c r="V427" s="124" t="s">
        <v>532</v>
      </c>
      <c r="W427" s="124" t="s">
        <v>534</v>
      </c>
      <c r="X427" s="124" t="s">
        <v>120</v>
      </c>
      <c r="Y427" s="128"/>
      <c r="Z427" s="124" t="s">
        <v>120</v>
      </c>
      <c r="AA427" s="128"/>
      <c r="AB427" s="124" t="s">
        <v>120</v>
      </c>
      <c r="AC427" s="128"/>
      <c r="AD427" s="128"/>
      <c r="AE427" s="124" t="s">
        <v>120</v>
      </c>
      <c r="AF427" s="128"/>
      <c r="AG427" s="124" t="s">
        <v>120</v>
      </c>
      <c r="AH427" s="128"/>
      <c r="AI427" s="124" t="s">
        <v>120</v>
      </c>
      <c r="AJ427" s="128"/>
      <c r="AK427" s="128"/>
      <c r="AL427" s="124" t="s">
        <v>126</v>
      </c>
      <c r="AM427" s="124" t="s">
        <v>185</v>
      </c>
      <c r="AN427" s="124" t="s">
        <v>156</v>
      </c>
      <c r="AO427" s="124" t="s">
        <v>242</v>
      </c>
      <c r="AP427" s="124"/>
    </row>
    <row r="428">
      <c r="A428" s="124" t="s">
        <v>1572</v>
      </c>
      <c r="B428" s="124" t="s">
        <v>1556</v>
      </c>
      <c r="C428" s="124" t="s">
        <v>1574</v>
      </c>
      <c r="D428" s="127">
        <v>39915.0</v>
      </c>
      <c r="E428" s="124" t="s">
        <v>98</v>
      </c>
      <c r="F428" s="124">
        <v>5.5414049E9</v>
      </c>
      <c r="G428" s="124" t="s">
        <v>1578</v>
      </c>
      <c r="H428" s="124" t="s">
        <v>140</v>
      </c>
      <c r="I428" s="124" t="s">
        <v>1580</v>
      </c>
      <c r="J428" s="124" t="s">
        <v>1563</v>
      </c>
      <c r="K428" s="124" t="s">
        <v>1564</v>
      </c>
      <c r="L428" s="124">
        <v>5.531354207E9</v>
      </c>
      <c r="M428" s="128"/>
      <c r="N428" s="128"/>
      <c r="O428" s="128"/>
      <c r="P428" s="129">
        <v>16.0</v>
      </c>
      <c r="Q428" s="130">
        <v>46033.49048611111</v>
      </c>
      <c r="R428" s="124" t="s">
        <v>107</v>
      </c>
      <c r="S428" s="124" t="s">
        <v>109</v>
      </c>
      <c r="T428" s="124" t="s">
        <v>208</v>
      </c>
      <c r="U428" s="124" t="s">
        <v>228</v>
      </c>
      <c r="V428" s="124" t="s">
        <v>229</v>
      </c>
      <c r="W428" s="124" t="s">
        <v>230</v>
      </c>
      <c r="X428" s="124" t="s">
        <v>120</v>
      </c>
      <c r="Y428" s="128"/>
      <c r="Z428" s="124" t="s">
        <v>120</v>
      </c>
      <c r="AA428" s="128"/>
      <c r="AB428" s="124" t="s">
        <v>120</v>
      </c>
      <c r="AC428" s="128"/>
      <c r="AD428" s="128"/>
      <c r="AE428" s="124" t="s">
        <v>120</v>
      </c>
      <c r="AF428" s="128"/>
      <c r="AG428" s="124" t="s">
        <v>120</v>
      </c>
      <c r="AH428" s="128"/>
      <c r="AI428" s="124" t="s">
        <v>120</v>
      </c>
      <c r="AJ428" s="128"/>
      <c r="AK428" s="128"/>
      <c r="AL428" s="124" t="s">
        <v>128</v>
      </c>
      <c r="AM428" s="124" t="s">
        <v>124</v>
      </c>
      <c r="AN428" s="124" t="s">
        <v>138</v>
      </c>
      <c r="AO428" s="124" t="s">
        <v>156</v>
      </c>
      <c r="AP428" s="124"/>
    </row>
    <row r="429">
      <c r="A429" s="124" t="s">
        <v>2525</v>
      </c>
      <c r="B429" s="124" t="s">
        <v>774</v>
      </c>
      <c r="C429" s="124" t="s">
        <v>2526</v>
      </c>
      <c r="D429" s="127">
        <v>37416.0</v>
      </c>
      <c r="E429" s="124" t="s">
        <v>98</v>
      </c>
      <c r="F429" s="124">
        <v>5.564432766E9</v>
      </c>
      <c r="G429" s="124" t="s">
        <v>2527</v>
      </c>
      <c r="H429" s="124" t="s">
        <v>140</v>
      </c>
      <c r="I429" s="128"/>
      <c r="J429" s="124" t="s">
        <v>2528</v>
      </c>
      <c r="K429" s="124" t="s">
        <v>900</v>
      </c>
      <c r="L429" s="124">
        <v>5.511540472E9</v>
      </c>
      <c r="M429" s="128"/>
      <c r="N429" s="128"/>
      <c r="O429" s="128"/>
      <c r="P429" s="129">
        <v>23.0</v>
      </c>
      <c r="Q429" s="130">
        <v>46038.77082175926</v>
      </c>
      <c r="R429" s="124" t="s">
        <v>107</v>
      </c>
      <c r="S429" s="124" t="s">
        <v>125</v>
      </c>
      <c r="T429" s="124" t="s">
        <v>111</v>
      </c>
      <c r="U429" s="124" t="s">
        <v>407</v>
      </c>
      <c r="V429" s="124" t="s">
        <v>408</v>
      </c>
      <c r="W429" s="124" t="s">
        <v>409</v>
      </c>
      <c r="X429" s="124" t="s">
        <v>120</v>
      </c>
      <c r="Y429" s="128"/>
      <c r="Z429" s="124" t="s">
        <v>120</v>
      </c>
      <c r="AA429" s="128"/>
      <c r="AB429" s="124" t="s">
        <v>120</v>
      </c>
      <c r="AC429" s="124" t="s">
        <v>120</v>
      </c>
      <c r="AD429" s="128"/>
      <c r="AE429" s="124" t="s">
        <v>120</v>
      </c>
      <c r="AF429" s="128"/>
      <c r="AG429" s="124" t="s">
        <v>120</v>
      </c>
      <c r="AH429" s="128"/>
      <c r="AI429" s="124" t="s">
        <v>120</v>
      </c>
      <c r="AJ429" s="128"/>
      <c r="AK429" s="128"/>
      <c r="AL429" s="124" t="s">
        <v>242</v>
      </c>
      <c r="AM429" s="124" t="s">
        <v>128</v>
      </c>
      <c r="AN429" s="124" t="s">
        <v>156</v>
      </c>
      <c r="AO429" s="124" t="s">
        <v>138</v>
      </c>
      <c r="AP429" s="124"/>
    </row>
    <row r="430">
      <c r="A430" s="124" t="s">
        <v>344</v>
      </c>
      <c r="B430" s="124" t="s">
        <v>345</v>
      </c>
      <c r="C430" s="124" t="s">
        <v>347</v>
      </c>
      <c r="D430" s="127">
        <v>38049.0</v>
      </c>
      <c r="E430" s="124" t="s">
        <v>177</v>
      </c>
      <c r="F430" s="124" t="s">
        <v>351</v>
      </c>
      <c r="G430" s="124" t="s">
        <v>353</v>
      </c>
      <c r="H430" s="124" t="s">
        <v>101</v>
      </c>
      <c r="I430" s="128"/>
      <c r="J430" s="124" t="s">
        <v>355</v>
      </c>
      <c r="K430" s="124" t="s">
        <v>360</v>
      </c>
      <c r="L430" s="128" t="str">
        <f>+52 55 2800 6072</f>
        <v>#ERROR!</v>
      </c>
      <c r="M430" s="128"/>
      <c r="N430" s="128"/>
      <c r="O430" s="128"/>
      <c r="P430" s="129">
        <v>21.0</v>
      </c>
      <c r="Q430" s="130">
        <v>46029.563206018516</v>
      </c>
      <c r="R430" s="124" t="s">
        <v>107</v>
      </c>
      <c r="S430" s="124" t="s">
        <v>125</v>
      </c>
      <c r="T430" s="124" t="s">
        <v>204</v>
      </c>
      <c r="U430" s="124" t="s">
        <v>367</v>
      </c>
      <c r="V430" s="124" t="s">
        <v>368</v>
      </c>
      <c r="W430" s="124" t="s">
        <v>369</v>
      </c>
      <c r="X430" s="124" t="s">
        <v>117</v>
      </c>
      <c r="Y430" s="128"/>
      <c r="Z430" s="124" t="s">
        <v>117</v>
      </c>
      <c r="AA430" s="128"/>
      <c r="AB430" s="124" t="s">
        <v>117</v>
      </c>
      <c r="AC430" s="128"/>
      <c r="AD430" s="128"/>
      <c r="AE430" s="124" t="s">
        <v>117</v>
      </c>
      <c r="AF430" s="128"/>
      <c r="AG430" s="124" t="s">
        <v>117</v>
      </c>
      <c r="AH430" s="128"/>
      <c r="AI430" s="124" t="s">
        <v>117</v>
      </c>
      <c r="AJ430" s="128"/>
      <c r="AK430" s="128"/>
      <c r="AL430" s="124" t="s">
        <v>126</v>
      </c>
      <c r="AM430" s="124" t="s">
        <v>216</v>
      </c>
      <c r="AN430" s="124" t="s">
        <v>124</v>
      </c>
      <c r="AO430" s="124" t="s">
        <v>240</v>
      </c>
      <c r="AP430" s="124"/>
    </row>
    <row r="431">
      <c r="A431" s="124" t="s">
        <v>136</v>
      </c>
      <c r="B431" s="124" t="s">
        <v>1943</v>
      </c>
      <c r="C431" s="124" t="s">
        <v>2121</v>
      </c>
      <c r="D431" s="127">
        <v>41237.0</v>
      </c>
      <c r="E431" s="124" t="s">
        <v>98</v>
      </c>
      <c r="F431" s="124">
        <v>5.585328242E9</v>
      </c>
      <c r="G431" s="124" t="s">
        <v>2122</v>
      </c>
      <c r="H431" s="124" t="s">
        <v>101</v>
      </c>
      <c r="I431" s="128"/>
      <c r="J431" s="124" t="s">
        <v>1962</v>
      </c>
      <c r="K431" s="124" t="s">
        <v>1963</v>
      </c>
      <c r="L431" s="124" t="s">
        <v>1950</v>
      </c>
      <c r="M431" s="128"/>
      <c r="N431" s="128"/>
      <c r="O431" s="128"/>
      <c r="P431" s="129">
        <v>13.0</v>
      </c>
      <c r="Q431" s="130">
        <v>46040.85821759259</v>
      </c>
      <c r="R431" s="124" t="s">
        <v>107</v>
      </c>
      <c r="S431" s="124" t="s">
        <v>109</v>
      </c>
      <c r="T431" s="124" t="s">
        <v>171</v>
      </c>
      <c r="U431" s="124" t="s">
        <v>388</v>
      </c>
      <c r="V431" s="124" t="s">
        <v>389</v>
      </c>
      <c r="W431" s="124" t="s">
        <v>392</v>
      </c>
      <c r="X431" s="124" t="s">
        <v>120</v>
      </c>
      <c r="Y431" s="128"/>
      <c r="Z431" s="124" t="s">
        <v>117</v>
      </c>
      <c r="AA431" s="124" t="s">
        <v>1970</v>
      </c>
      <c r="AB431" s="124" t="s">
        <v>117</v>
      </c>
      <c r="AC431" s="124" t="s">
        <v>117</v>
      </c>
      <c r="AD431" s="124" t="s">
        <v>1972</v>
      </c>
      <c r="AE431" s="124" t="s">
        <v>120</v>
      </c>
      <c r="AF431" s="128"/>
      <c r="AG431" s="124" t="s">
        <v>120</v>
      </c>
      <c r="AH431" s="128"/>
      <c r="AI431" s="124" t="s">
        <v>120</v>
      </c>
      <c r="AJ431" s="128"/>
      <c r="AK431" s="128"/>
      <c r="AL431" s="124" t="s">
        <v>240</v>
      </c>
      <c r="AM431" s="124" t="s">
        <v>185</v>
      </c>
      <c r="AN431" s="124" t="s">
        <v>216</v>
      </c>
      <c r="AO431" s="124" t="s">
        <v>138</v>
      </c>
      <c r="AP431" s="124"/>
    </row>
    <row r="432">
      <c r="A432" s="124" t="s">
        <v>4143</v>
      </c>
      <c r="B432" s="124" t="s">
        <v>4144</v>
      </c>
      <c r="C432" s="124" t="s">
        <v>4145</v>
      </c>
      <c r="D432" s="127">
        <v>40824.0</v>
      </c>
      <c r="E432" s="124" t="s">
        <v>177</v>
      </c>
      <c r="F432" s="124">
        <v>5.512355215E9</v>
      </c>
      <c r="G432" s="124" t="s">
        <v>4146</v>
      </c>
      <c r="H432" s="124" t="s">
        <v>140</v>
      </c>
      <c r="I432" s="128"/>
      <c r="J432" s="124" t="s">
        <v>4147</v>
      </c>
      <c r="K432" s="124" t="s">
        <v>4148</v>
      </c>
      <c r="L432" s="124">
        <v>5.51798007E9</v>
      </c>
      <c r="M432" s="128"/>
      <c r="N432" s="128"/>
      <c r="O432" s="128"/>
      <c r="P432" s="129">
        <v>14.0</v>
      </c>
      <c r="Q432" s="130">
        <v>46038.89875</v>
      </c>
      <c r="R432" s="124" t="s">
        <v>107</v>
      </c>
      <c r="S432" s="124" t="s">
        <v>109</v>
      </c>
      <c r="T432" s="124" t="s">
        <v>192</v>
      </c>
      <c r="U432" s="124" t="s">
        <v>749</v>
      </c>
      <c r="V432" s="124" t="s">
        <v>750</v>
      </c>
      <c r="W432" s="124" t="s">
        <v>751</v>
      </c>
      <c r="X432" s="124" t="s">
        <v>120</v>
      </c>
      <c r="Y432" s="128"/>
      <c r="Z432" s="124" t="s">
        <v>120</v>
      </c>
      <c r="AA432" s="128"/>
      <c r="AB432" s="124" t="s">
        <v>120</v>
      </c>
      <c r="AC432" s="128"/>
      <c r="AD432" s="128"/>
      <c r="AE432" s="124" t="s">
        <v>120</v>
      </c>
      <c r="AF432" s="128"/>
      <c r="AG432" s="124" t="s">
        <v>120</v>
      </c>
      <c r="AH432" s="128"/>
      <c r="AI432" s="124" t="s">
        <v>120</v>
      </c>
      <c r="AJ432" s="128"/>
      <c r="AK432" s="128"/>
      <c r="AL432" s="124" t="s">
        <v>216</v>
      </c>
      <c r="AM432" s="124" t="s">
        <v>185</v>
      </c>
      <c r="AN432" s="124" t="s">
        <v>240</v>
      </c>
      <c r="AO432" s="124" t="s">
        <v>126</v>
      </c>
      <c r="AP432" s="124"/>
    </row>
    <row r="433">
      <c r="A433" s="124" t="s">
        <v>2544</v>
      </c>
      <c r="B433" s="124" t="s">
        <v>103</v>
      </c>
      <c r="C433" s="124" t="s">
        <v>121</v>
      </c>
      <c r="D433" s="127">
        <v>38594.0</v>
      </c>
      <c r="E433" s="124" t="s">
        <v>98</v>
      </c>
      <c r="F433" s="124">
        <v>5.616129315E9</v>
      </c>
      <c r="G433" s="124" t="s">
        <v>2546</v>
      </c>
      <c r="H433" s="124" t="s">
        <v>101</v>
      </c>
      <c r="I433" s="128"/>
      <c r="J433" s="124" t="s">
        <v>2549</v>
      </c>
      <c r="K433" s="124" t="s">
        <v>118</v>
      </c>
      <c r="L433" s="124">
        <v>5.518897341E9</v>
      </c>
      <c r="M433" s="124" t="s">
        <v>2554</v>
      </c>
      <c r="N433" s="124" t="s">
        <v>834</v>
      </c>
      <c r="O433" s="124">
        <v>5.53040827E9</v>
      </c>
      <c r="P433" s="129">
        <v>20.0</v>
      </c>
      <c r="Q433" s="130">
        <v>46033.90505787037</v>
      </c>
      <c r="R433" s="124" t="s">
        <v>107</v>
      </c>
      <c r="S433" s="124" t="s">
        <v>125</v>
      </c>
      <c r="T433" s="124" t="s">
        <v>127</v>
      </c>
      <c r="U433" s="124" t="s">
        <v>130</v>
      </c>
      <c r="V433" s="124" t="s">
        <v>131</v>
      </c>
      <c r="W433" s="124" t="s">
        <v>132</v>
      </c>
      <c r="X433" s="124" t="s">
        <v>120</v>
      </c>
      <c r="Y433" s="128"/>
      <c r="Z433" s="124" t="s">
        <v>117</v>
      </c>
      <c r="AA433" s="124" t="s">
        <v>2558</v>
      </c>
      <c r="AB433" s="124" t="s">
        <v>120</v>
      </c>
      <c r="AC433" s="124" t="s">
        <v>120</v>
      </c>
      <c r="AD433" s="128"/>
      <c r="AE433" s="124" t="s">
        <v>117</v>
      </c>
      <c r="AF433" s="124" t="s">
        <v>2559</v>
      </c>
      <c r="AG433" s="124" t="s">
        <v>120</v>
      </c>
      <c r="AH433" s="128"/>
      <c r="AI433" s="124" t="s">
        <v>120</v>
      </c>
      <c r="AJ433" s="128"/>
      <c r="AK433" s="128"/>
      <c r="AL433" s="124" t="s">
        <v>126</v>
      </c>
      <c r="AM433" s="124" t="s">
        <v>138</v>
      </c>
      <c r="AN433" s="124" t="s">
        <v>128</v>
      </c>
      <c r="AO433" s="124" t="s">
        <v>156</v>
      </c>
      <c r="AP433" s="124"/>
    </row>
    <row r="434">
      <c r="A434" s="124" t="s">
        <v>4149</v>
      </c>
      <c r="B434" s="124" t="s">
        <v>338</v>
      </c>
      <c r="C434" s="124" t="s">
        <v>4150</v>
      </c>
      <c r="D434" s="127">
        <v>41112.0</v>
      </c>
      <c r="E434" s="124" t="s">
        <v>98</v>
      </c>
      <c r="F434" s="124">
        <v>9.212807803E9</v>
      </c>
      <c r="G434" s="124" t="s">
        <v>4151</v>
      </c>
      <c r="H434" s="124" t="s">
        <v>140</v>
      </c>
      <c r="I434" s="124" t="s">
        <v>4152</v>
      </c>
      <c r="J434" s="124" t="s">
        <v>4153</v>
      </c>
      <c r="K434" s="124" t="s">
        <v>4151</v>
      </c>
      <c r="L434" s="124">
        <v>9.212807803E9</v>
      </c>
      <c r="M434" s="124" t="s">
        <v>4154</v>
      </c>
      <c r="N434" s="124" t="s">
        <v>4155</v>
      </c>
      <c r="O434" s="124">
        <v>5.579726843E9</v>
      </c>
      <c r="P434" s="129">
        <v>13.0</v>
      </c>
      <c r="Q434" s="130">
        <v>46039.95315972222</v>
      </c>
      <c r="R434" s="124" t="s">
        <v>107</v>
      </c>
      <c r="S434" s="124" t="s">
        <v>109</v>
      </c>
      <c r="T434" s="124" t="s">
        <v>204</v>
      </c>
      <c r="U434" s="124" t="s">
        <v>205</v>
      </c>
      <c r="V434" s="124" t="s">
        <v>206</v>
      </c>
      <c r="W434" s="124" t="s">
        <v>207</v>
      </c>
      <c r="X434" s="124" t="s">
        <v>120</v>
      </c>
      <c r="Y434" s="128"/>
      <c r="Z434" s="124" t="s">
        <v>120</v>
      </c>
      <c r="AA434" s="128"/>
      <c r="AB434" s="124" t="s">
        <v>120</v>
      </c>
      <c r="AC434" s="128"/>
      <c r="AD434" s="128"/>
      <c r="AE434" s="124" t="s">
        <v>120</v>
      </c>
      <c r="AF434" s="128"/>
      <c r="AG434" s="124" t="s">
        <v>120</v>
      </c>
      <c r="AH434" s="128"/>
      <c r="AI434" s="124" t="s">
        <v>120</v>
      </c>
      <c r="AJ434" s="128"/>
      <c r="AK434" s="128"/>
      <c r="AL434" s="124" t="s">
        <v>156</v>
      </c>
      <c r="AM434" s="124" t="s">
        <v>138</v>
      </c>
      <c r="AN434" s="124" t="s">
        <v>129</v>
      </c>
      <c r="AO434" s="124" t="s">
        <v>240</v>
      </c>
      <c r="AP434" s="124"/>
    </row>
    <row r="435">
      <c r="A435" s="124" t="s">
        <v>4156</v>
      </c>
      <c r="B435" s="124" t="s">
        <v>4157</v>
      </c>
      <c r="C435" s="124" t="s">
        <v>4158</v>
      </c>
      <c r="D435" s="127">
        <v>40096.0</v>
      </c>
      <c r="E435" s="124" t="s">
        <v>98</v>
      </c>
      <c r="F435" s="124">
        <v>5.25645286829E11</v>
      </c>
      <c r="G435" s="124" t="s">
        <v>4159</v>
      </c>
      <c r="H435" s="124" t="s">
        <v>140</v>
      </c>
      <c r="I435" s="124" t="s">
        <v>1325</v>
      </c>
      <c r="J435" s="124" t="s">
        <v>4160</v>
      </c>
      <c r="K435" s="124" t="s">
        <v>4161</v>
      </c>
      <c r="L435" s="124">
        <v>5.534017071E9</v>
      </c>
      <c r="M435" s="128"/>
      <c r="N435" s="128"/>
      <c r="O435" s="128"/>
      <c r="P435" s="129">
        <v>16.0</v>
      </c>
      <c r="Q435" s="130">
        <v>46033.50230324074</v>
      </c>
      <c r="R435" s="124" t="s">
        <v>107</v>
      </c>
      <c r="S435" s="124" t="s">
        <v>109</v>
      </c>
      <c r="T435" s="124" t="s">
        <v>204</v>
      </c>
      <c r="U435" s="124" t="s">
        <v>357</v>
      </c>
      <c r="V435" s="124" t="s">
        <v>359</v>
      </c>
      <c r="W435" s="124" t="s">
        <v>362</v>
      </c>
      <c r="X435" s="124" t="s">
        <v>120</v>
      </c>
      <c r="Y435" s="128"/>
      <c r="Z435" s="124" t="s">
        <v>120</v>
      </c>
      <c r="AA435" s="124" t="s">
        <v>1325</v>
      </c>
      <c r="AB435" s="124" t="s">
        <v>120</v>
      </c>
      <c r="AC435" s="128"/>
      <c r="AD435" s="128"/>
      <c r="AE435" s="124" t="s">
        <v>120</v>
      </c>
      <c r="AF435" s="124" t="s">
        <v>1325</v>
      </c>
      <c r="AG435" s="124" t="s">
        <v>120</v>
      </c>
      <c r="AH435" s="128"/>
      <c r="AI435" s="124" t="s">
        <v>120</v>
      </c>
      <c r="AJ435" s="124" t="s">
        <v>1325</v>
      </c>
      <c r="AK435" s="128"/>
      <c r="AL435" s="124" t="s">
        <v>141</v>
      </c>
      <c r="AM435" s="124" t="s">
        <v>216</v>
      </c>
      <c r="AN435" s="124" t="s">
        <v>126</v>
      </c>
      <c r="AO435" s="124" t="s">
        <v>156</v>
      </c>
      <c r="AP435" s="124"/>
    </row>
    <row r="436">
      <c r="A436" s="124" t="s">
        <v>4162</v>
      </c>
      <c r="B436" s="124" t="s">
        <v>4163</v>
      </c>
      <c r="C436" s="124" t="s">
        <v>4164</v>
      </c>
      <c r="D436" s="127">
        <v>39981.0</v>
      </c>
      <c r="E436" s="124" t="s">
        <v>177</v>
      </c>
      <c r="F436" s="124">
        <v>5.535083859E9</v>
      </c>
      <c r="G436" s="124" t="s">
        <v>4165</v>
      </c>
      <c r="H436" s="124" t="s">
        <v>101</v>
      </c>
      <c r="I436" s="128"/>
      <c r="J436" s="124" t="s">
        <v>4166</v>
      </c>
      <c r="K436" s="124" t="s">
        <v>4165</v>
      </c>
      <c r="L436" s="124">
        <v>5.535374148E9</v>
      </c>
      <c r="M436" s="124" t="s">
        <v>4167</v>
      </c>
      <c r="N436" s="124" t="s">
        <v>4165</v>
      </c>
      <c r="O436" s="124">
        <v>5.626406921E9</v>
      </c>
      <c r="P436" s="129">
        <v>16.0</v>
      </c>
      <c r="Q436" s="130">
        <v>46037.804918981485</v>
      </c>
      <c r="R436" s="124" t="s">
        <v>107</v>
      </c>
      <c r="S436" s="124" t="s">
        <v>109</v>
      </c>
      <c r="T436" s="124" t="s">
        <v>160</v>
      </c>
      <c r="U436" s="124" t="s">
        <v>161</v>
      </c>
      <c r="V436" s="124" t="s">
        <v>163</v>
      </c>
      <c r="W436" s="124" t="s">
        <v>165</v>
      </c>
      <c r="X436" s="124" t="s">
        <v>120</v>
      </c>
      <c r="Y436" s="128"/>
      <c r="Z436" s="124" t="s">
        <v>120</v>
      </c>
      <c r="AA436" s="128"/>
      <c r="AB436" s="124" t="s">
        <v>120</v>
      </c>
      <c r="AC436" s="124" t="s">
        <v>120</v>
      </c>
      <c r="AD436" s="128"/>
      <c r="AE436" s="124" t="s">
        <v>120</v>
      </c>
      <c r="AF436" s="128"/>
      <c r="AG436" s="124" t="s">
        <v>120</v>
      </c>
      <c r="AH436" s="128"/>
      <c r="AI436" s="124" t="s">
        <v>120</v>
      </c>
      <c r="AJ436" s="128"/>
      <c r="AK436" s="128"/>
      <c r="AL436" s="124" t="s">
        <v>141</v>
      </c>
      <c r="AM436" s="124" t="s">
        <v>138</v>
      </c>
      <c r="AN436" s="124" t="s">
        <v>156</v>
      </c>
      <c r="AO436" s="124" t="s">
        <v>185</v>
      </c>
      <c r="AP436" s="124"/>
    </row>
    <row r="437">
      <c r="A437" s="124" t="s">
        <v>2564</v>
      </c>
      <c r="B437" s="124" t="s">
        <v>2566</v>
      </c>
      <c r="C437" s="124" t="s">
        <v>2568</v>
      </c>
      <c r="D437" s="127">
        <v>38726.0</v>
      </c>
      <c r="E437" s="124" t="s">
        <v>98</v>
      </c>
      <c r="F437" s="124">
        <v>5.648747442E9</v>
      </c>
      <c r="G437" s="124" t="s">
        <v>2570</v>
      </c>
      <c r="H437" s="124" t="s">
        <v>140</v>
      </c>
      <c r="I437" s="128"/>
      <c r="J437" s="124" t="s">
        <v>2572</v>
      </c>
      <c r="K437" s="124" t="s">
        <v>2574</v>
      </c>
      <c r="L437" s="124">
        <v>5.621647192E9</v>
      </c>
      <c r="M437" s="128"/>
      <c r="N437" s="128"/>
      <c r="O437" s="128"/>
      <c r="P437" s="129">
        <v>20.0</v>
      </c>
      <c r="Q437" s="130">
        <v>45999.772210648145</v>
      </c>
      <c r="R437" s="124" t="s">
        <v>546</v>
      </c>
      <c r="S437" s="124" t="s">
        <v>125</v>
      </c>
      <c r="T437" s="124" t="s">
        <v>2579</v>
      </c>
      <c r="U437" s="124" t="s">
        <v>2581</v>
      </c>
      <c r="V437" s="124" t="s">
        <v>2582</v>
      </c>
      <c r="W437" s="124" t="s">
        <v>2583</v>
      </c>
      <c r="X437" s="124" t="s">
        <v>120</v>
      </c>
      <c r="Y437" s="128"/>
      <c r="Z437" s="124" t="s">
        <v>120</v>
      </c>
      <c r="AA437" s="128"/>
      <c r="AB437" s="124" t="s">
        <v>117</v>
      </c>
      <c r="AC437" s="124" t="s">
        <v>117</v>
      </c>
      <c r="AD437" s="124">
        <v>2.0</v>
      </c>
      <c r="AE437" s="124" t="s">
        <v>120</v>
      </c>
      <c r="AF437" s="128"/>
      <c r="AG437" s="124" t="s">
        <v>120</v>
      </c>
      <c r="AH437" s="128"/>
      <c r="AI437" s="124" t="s">
        <v>120</v>
      </c>
      <c r="AJ437" s="128"/>
      <c r="AK437" s="128"/>
      <c r="AL437" s="124" t="s">
        <v>156</v>
      </c>
      <c r="AM437" s="124" t="s">
        <v>124</v>
      </c>
      <c r="AN437" s="124" t="s">
        <v>185</v>
      </c>
      <c r="AO437" s="124" t="s">
        <v>216</v>
      </c>
      <c r="AP437" s="124"/>
    </row>
    <row r="438">
      <c r="A438" s="124" t="s">
        <v>993</v>
      </c>
      <c r="B438" s="124" t="s">
        <v>995</v>
      </c>
      <c r="C438" s="124" t="s">
        <v>996</v>
      </c>
      <c r="D438" s="127">
        <v>38325.0</v>
      </c>
      <c r="E438" s="124" t="s">
        <v>98</v>
      </c>
      <c r="F438" s="124">
        <v>5.64570166E9</v>
      </c>
      <c r="G438" s="124" t="s">
        <v>1001</v>
      </c>
      <c r="H438" s="124" t="s">
        <v>382</v>
      </c>
      <c r="I438" s="124" t="s">
        <v>1003</v>
      </c>
      <c r="J438" s="124" t="s">
        <v>1004</v>
      </c>
      <c r="K438" s="124" t="s">
        <v>1006</v>
      </c>
      <c r="L438" s="124">
        <v>5.638126422E9</v>
      </c>
      <c r="M438" s="128"/>
      <c r="N438" s="128"/>
      <c r="O438" s="128"/>
      <c r="P438" s="129">
        <v>21.0</v>
      </c>
      <c r="Q438" s="130">
        <v>46027.73578703704</v>
      </c>
      <c r="R438" s="124" t="s">
        <v>107</v>
      </c>
      <c r="S438" s="124" t="s">
        <v>125</v>
      </c>
      <c r="T438" s="124" t="s">
        <v>204</v>
      </c>
      <c r="U438" s="124" t="s">
        <v>699</v>
      </c>
      <c r="V438" s="124" t="s">
        <v>700</v>
      </c>
      <c r="W438" s="124" t="s">
        <v>702</v>
      </c>
      <c r="X438" s="124" t="s">
        <v>120</v>
      </c>
      <c r="Y438" s="128"/>
      <c r="Z438" s="124" t="s">
        <v>120</v>
      </c>
      <c r="AA438" s="128"/>
      <c r="AB438" s="124" t="s">
        <v>120</v>
      </c>
      <c r="AC438" s="124" t="s">
        <v>120</v>
      </c>
      <c r="AD438" s="128"/>
      <c r="AE438" s="124" t="s">
        <v>120</v>
      </c>
      <c r="AF438" s="128"/>
      <c r="AG438" s="124" t="s">
        <v>120</v>
      </c>
      <c r="AH438" s="128"/>
      <c r="AI438" s="124" t="s">
        <v>120</v>
      </c>
      <c r="AJ438" s="128"/>
      <c r="AK438" s="128"/>
      <c r="AL438" s="124" t="s">
        <v>126</v>
      </c>
      <c r="AM438" s="124" t="s">
        <v>138</v>
      </c>
      <c r="AN438" s="124" t="s">
        <v>216</v>
      </c>
      <c r="AO438" s="124" t="s">
        <v>242</v>
      </c>
      <c r="AP438" s="124"/>
    </row>
    <row r="439">
      <c r="A439" s="124" t="s">
        <v>645</v>
      </c>
      <c r="B439" s="124" t="s">
        <v>4168</v>
      </c>
      <c r="C439" s="124" t="s">
        <v>4169</v>
      </c>
      <c r="D439" s="127">
        <v>39756.0</v>
      </c>
      <c r="E439" s="124" t="s">
        <v>98</v>
      </c>
      <c r="F439" s="124">
        <v>5.512802541E9</v>
      </c>
      <c r="G439" s="124" t="s">
        <v>4170</v>
      </c>
      <c r="H439" s="124" t="s">
        <v>101</v>
      </c>
      <c r="I439" s="128"/>
      <c r="J439" s="124" t="s">
        <v>4171</v>
      </c>
      <c r="K439" s="124" t="s">
        <v>4172</v>
      </c>
      <c r="L439" s="124">
        <v>5.651301668E9</v>
      </c>
      <c r="M439" s="124" t="s">
        <v>4173</v>
      </c>
      <c r="N439" s="124" t="s">
        <v>4174</v>
      </c>
      <c r="O439" s="124">
        <v>5.630020474E9</v>
      </c>
      <c r="P439" s="129">
        <v>17.0</v>
      </c>
      <c r="Q439" s="130">
        <v>46028.54491898148</v>
      </c>
      <c r="R439" s="124" t="s">
        <v>107</v>
      </c>
      <c r="S439" s="124" t="s">
        <v>109</v>
      </c>
      <c r="T439" s="124" t="s">
        <v>127</v>
      </c>
      <c r="U439" s="124" t="s">
        <v>672</v>
      </c>
      <c r="V439" s="124" t="s">
        <v>673</v>
      </c>
      <c r="W439" s="124" t="s">
        <v>674</v>
      </c>
      <c r="X439" s="124" t="s">
        <v>120</v>
      </c>
      <c r="Y439" s="128"/>
      <c r="Z439" s="124" t="s">
        <v>120</v>
      </c>
      <c r="AA439" s="128"/>
      <c r="AB439" s="124" t="s">
        <v>120</v>
      </c>
      <c r="AC439" s="128"/>
      <c r="AD439" s="128"/>
      <c r="AE439" s="124" t="s">
        <v>120</v>
      </c>
      <c r="AF439" s="128"/>
      <c r="AG439" s="124" t="s">
        <v>120</v>
      </c>
      <c r="AH439" s="128"/>
      <c r="AI439" s="124" t="s">
        <v>120</v>
      </c>
      <c r="AJ439" s="128"/>
      <c r="AK439" s="128"/>
      <c r="AL439" s="124" t="s">
        <v>156</v>
      </c>
      <c r="AM439" s="124" t="s">
        <v>126</v>
      </c>
      <c r="AN439" s="124" t="s">
        <v>242</v>
      </c>
      <c r="AO439" s="124" t="s">
        <v>216</v>
      </c>
      <c r="AP439" s="124"/>
    </row>
    <row r="440">
      <c r="A440" s="124" t="s">
        <v>4175</v>
      </c>
      <c r="B440" s="124" t="s">
        <v>4176</v>
      </c>
      <c r="C440" s="124" t="s">
        <v>4177</v>
      </c>
      <c r="D440" s="127">
        <v>41190.0</v>
      </c>
      <c r="E440" s="124" t="s">
        <v>177</v>
      </c>
      <c r="F440" s="124">
        <v>5.634144392E9</v>
      </c>
      <c r="G440" s="124" t="s">
        <v>4178</v>
      </c>
      <c r="H440" s="124" t="s">
        <v>101</v>
      </c>
      <c r="I440" s="124" t="s">
        <v>135</v>
      </c>
      <c r="J440" s="124" t="s">
        <v>4179</v>
      </c>
      <c r="K440" s="124" t="s">
        <v>4180</v>
      </c>
      <c r="L440" s="124">
        <v>5.523778565E9</v>
      </c>
      <c r="M440" s="128"/>
      <c r="N440" s="128"/>
      <c r="O440" s="128"/>
      <c r="P440" s="129">
        <v>13.0</v>
      </c>
      <c r="Q440" s="130">
        <v>46039.79861111111</v>
      </c>
      <c r="R440" s="124" t="s">
        <v>107</v>
      </c>
      <c r="S440" s="124" t="s">
        <v>109</v>
      </c>
      <c r="T440" s="124" t="s">
        <v>192</v>
      </c>
      <c r="U440" s="124" t="s">
        <v>609</v>
      </c>
      <c r="V440" s="124" t="s">
        <v>611</v>
      </c>
      <c r="W440" s="124" t="s">
        <v>612</v>
      </c>
      <c r="X440" s="124" t="s">
        <v>120</v>
      </c>
      <c r="Y440" s="128"/>
      <c r="Z440" s="124" t="s">
        <v>117</v>
      </c>
      <c r="AA440" s="124" t="s">
        <v>4181</v>
      </c>
      <c r="AB440" s="124" t="s">
        <v>120</v>
      </c>
      <c r="AC440" s="128"/>
      <c r="AD440" s="128"/>
      <c r="AE440" s="124" t="s">
        <v>120</v>
      </c>
      <c r="AF440" s="128"/>
      <c r="AG440" s="124" t="s">
        <v>120</v>
      </c>
      <c r="AH440" s="128"/>
      <c r="AI440" s="124" t="s">
        <v>120</v>
      </c>
      <c r="AJ440" s="128"/>
      <c r="AK440" s="124" t="s">
        <v>135</v>
      </c>
      <c r="AL440" s="124" t="s">
        <v>141</v>
      </c>
      <c r="AM440" s="124" t="s">
        <v>242</v>
      </c>
      <c r="AN440" s="124" t="s">
        <v>216</v>
      </c>
      <c r="AO440" s="124" t="s">
        <v>185</v>
      </c>
      <c r="AP440" s="124"/>
    </row>
    <row r="441">
      <c r="A441" s="124" t="s">
        <v>4182</v>
      </c>
      <c r="B441" s="124" t="s">
        <v>2536</v>
      </c>
      <c r="C441" s="124" t="s">
        <v>4183</v>
      </c>
      <c r="D441" s="127">
        <v>40354.0</v>
      </c>
      <c r="E441" s="124" t="s">
        <v>177</v>
      </c>
      <c r="F441" s="124">
        <v>5.610931944E9</v>
      </c>
      <c r="G441" s="124" t="s">
        <v>4184</v>
      </c>
      <c r="H441" s="124" t="s">
        <v>101</v>
      </c>
      <c r="I441" s="128"/>
      <c r="J441" s="124" t="s">
        <v>1383</v>
      </c>
      <c r="K441" s="124" t="s">
        <v>1386</v>
      </c>
      <c r="L441" s="124">
        <v>5.518388891E9</v>
      </c>
      <c r="M441" s="128"/>
      <c r="N441" s="128"/>
      <c r="O441" s="128"/>
      <c r="P441" s="129">
        <v>15.0</v>
      </c>
      <c r="Q441" s="130">
        <v>46033.505162037036</v>
      </c>
      <c r="R441" s="124" t="s">
        <v>107</v>
      </c>
      <c r="S441" s="124" t="s">
        <v>109</v>
      </c>
      <c r="T441" s="124" t="s">
        <v>160</v>
      </c>
      <c r="U441" s="124" t="s">
        <v>1265</v>
      </c>
      <c r="V441" s="124" t="s">
        <v>1267</v>
      </c>
      <c r="W441" s="124" t="s">
        <v>1268</v>
      </c>
      <c r="X441" s="124" t="s">
        <v>120</v>
      </c>
      <c r="Y441" s="128"/>
      <c r="Z441" s="124" t="s">
        <v>120</v>
      </c>
      <c r="AA441" s="128"/>
      <c r="AB441" s="124" t="s">
        <v>120</v>
      </c>
      <c r="AC441" s="128"/>
      <c r="AD441" s="128"/>
      <c r="AE441" s="124" t="s">
        <v>120</v>
      </c>
      <c r="AF441" s="128"/>
      <c r="AG441" s="124" t="s">
        <v>117</v>
      </c>
      <c r="AH441" s="128"/>
      <c r="AI441" s="124" t="s">
        <v>120</v>
      </c>
      <c r="AJ441" s="128"/>
      <c r="AK441" s="128"/>
      <c r="AL441" s="124" t="s">
        <v>141</v>
      </c>
      <c r="AM441" s="124" t="s">
        <v>240</v>
      </c>
      <c r="AN441" s="124" t="s">
        <v>126</v>
      </c>
      <c r="AO441" s="124" t="s">
        <v>156</v>
      </c>
      <c r="AP441" s="124"/>
    </row>
    <row r="442">
      <c r="A442" s="124" t="s">
        <v>4185</v>
      </c>
      <c r="B442" s="124" t="s">
        <v>4186</v>
      </c>
      <c r="C442" s="124" t="s">
        <v>4187</v>
      </c>
      <c r="D442" s="127">
        <v>40093.0</v>
      </c>
      <c r="E442" s="124" t="s">
        <v>98</v>
      </c>
      <c r="F442" s="124">
        <v>5.568691021E9</v>
      </c>
      <c r="G442" s="124" t="s">
        <v>4188</v>
      </c>
      <c r="H442" s="124" t="s">
        <v>140</v>
      </c>
      <c r="I442" s="128"/>
      <c r="J442" s="124" t="s">
        <v>4189</v>
      </c>
      <c r="K442" s="124" t="s">
        <v>4190</v>
      </c>
      <c r="L442" s="124">
        <v>5.523104954E9</v>
      </c>
      <c r="M442" s="128"/>
      <c r="N442" s="128"/>
      <c r="O442" s="128"/>
      <c r="P442" s="129">
        <v>16.0</v>
      </c>
      <c r="Q442" s="130">
        <v>46033.79534722222</v>
      </c>
      <c r="R442" s="124" t="s">
        <v>107</v>
      </c>
      <c r="S442" s="124" t="s">
        <v>109</v>
      </c>
      <c r="T442" s="124" t="s">
        <v>171</v>
      </c>
      <c r="U442" s="124" t="s">
        <v>526</v>
      </c>
      <c r="V442" s="124" t="s">
        <v>527</v>
      </c>
      <c r="W442" s="124" t="s">
        <v>528</v>
      </c>
      <c r="X442" s="124" t="s">
        <v>120</v>
      </c>
      <c r="Y442" s="128"/>
      <c r="Z442" s="124" t="s">
        <v>120</v>
      </c>
      <c r="AA442" s="128"/>
      <c r="AB442" s="124" t="s">
        <v>120</v>
      </c>
      <c r="AC442" s="124" t="s">
        <v>117</v>
      </c>
      <c r="AD442" s="128"/>
      <c r="AE442" s="124" t="s">
        <v>120</v>
      </c>
      <c r="AF442" s="128"/>
      <c r="AG442" s="124" t="s">
        <v>120</v>
      </c>
      <c r="AH442" s="128"/>
      <c r="AI442" s="124" t="s">
        <v>120</v>
      </c>
      <c r="AJ442" s="128"/>
      <c r="AK442" s="128"/>
      <c r="AL442" s="124" t="s">
        <v>124</v>
      </c>
      <c r="AM442" s="124" t="s">
        <v>185</v>
      </c>
      <c r="AN442" s="124" t="s">
        <v>128</v>
      </c>
      <c r="AO442" s="124" t="s">
        <v>216</v>
      </c>
      <c r="AP442" s="124"/>
    </row>
    <row r="443">
      <c r="A443" s="124" t="s">
        <v>4191</v>
      </c>
      <c r="B443" s="124" t="s">
        <v>4192</v>
      </c>
      <c r="C443" s="124" t="s">
        <v>4193</v>
      </c>
      <c r="D443" s="127">
        <v>39938.0</v>
      </c>
      <c r="E443" s="124" t="s">
        <v>98</v>
      </c>
      <c r="F443" s="124">
        <v>5.585923129E9</v>
      </c>
      <c r="G443" s="124" t="s">
        <v>4194</v>
      </c>
      <c r="H443" s="124" t="s">
        <v>101</v>
      </c>
      <c r="I443" s="128"/>
      <c r="J443" s="124" t="s">
        <v>4195</v>
      </c>
      <c r="K443" s="124" t="s">
        <v>4196</v>
      </c>
      <c r="L443" s="124">
        <v>5.585923129E9</v>
      </c>
      <c r="M443" s="128"/>
      <c r="N443" s="128"/>
      <c r="O443" s="128"/>
      <c r="P443" s="129">
        <v>16.0</v>
      </c>
      <c r="Q443" s="130">
        <v>46036.784780092596</v>
      </c>
      <c r="R443" s="124" t="s">
        <v>107</v>
      </c>
      <c r="S443" s="124" t="s">
        <v>109</v>
      </c>
      <c r="T443" s="124" t="s">
        <v>171</v>
      </c>
      <c r="U443" s="124" t="s">
        <v>2149</v>
      </c>
      <c r="V443" s="124" t="s">
        <v>2141</v>
      </c>
      <c r="W443" s="124" t="s">
        <v>2151</v>
      </c>
      <c r="X443" s="124" t="s">
        <v>120</v>
      </c>
      <c r="Y443" s="128"/>
      <c r="Z443" s="124" t="s">
        <v>120</v>
      </c>
      <c r="AA443" s="128"/>
      <c r="AB443" s="124" t="s">
        <v>120</v>
      </c>
      <c r="AC443" s="128"/>
      <c r="AD443" s="128"/>
      <c r="AE443" s="124" t="s">
        <v>120</v>
      </c>
      <c r="AF443" s="128"/>
      <c r="AG443" s="124" t="s">
        <v>120</v>
      </c>
      <c r="AH443" s="128"/>
      <c r="AI443" s="124" t="s">
        <v>120</v>
      </c>
      <c r="AJ443" s="128"/>
      <c r="AK443" s="128"/>
      <c r="AL443" s="124" t="s">
        <v>141</v>
      </c>
      <c r="AM443" s="124" t="s">
        <v>129</v>
      </c>
      <c r="AN443" s="124" t="s">
        <v>126</v>
      </c>
      <c r="AO443" s="124" t="s">
        <v>185</v>
      </c>
      <c r="AP443" s="124"/>
    </row>
    <row r="444">
      <c r="A444" s="124" t="s">
        <v>4197</v>
      </c>
      <c r="B444" s="124" t="s">
        <v>4198</v>
      </c>
      <c r="C444" s="124" t="s">
        <v>4199</v>
      </c>
      <c r="D444" s="127">
        <v>40219.0</v>
      </c>
      <c r="E444" s="124" t="s">
        <v>98</v>
      </c>
      <c r="F444" s="124">
        <v>5.533692329E9</v>
      </c>
      <c r="G444" s="124" t="s">
        <v>4200</v>
      </c>
      <c r="H444" s="124" t="s">
        <v>150</v>
      </c>
      <c r="I444" s="124" t="s">
        <v>3301</v>
      </c>
      <c r="J444" s="124" t="s">
        <v>4201</v>
      </c>
      <c r="K444" s="124" t="s">
        <v>4202</v>
      </c>
      <c r="L444" s="124">
        <v>5.64104735E9</v>
      </c>
      <c r="M444" s="128"/>
      <c r="N444" s="128"/>
      <c r="O444" s="128"/>
      <c r="P444" s="129">
        <v>16.0</v>
      </c>
      <c r="Q444" s="130">
        <v>46041.34019675926</v>
      </c>
      <c r="R444" s="124" t="s">
        <v>107</v>
      </c>
      <c r="S444" s="124" t="s">
        <v>109</v>
      </c>
      <c r="T444" s="124" t="s">
        <v>111</v>
      </c>
      <c r="U444" s="124" t="s">
        <v>2283</v>
      </c>
      <c r="V444" s="124" t="s">
        <v>2285</v>
      </c>
      <c r="W444" s="124" t="s">
        <v>2286</v>
      </c>
      <c r="X444" s="124" t="s">
        <v>120</v>
      </c>
      <c r="Y444" s="128"/>
      <c r="Z444" s="124" t="s">
        <v>120</v>
      </c>
      <c r="AA444" s="128"/>
      <c r="AB444" s="124" t="s">
        <v>120</v>
      </c>
      <c r="AC444" s="128"/>
      <c r="AD444" s="128"/>
      <c r="AE444" s="124" t="s">
        <v>120</v>
      </c>
      <c r="AF444" s="128"/>
      <c r="AG444" s="124" t="s">
        <v>120</v>
      </c>
      <c r="AH444" s="128"/>
      <c r="AI444" s="124" t="s">
        <v>120</v>
      </c>
      <c r="AJ444" s="128"/>
      <c r="AK444" s="128"/>
      <c r="AL444" s="124" t="s">
        <v>138</v>
      </c>
      <c r="AM444" s="124" t="s">
        <v>242</v>
      </c>
      <c r="AN444" s="124" t="s">
        <v>126</v>
      </c>
      <c r="AO444" s="124" t="s">
        <v>128</v>
      </c>
      <c r="AP444" s="124"/>
    </row>
    <row r="445">
      <c r="A445" s="124" t="s">
        <v>4203</v>
      </c>
      <c r="B445" s="124" t="s">
        <v>4204</v>
      </c>
      <c r="C445" s="124" t="s">
        <v>4205</v>
      </c>
      <c r="D445" s="127">
        <v>40169.0</v>
      </c>
      <c r="E445" s="124" t="s">
        <v>177</v>
      </c>
      <c r="F445" s="124">
        <v>5.57114676E9</v>
      </c>
      <c r="G445" s="124" t="s">
        <v>4206</v>
      </c>
      <c r="H445" s="124" t="s">
        <v>101</v>
      </c>
      <c r="I445" s="124" t="s">
        <v>4207</v>
      </c>
      <c r="J445" s="124" t="s">
        <v>3290</v>
      </c>
      <c r="K445" s="124" t="s">
        <v>4208</v>
      </c>
      <c r="L445" s="124">
        <v>5.582199248E9</v>
      </c>
      <c r="M445" s="128"/>
      <c r="N445" s="128"/>
      <c r="O445" s="128"/>
      <c r="P445" s="129">
        <v>16.0</v>
      </c>
      <c r="Q445" s="130">
        <v>46032.735671296294</v>
      </c>
      <c r="R445" s="124" t="s">
        <v>107</v>
      </c>
      <c r="S445" s="124" t="s">
        <v>109</v>
      </c>
      <c r="T445" s="124" t="s">
        <v>127</v>
      </c>
      <c r="U445" s="124" t="s">
        <v>766</v>
      </c>
      <c r="V445" s="124" t="s">
        <v>767</v>
      </c>
      <c r="W445" s="124" t="s">
        <v>768</v>
      </c>
      <c r="X445" s="124" t="s">
        <v>120</v>
      </c>
      <c r="Y445" s="128"/>
      <c r="Z445" s="124" t="s">
        <v>120</v>
      </c>
      <c r="AA445" s="128"/>
      <c r="AB445" s="124" t="s">
        <v>120</v>
      </c>
      <c r="AC445" s="124" t="s">
        <v>120</v>
      </c>
      <c r="AD445" s="128"/>
      <c r="AE445" s="124" t="s">
        <v>120</v>
      </c>
      <c r="AF445" s="128"/>
      <c r="AG445" s="124" t="s">
        <v>120</v>
      </c>
      <c r="AH445" s="128"/>
      <c r="AI445" s="124" t="s">
        <v>120</v>
      </c>
      <c r="AJ445" s="128"/>
      <c r="AK445" s="128"/>
      <c r="AL445" s="124" t="s">
        <v>185</v>
      </c>
      <c r="AM445" s="124" t="s">
        <v>126</v>
      </c>
      <c r="AN445" s="124" t="s">
        <v>138</v>
      </c>
      <c r="AO445" s="124" t="s">
        <v>129</v>
      </c>
      <c r="AP445" s="124"/>
    </row>
    <row r="446">
      <c r="A446" s="124" t="s">
        <v>4209</v>
      </c>
      <c r="B446" s="124" t="s">
        <v>4210</v>
      </c>
      <c r="C446" s="124" t="s">
        <v>4211</v>
      </c>
      <c r="D446" s="127">
        <v>39732.0</v>
      </c>
      <c r="E446" s="124" t="s">
        <v>98</v>
      </c>
      <c r="F446" s="124">
        <v>5.543516327E9</v>
      </c>
      <c r="G446" s="124" t="s">
        <v>4212</v>
      </c>
      <c r="H446" s="124" t="s">
        <v>150</v>
      </c>
      <c r="I446" s="128"/>
      <c r="J446" s="124" t="s">
        <v>4213</v>
      </c>
      <c r="K446" s="124" t="s">
        <v>4214</v>
      </c>
      <c r="L446" s="124">
        <v>5.539603209E9</v>
      </c>
      <c r="M446" s="128"/>
      <c r="N446" s="128"/>
      <c r="O446" s="128"/>
      <c r="P446" s="129">
        <v>17.0</v>
      </c>
      <c r="Q446" s="130">
        <v>46034.495462962965</v>
      </c>
      <c r="R446" s="124" t="s">
        <v>107</v>
      </c>
      <c r="S446" s="124" t="s">
        <v>109</v>
      </c>
      <c r="T446" s="124" t="s">
        <v>171</v>
      </c>
      <c r="U446" s="124" t="s">
        <v>638</v>
      </c>
      <c r="V446" s="124" t="s">
        <v>639</v>
      </c>
      <c r="W446" s="124" t="s">
        <v>641</v>
      </c>
      <c r="X446" s="124" t="s">
        <v>120</v>
      </c>
      <c r="Y446" s="128"/>
      <c r="Z446" s="124" t="s">
        <v>120</v>
      </c>
      <c r="AA446" s="128"/>
      <c r="AB446" s="124" t="s">
        <v>120</v>
      </c>
      <c r="AC446" s="128"/>
      <c r="AD446" s="128"/>
      <c r="AE446" s="124" t="s">
        <v>120</v>
      </c>
      <c r="AF446" s="128"/>
      <c r="AG446" s="124" t="s">
        <v>120</v>
      </c>
      <c r="AH446" s="128"/>
      <c r="AI446" s="124" t="s">
        <v>120</v>
      </c>
      <c r="AJ446" s="128"/>
      <c r="AK446" s="128"/>
      <c r="AL446" s="124" t="s">
        <v>141</v>
      </c>
      <c r="AM446" s="124" t="s">
        <v>156</v>
      </c>
      <c r="AN446" s="124" t="s">
        <v>126</v>
      </c>
      <c r="AO446" s="124" t="s">
        <v>128</v>
      </c>
      <c r="AP446" s="124"/>
    </row>
    <row r="447">
      <c r="A447" s="124" t="s">
        <v>4215</v>
      </c>
      <c r="B447" s="124" t="s">
        <v>4216</v>
      </c>
      <c r="C447" s="124" t="s">
        <v>4217</v>
      </c>
      <c r="D447" s="127">
        <v>40003.0</v>
      </c>
      <c r="E447" s="124" t="s">
        <v>98</v>
      </c>
      <c r="F447" s="124">
        <v>5.61846169E9</v>
      </c>
      <c r="G447" s="124" t="s">
        <v>4218</v>
      </c>
      <c r="H447" s="124" t="s">
        <v>140</v>
      </c>
      <c r="I447" s="128"/>
      <c r="J447" s="124" t="s">
        <v>4219</v>
      </c>
      <c r="K447" s="124" t="s">
        <v>4220</v>
      </c>
      <c r="L447" s="124">
        <v>5.532733287E9</v>
      </c>
      <c r="M447" s="128"/>
      <c r="N447" s="128"/>
      <c r="O447" s="128"/>
      <c r="P447" s="129">
        <v>16.0</v>
      </c>
      <c r="Q447" s="130">
        <v>46040.88496527778</v>
      </c>
      <c r="R447" s="124" t="s">
        <v>107</v>
      </c>
      <c r="S447" s="124" t="s">
        <v>109</v>
      </c>
      <c r="T447" s="124" t="s">
        <v>111</v>
      </c>
      <c r="U447" s="124" t="s">
        <v>2654</v>
      </c>
      <c r="V447" s="124" t="s">
        <v>2655</v>
      </c>
      <c r="W447" s="124" t="s">
        <v>2656</v>
      </c>
      <c r="X447" s="124" t="s">
        <v>120</v>
      </c>
      <c r="Y447" s="128"/>
      <c r="Z447" s="124" t="s">
        <v>120</v>
      </c>
      <c r="AA447" s="128"/>
      <c r="AB447" s="124" t="s">
        <v>120</v>
      </c>
      <c r="AC447" s="124" t="s">
        <v>120</v>
      </c>
      <c r="AD447" s="128"/>
      <c r="AE447" s="124" t="s">
        <v>120</v>
      </c>
      <c r="AF447" s="128"/>
      <c r="AG447" s="124" t="s">
        <v>120</v>
      </c>
      <c r="AH447" s="124" t="s">
        <v>3477</v>
      </c>
      <c r="AI447" s="124" t="s">
        <v>120</v>
      </c>
      <c r="AJ447" s="128"/>
      <c r="AK447" s="128"/>
      <c r="AL447" s="124" t="s">
        <v>242</v>
      </c>
      <c r="AM447" s="124" t="s">
        <v>156</v>
      </c>
      <c r="AN447" s="124" t="s">
        <v>216</v>
      </c>
      <c r="AO447" s="124" t="s">
        <v>124</v>
      </c>
      <c r="AP447" s="124"/>
    </row>
    <row r="448">
      <c r="A448" s="124" t="s">
        <v>2587</v>
      </c>
      <c r="B448" s="124" t="s">
        <v>2588</v>
      </c>
      <c r="C448" s="124" t="s">
        <v>2589</v>
      </c>
      <c r="D448" s="127">
        <v>37393.0</v>
      </c>
      <c r="E448" s="124" t="s">
        <v>98</v>
      </c>
      <c r="F448" s="124">
        <v>5.538793119E9</v>
      </c>
      <c r="G448" s="124" t="s">
        <v>2590</v>
      </c>
      <c r="H448" s="124" t="s">
        <v>382</v>
      </c>
      <c r="I448" s="128"/>
      <c r="J448" s="124" t="s">
        <v>2591</v>
      </c>
      <c r="K448" s="124" t="s">
        <v>2592</v>
      </c>
      <c r="L448" s="124">
        <v>5.532255001E9</v>
      </c>
      <c r="M448" s="128"/>
      <c r="N448" s="128"/>
      <c r="O448" s="128"/>
      <c r="P448" s="129">
        <v>23.0</v>
      </c>
      <c r="Q448" s="130">
        <v>46024.85403935185</v>
      </c>
      <c r="R448" s="124" t="s">
        <v>107</v>
      </c>
      <c r="S448" s="124" t="s">
        <v>125</v>
      </c>
      <c r="T448" s="124" t="s">
        <v>171</v>
      </c>
      <c r="U448" s="124" t="s">
        <v>526</v>
      </c>
      <c r="V448" s="124" t="s">
        <v>527</v>
      </c>
      <c r="W448" s="124" t="s">
        <v>528</v>
      </c>
      <c r="X448" s="124" t="s">
        <v>120</v>
      </c>
      <c r="Y448" s="128"/>
      <c r="Z448" s="124" t="s">
        <v>120</v>
      </c>
      <c r="AA448" s="128"/>
      <c r="AB448" s="124" t="s">
        <v>117</v>
      </c>
      <c r="AC448" s="124" t="s">
        <v>117</v>
      </c>
      <c r="AD448" s="124" t="s">
        <v>2600</v>
      </c>
      <c r="AE448" s="124" t="s">
        <v>120</v>
      </c>
      <c r="AF448" s="128"/>
      <c r="AG448" s="124" t="s">
        <v>120</v>
      </c>
      <c r="AH448" s="128"/>
      <c r="AI448" s="124" t="s">
        <v>120</v>
      </c>
      <c r="AJ448" s="128"/>
      <c r="AK448" s="128"/>
      <c r="AL448" s="124" t="s">
        <v>124</v>
      </c>
      <c r="AM448" s="124" t="s">
        <v>141</v>
      </c>
      <c r="AN448" s="124" t="s">
        <v>129</v>
      </c>
      <c r="AO448" s="124" t="s">
        <v>242</v>
      </c>
      <c r="AP448" s="124"/>
    </row>
    <row r="449">
      <c r="A449" s="124" t="s">
        <v>2683</v>
      </c>
      <c r="B449" s="124" t="s">
        <v>2684</v>
      </c>
      <c r="C449" s="124" t="s">
        <v>2685</v>
      </c>
      <c r="D449" s="127">
        <v>40667.0</v>
      </c>
      <c r="E449" s="124" t="s">
        <v>177</v>
      </c>
      <c r="F449" s="124">
        <v>5.54962651E9</v>
      </c>
      <c r="G449" s="124" t="s">
        <v>2686</v>
      </c>
      <c r="H449" s="124" t="s">
        <v>140</v>
      </c>
      <c r="I449" s="128"/>
      <c r="J449" s="124" t="s">
        <v>2687</v>
      </c>
      <c r="K449" s="124" t="s">
        <v>2688</v>
      </c>
      <c r="L449" s="128" t="str">
        <f>+52 55 7441 3479</f>
        <v>#ERROR!</v>
      </c>
      <c r="M449" s="124" t="s">
        <v>2690</v>
      </c>
      <c r="N449" s="124" t="s">
        <v>2691</v>
      </c>
      <c r="O449" s="128" t="str">
        <f>+52 55 1345 0091</f>
        <v>#ERROR!</v>
      </c>
      <c r="P449" s="129">
        <v>14.0</v>
      </c>
      <c r="Q449" s="130">
        <v>46033.60320601852</v>
      </c>
      <c r="R449" s="124" t="s">
        <v>107</v>
      </c>
      <c r="S449" s="124" t="s">
        <v>109</v>
      </c>
      <c r="T449" s="124" t="s">
        <v>204</v>
      </c>
      <c r="U449" s="124" t="s">
        <v>367</v>
      </c>
      <c r="V449" s="124" t="s">
        <v>368</v>
      </c>
      <c r="W449" s="124" t="s">
        <v>369</v>
      </c>
      <c r="X449" s="124" t="s">
        <v>120</v>
      </c>
      <c r="Y449" s="128"/>
      <c r="Z449" s="124" t="s">
        <v>120</v>
      </c>
      <c r="AA449" s="128"/>
      <c r="AB449" s="124" t="s">
        <v>120</v>
      </c>
      <c r="AC449" s="128"/>
      <c r="AD449" s="128"/>
      <c r="AE449" s="124" t="s">
        <v>120</v>
      </c>
      <c r="AF449" s="128"/>
      <c r="AG449" s="124" t="s">
        <v>117</v>
      </c>
      <c r="AH449" s="124" t="s">
        <v>2703</v>
      </c>
      <c r="AI449" s="124" t="s">
        <v>120</v>
      </c>
      <c r="AJ449" s="128"/>
      <c r="AK449" s="128"/>
      <c r="AL449" s="124" t="s">
        <v>141</v>
      </c>
      <c r="AM449" s="124" t="s">
        <v>240</v>
      </c>
      <c r="AN449" s="124" t="s">
        <v>185</v>
      </c>
      <c r="AO449" s="124" t="s">
        <v>126</v>
      </c>
      <c r="AP449" s="124"/>
    </row>
    <row r="450">
      <c r="A450" s="124" t="s">
        <v>4221</v>
      </c>
      <c r="B450" s="124" t="s">
        <v>4222</v>
      </c>
      <c r="C450" s="124" t="s">
        <v>4223</v>
      </c>
      <c r="D450" s="127">
        <v>40393.0</v>
      </c>
      <c r="E450" s="124" t="s">
        <v>177</v>
      </c>
      <c r="F450" s="124">
        <v>5.520885391E9</v>
      </c>
      <c r="G450" s="124" t="s">
        <v>4224</v>
      </c>
      <c r="H450" s="124" t="s">
        <v>101</v>
      </c>
      <c r="I450" s="128"/>
      <c r="J450" s="124" t="s">
        <v>4225</v>
      </c>
      <c r="K450" s="124" t="s">
        <v>4226</v>
      </c>
      <c r="L450" s="124">
        <v>5.539017098E9</v>
      </c>
      <c r="M450" s="124" t="s">
        <v>4227</v>
      </c>
      <c r="N450" s="124" t="s">
        <v>4228</v>
      </c>
      <c r="O450" s="124">
        <v>5.579065869E9</v>
      </c>
      <c r="P450" s="129">
        <v>15.0</v>
      </c>
      <c r="Q450" s="130">
        <v>46031.57894675926</v>
      </c>
      <c r="R450" s="124" t="s">
        <v>107</v>
      </c>
      <c r="S450" s="124" t="s">
        <v>109</v>
      </c>
      <c r="T450" s="124" t="s">
        <v>160</v>
      </c>
      <c r="U450" s="124" t="s">
        <v>279</v>
      </c>
      <c r="V450" s="124" t="s">
        <v>280</v>
      </c>
      <c r="W450" s="124" t="s">
        <v>282</v>
      </c>
      <c r="X450" s="124" t="s">
        <v>120</v>
      </c>
      <c r="Y450" s="128"/>
      <c r="Z450" s="124" t="s">
        <v>120</v>
      </c>
      <c r="AA450" s="128"/>
      <c r="AB450" s="124" t="s">
        <v>120</v>
      </c>
      <c r="AC450" s="128"/>
      <c r="AD450" s="128"/>
      <c r="AE450" s="124" t="s">
        <v>120</v>
      </c>
      <c r="AF450" s="128"/>
      <c r="AG450" s="124" t="s">
        <v>120</v>
      </c>
      <c r="AH450" s="128"/>
      <c r="AI450" s="124" t="s">
        <v>120</v>
      </c>
      <c r="AJ450" s="128"/>
      <c r="AK450" s="128"/>
      <c r="AL450" s="124" t="s">
        <v>126</v>
      </c>
      <c r="AM450" s="124" t="s">
        <v>141</v>
      </c>
      <c r="AN450" s="124" t="s">
        <v>242</v>
      </c>
      <c r="AO450" s="124" t="s">
        <v>129</v>
      </c>
      <c r="AP450" s="124"/>
    </row>
    <row r="451">
      <c r="A451" s="124" t="s">
        <v>2145</v>
      </c>
      <c r="B451" s="124" t="s">
        <v>2147</v>
      </c>
      <c r="C451" s="124" t="s">
        <v>2148</v>
      </c>
      <c r="D451" s="127">
        <v>40571.0</v>
      </c>
      <c r="E451" s="124" t="s">
        <v>177</v>
      </c>
      <c r="F451" s="124">
        <v>5.561712405E9</v>
      </c>
      <c r="G451" s="124" t="s">
        <v>2150</v>
      </c>
      <c r="H451" s="124" t="s">
        <v>382</v>
      </c>
      <c r="I451" s="128"/>
      <c r="J451" s="124" t="s">
        <v>2152</v>
      </c>
      <c r="K451" s="124" t="s">
        <v>2150</v>
      </c>
      <c r="L451" s="124">
        <v>5.523204252E9</v>
      </c>
      <c r="M451" s="128"/>
      <c r="N451" s="128"/>
      <c r="O451" s="128"/>
      <c r="P451" s="129">
        <v>15.0</v>
      </c>
      <c r="Q451" s="130">
        <v>46029.070081018515</v>
      </c>
      <c r="R451" s="124" t="s">
        <v>107</v>
      </c>
      <c r="S451" s="124" t="s">
        <v>109</v>
      </c>
      <c r="T451" s="124" t="s">
        <v>204</v>
      </c>
      <c r="U451" s="124" t="s">
        <v>295</v>
      </c>
      <c r="V451" s="124" t="s">
        <v>298</v>
      </c>
      <c r="W451" s="124" t="s">
        <v>299</v>
      </c>
      <c r="X451" s="124" t="s">
        <v>120</v>
      </c>
      <c r="Y451" s="128"/>
      <c r="Z451" s="124" t="s">
        <v>120</v>
      </c>
      <c r="AA451" s="128"/>
      <c r="AB451" s="124" t="s">
        <v>117</v>
      </c>
      <c r="AC451" s="124" t="s">
        <v>117</v>
      </c>
      <c r="AD451" s="124" t="s">
        <v>1053</v>
      </c>
      <c r="AE451" s="124" t="s">
        <v>120</v>
      </c>
      <c r="AF451" s="128"/>
      <c r="AG451" s="124" t="s">
        <v>120</v>
      </c>
      <c r="AH451" s="128"/>
      <c r="AI451" s="124" t="s">
        <v>120</v>
      </c>
      <c r="AJ451" s="128"/>
      <c r="AK451" s="128"/>
      <c r="AL451" s="124" t="s">
        <v>126</v>
      </c>
      <c r="AM451" s="124" t="s">
        <v>240</v>
      </c>
      <c r="AN451" s="124" t="s">
        <v>242</v>
      </c>
      <c r="AO451" s="124" t="s">
        <v>185</v>
      </c>
      <c r="AP451" s="124"/>
    </row>
    <row r="452">
      <c r="A452" s="124" t="s">
        <v>451</v>
      </c>
      <c r="B452" s="124" t="s">
        <v>1912</v>
      </c>
      <c r="C452" s="124" t="s">
        <v>1913</v>
      </c>
      <c r="D452" s="127">
        <v>40257.0</v>
      </c>
      <c r="E452" s="124" t="s">
        <v>98</v>
      </c>
      <c r="F452" s="124">
        <v>5.642992795E9</v>
      </c>
      <c r="G452" s="124" t="s">
        <v>1920</v>
      </c>
      <c r="H452" s="124" t="s">
        <v>150</v>
      </c>
      <c r="I452" s="128"/>
      <c r="J452" s="124" t="s">
        <v>1924</v>
      </c>
      <c r="K452" s="124" t="s">
        <v>1925</v>
      </c>
      <c r="L452" s="124">
        <v>5.546144414E9</v>
      </c>
      <c r="M452" s="124" t="s">
        <v>1928</v>
      </c>
      <c r="N452" s="124" t="s">
        <v>1929</v>
      </c>
      <c r="O452" s="124">
        <v>5.616834998E9</v>
      </c>
      <c r="P452" s="129">
        <v>15.0</v>
      </c>
      <c r="Q452" s="130">
        <v>46025.666655092595</v>
      </c>
      <c r="R452" s="124" t="s">
        <v>107</v>
      </c>
      <c r="S452" s="124" t="s">
        <v>109</v>
      </c>
      <c r="T452" s="124" t="s">
        <v>127</v>
      </c>
      <c r="U452" s="124" t="s">
        <v>531</v>
      </c>
      <c r="V452" s="124" t="s">
        <v>532</v>
      </c>
      <c r="W452" s="124" t="s">
        <v>534</v>
      </c>
      <c r="X452" s="124" t="s">
        <v>120</v>
      </c>
      <c r="Y452" s="128"/>
      <c r="Z452" s="124" t="s">
        <v>120</v>
      </c>
      <c r="AA452" s="128"/>
      <c r="AB452" s="124" t="s">
        <v>120</v>
      </c>
      <c r="AC452" s="128"/>
      <c r="AD452" s="128"/>
      <c r="AE452" s="124" t="s">
        <v>117</v>
      </c>
      <c r="AF452" s="124" t="s">
        <v>1934</v>
      </c>
      <c r="AG452" s="124" t="s">
        <v>120</v>
      </c>
      <c r="AH452" s="128"/>
      <c r="AI452" s="124" t="s">
        <v>117</v>
      </c>
      <c r="AJ452" s="124" t="s">
        <v>1937</v>
      </c>
      <c r="AK452" s="128"/>
      <c r="AL452" s="124" t="s">
        <v>156</v>
      </c>
      <c r="AM452" s="124" t="s">
        <v>185</v>
      </c>
      <c r="AN452" s="124" t="s">
        <v>124</v>
      </c>
      <c r="AO452" s="124" t="s">
        <v>242</v>
      </c>
      <c r="AP452" s="124"/>
    </row>
    <row r="453">
      <c r="A453" s="124" t="s">
        <v>1857</v>
      </c>
      <c r="B453" s="124" t="s">
        <v>4229</v>
      </c>
      <c r="C453" s="124" t="s">
        <v>4230</v>
      </c>
      <c r="D453" s="127">
        <v>39576.0</v>
      </c>
      <c r="E453" s="124" t="s">
        <v>177</v>
      </c>
      <c r="F453" s="124">
        <v>5.5246929E9</v>
      </c>
      <c r="G453" s="124" t="s">
        <v>4231</v>
      </c>
      <c r="H453" s="124" t="s">
        <v>101</v>
      </c>
      <c r="I453" s="128"/>
      <c r="J453" s="124" t="s">
        <v>4232</v>
      </c>
      <c r="K453" s="124" t="s">
        <v>4233</v>
      </c>
      <c r="L453" s="124">
        <v>5.5246929E9</v>
      </c>
      <c r="M453" s="128"/>
      <c r="N453" s="128"/>
      <c r="O453" s="128"/>
      <c r="P453" s="129">
        <v>17.0</v>
      </c>
      <c r="Q453" s="130">
        <v>46041.35212962963</v>
      </c>
      <c r="R453" s="124" t="s">
        <v>107</v>
      </c>
      <c r="S453" s="124" t="s">
        <v>109</v>
      </c>
      <c r="T453" s="124" t="s">
        <v>111</v>
      </c>
      <c r="U453" s="124" t="s">
        <v>2283</v>
      </c>
      <c r="V453" s="124" t="s">
        <v>2285</v>
      </c>
      <c r="W453" s="124" t="s">
        <v>2286</v>
      </c>
      <c r="X453" s="124" t="s">
        <v>120</v>
      </c>
      <c r="Y453" s="128"/>
      <c r="Z453" s="124" t="s">
        <v>117</v>
      </c>
      <c r="AA453" s="124" t="s">
        <v>4234</v>
      </c>
      <c r="AB453" s="124" t="s">
        <v>120</v>
      </c>
      <c r="AC453" s="128"/>
      <c r="AD453" s="128"/>
      <c r="AE453" s="124" t="s">
        <v>120</v>
      </c>
      <c r="AF453" s="128"/>
      <c r="AG453" s="124" t="s">
        <v>120</v>
      </c>
      <c r="AH453" s="128"/>
      <c r="AI453" s="124" t="s">
        <v>120</v>
      </c>
      <c r="AJ453" s="128"/>
      <c r="AK453" s="128"/>
      <c r="AL453" s="124" t="s">
        <v>126</v>
      </c>
      <c r="AM453" s="124" t="s">
        <v>156</v>
      </c>
      <c r="AN453" s="124" t="s">
        <v>141</v>
      </c>
      <c r="AO453" s="124" t="s">
        <v>216</v>
      </c>
      <c r="AP453" s="124"/>
    </row>
    <row r="454">
      <c r="A454" s="124" t="s">
        <v>2517</v>
      </c>
      <c r="B454" s="124" t="s">
        <v>2518</v>
      </c>
      <c r="C454" s="124" t="s">
        <v>2519</v>
      </c>
      <c r="D454" s="127">
        <v>37686.0</v>
      </c>
      <c r="E454" s="124" t="s">
        <v>98</v>
      </c>
      <c r="F454" s="124">
        <v>5.550670823E9</v>
      </c>
      <c r="G454" s="124" t="s">
        <v>2522</v>
      </c>
      <c r="H454" s="124" t="s">
        <v>101</v>
      </c>
      <c r="I454" s="124" t="s">
        <v>135</v>
      </c>
      <c r="J454" s="124" t="s">
        <v>2524</v>
      </c>
      <c r="K454" s="124" t="s">
        <v>2522</v>
      </c>
      <c r="L454" s="124">
        <v>5.554240848E9</v>
      </c>
      <c r="M454" s="128"/>
      <c r="N454" s="128"/>
      <c r="O454" s="128"/>
      <c r="P454" s="129">
        <v>22.0</v>
      </c>
      <c r="Q454" s="130">
        <v>46033.51980324074</v>
      </c>
      <c r="R454" s="124" t="s">
        <v>107</v>
      </c>
      <c r="S454" s="124" t="s">
        <v>125</v>
      </c>
      <c r="T454" s="124" t="s">
        <v>171</v>
      </c>
      <c r="U454" s="124" t="s">
        <v>1474</v>
      </c>
      <c r="V454" s="124" t="s">
        <v>1475</v>
      </c>
      <c r="W454" s="124" t="s">
        <v>1476</v>
      </c>
      <c r="X454" s="124" t="s">
        <v>120</v>
      </c>
      <c r="Y454" s="128"/>
      <c r="Z454" s="124" t="s">
        <v>120</v>
      </c>
      <c r="AA454" s="128"/>
      <c r="AB454" s="124" t="s">
        <v>120</v>
      </c>
      <c r="AC454" s="128"/>
      <c r="AD454" s="128"/>
      <c r="AE454" s="124" t="s">
        <v>117</v>
      </c>
      <c r="AF454" s="124" t="s">
        <v>2529</v>
      </c>
      <c r="AG454" s="124" t="s">
        <v>120</v>
      </c>
      <c r="AH454" s="128"/>
      <c r="AI454" s="124" t="s">
        <v>117</v>
      </c>
      <c r="AJ454" s="124" t="s">
        <v>2530</v>
      </c>
      <c r="AK454" s="124" t="s">
        <v>2531</v>
      </c>
      <c r="AL454" s="124" t="s">
        <v>126</v>
      </c>
      <c r="AM454" s="124" t="s">
        <v>216</v>
      </c>
      <c r="AN454" s="124" t="s">
        <v>240</v>
      </c>
      <c r="AO454" s="124" t="s">
        <v>141</v>
      </c>
      <c r="AP454" s="124"/>
    </row>
    <row r="455">
      <c r="A455" s="124" t="s">
        <v>4235</v>
      </c>
      <c r="B455" s="124" t="s">
        <v>2982</v>
      </c>
      <c r="C455" s="124" t="s">
        <v>4236</v>
      </c>
      <c r="D455" s="127">
        <v>39539.0</v>
      </c>
      <c r="E455" s="124" t="s">
        <v>98</v>
      </c>
      <c r="F455" s="124">
        <v>5.578643805E9</v>
      </c>
      <c r="G455" s="124" t="s">
        <v>4237</v>
      </c>
      <c r="H455" s="124" t="s">
        <v>150</v>
      </c>
      <c r="I455" s="128"/>
      <c r="J455" s="124" t="s">
        <v>4238</v>
      </c>
      <c r="K455" s="124" t="s">
        <v>4239</v>
      </c>
      <c r="L455" s="124">
        <v>5.571821804E9</v>
      </c>
      <c r="M455" s="124" t="s">
        <v>4240</v>
      </c>
      <c r="N455" s="124" t="s">
        <v>2988</v>
      </c>
      <c r="O455" s="124">
        <v>5.54074863E8</v>
      </c>
      <c r="P455" s="129">
        <v>17.0</v>
      </c>
      <c r="Q455" s="130">
        <v>46040.41322916667</v>
      </c>
      <c r="R455" s="124" t="s">
        <v>107</v>
      </c>
      <c r="S455" s="124" t="s">
        <v>109</v>
      </c>
      <c r="T455" s="124" t="s">
        <v>192</v>
      </c>
      <c r="U455" s="124" t="s">
        <v>505</v>
      </c>
      <c r="V455" s="124" t="s">
        <v>506</v>
      </c>
      <c r="W455" s="124" t="s">
        <v>507</v>
      </c>
      <c r="X455" s="124" t="s">
        <v>120</v>
      </c>
      <c r="Y455" s="128"/>
      <c r="Z455" s="124" t="s">
        <v>120</v>
      </c>
      <c r="AA455" s="128"/>
      <c r="AB455" s="124" t="s">
        <v>120</v>
      </c>
      <c r="AC455" s="128"/>
      <c r="AD455" s="128"/>
      <c r="AE455" s="124" t="s">
        <v>120</v>
      </c>
      <c r="AF455" s="128"/>
      <c r="AG455" s="124" t="s">
        <v>120</v>
      </c>
      <c r="AH455" s="128"/>
      <c r="AI455" s="124" t="s">
        <v>120</v>
      </c>
      <c r="AJ455" s="128"/>
      <c r="AK455" s="128"/>
      <c r="AL455" s="124" t="s">
        <v>124</v>
      </c>
      <c r="AM455" s="124" t="s">
        <v>138</v>
      </c>
      <c r="AN455" s="124" t="s">
        <v>129</v>
      </c>
      <c r="AO455" s="124" t="s">
        <v>185</v>
      </c>
      <c r="AP455" s="124"/>
    </row>
    <row r="456">
      <c r="A456" s="124" t="s">
        <v>2610</v>
      </c>
      <c r="B456" s="124" t="s">
        <v>2611</v>
      </c>
      <c r="C456" s="124" t="s">
        <v>2612</v>
      </c>
      <c r="D456" s="127">
        <v>36962.0</v>
      </c>
      <c r="E456" s="124" t="s">
        <v>98</v>
      </c>
      <c r="F456" s="124">
        <v>4.442247241E9</v>
      </c>
      <c r="G456" s="124" t="s">
        <v>2613</v>
      </c>
      <c r="H456" s="124" t="s">
        <v>140</v>
      </c>
      <c r="I456" s="128"/>
      <c r="J456" s="124" t="s">
        <v>2616</v>
      </c>
      <c r="K456" s="124" t="s">
        <v>2618</v>
      </c>
      <c r="L456" s="124">
        <v>4.443000503E9</v>
      </c>
      <c r="M456" s="128"/>
      <c r="N456" s="128"/>
      <c r="O456" s="128"/>
      <c r="P456" s="129">
        <v>24.0</v>
      </c>
      <c r="Q456" s="130">
        <v>46046.57722222222</v>
      </c>
      <c r="R456" s="124" t="s">
        <v>231</v>
      </c>
      <c r="S456" s="124" t="s">
        <v>125</v>
      </c>
      <c r="T456" s="124" t="s">
        <v>2627</v>
      </c>
      <c r="U456" s="124" t="s">
        <v>2629</v>
      </c>
      <c r="V456" s="124" t="s">
        <v>2630</v>
      </c>
      <c r="W456" s="124" t="s">
        <v>2633</v>
      </c>
      <c r="X456" s="124" t="s">
        <v>120</v>
      </c>
      <c r="Y456" s="128"/>
      <c r="Z456" s="124" t="s">
        <v>120</v>
      </c>
      <c r="AA456" s="128"/>
      <c r="AB456" s="124" t="s">
        <v>120</v>
      </c>
      <c r="AC456" s="124" t="s">
        <v>120</v>
      </c>
      <c r="AD456" s="128"/>
      <c r="AE456" s="124" t="s">
        <v>120</v>
      </c>
      <c r="AF456" s="128"/>
      <c r="AG456" s="124" t="s">
        <v>120</v>
      </c>
      <c r="AH456" s="128"/>
      <c r="AI456" s="124" t="s">
        <v>120</v>
      </c>
      <c r="AJ456" s="128"/>
      <c r="AK456" s="128"/>
      <c r="AL456" s="124" t="s">
        <v>242</v>
      </c>
      <c r="AM456" s="124" t="s">
        <v>185</v>
      </c>
      <c r="AN456" s="124" t="s">
        <v>129</v>
      </c>
      <c r="AO456" s="124" t="s">
        <v>141</v>
      </c>
      <c r="AP456" s="124"/>
    </row>
    <row r="457">
      <c r="A457" s="124" t="s">
        <v>4241</v>
      </c>
      <c r="B457" s="124" t="s">
        <v>4242</v>
      </c>
      <c r="C457" s="124" t="s">
        <v>4243</v>
      </c>
      <c r="D457" s="127">
        <v>36263.0</v>
      </c>
      <c r="E457" s="124" t="s">
        <v>177</v>
      </c>
      <c r="F457" s="124">
        <v>5.51941484E9</v>
      </c>
      <c r="G457" s="124" t="s">
        <v>4244</v>
      </c>
      <c r="H457" s="124" t="s">
        <v>101</v>
      </c>
      <c r="I457" s="128"/>
      <c r="J457" s="124" t="s">
        <v>4245</v>
      </c>
      <c r="K457" s="124" t="s">
        <v>4246</v>
      </c>
      <c r="L457" s="124">
        <v>5.559898832E9</v>
      </c>
      <c r="M457" s="124" t="s">
        <v>4247</v>
      </c>
      <c r="N457" s="124" t="s">
        <v>4248</v>
      </c>
      <c r="O457" s="124">
        <v>5.559896471E9</v>
      </c>
      <c r="P457" s="129">
        <v>26.0</v>
      </c>
      <c r="Q457" s="130">
        <v>46026.732777777775</v>
      </c>
      <c r="R457" s="124" t="s">
        <v>107</v>
      </c>
      <c r="S457" s="124" t="s">
        <v>125</v>
      </c>
      <c r="T457" s="124" t="s">
        <v>208</v>
      </c>
      <c r="U457" s="124" t="s">
        <v>209</v>
      </c>
      <c r="V457" s="124" t="s">
        <v>210</v>
      </c>
      <c r="W457" s="124" t="s">
        <v>211</v>
      </c>
      <c r="X457" s="124" t="s">
        <v>120</v>
      </c>
      <c r="Y457" s="128"/>
      <c r="Z457" s="124" t="s">
        <v>120</v>
      </c>
      <c r="AA457" s="128"/>
      <c r="AB457" s="124" t="s">
        <v>120</v>
      </c>
      <c r="AC457" s="124" t="s">
        <v>120</v>
      </c>
      <c r="AD457" s="128"/>
      <c r="AE457" s="124" t="s">
        <v>120</v>
      </c>
      <c r="AF457" s="128"/>
      <c r="AG457" s="124" t="s">
        <v>120</v>
      </c>
      <c r="AH457" s="128"/>
      <c r="AI457" s="124" t="s">
        <v>120</v>
      </c>
      <c r="AJ457" s="128"/>
      <c r="AK457" s="128"/>
      <c r="AL457" s="124" t="s">
        <v>240</v>
      </c>
      <c r="AM457" s="124" t="s">
        <v>141</v>
      </c>
      <c r="AN457" s="124" t="s">
        <v>156</v>
      </c>
      <c r="AO457" s="124" t="s">
        <v>242</v>
      </c>
      <c r="AP457" s="124"/>
    </row>
    <row r="458">
      <c r="A458" s="124" t="s">
        <v>2635</v>
      </c>
      <c r="B458" s="124" t="s">
        <v>2636</v>
      </c>
      <c r="C458" s="124" t="s">
        <v>2637</v>
      </c>
      <c r="D458" s="127">
        <v>38722.0</v>
      </c>
      <c r="E458" s="124" t="s">
        <v>98</v>
      </c>
      <c r="F458" s="124">
        <v>5.568951569E9</v>
      </c>
      <c r="G458" s="124" t="s">
        <v>2639</v>
      </c>
      <c r="H458" s="124" t="s">
        <v>101</v>
      </c>
      <c r="I458" s="128"/>
      <c r="J458" s="124" t="s">
        <v>2642</v>
      </c>
      <c r="K458" s="124" t="s">
        <v>2644</v>
      </c>
      <c r="L458" s="128" t="str">
        <f>+52 55 6141 3469</f>
        <v>#ERROR!</v>
      </c>
      <c r="M458" s="128"/>
      <c r="N458" s="128"/>
      <c r="O458" s="128"/>
      <c r="P458" s="129">
        <v>20.0</v>
      </c>
      <c r="Q458" s="130">
        <v>46038.42502314815</v>
      </c>
      <c r="R458" s="124" t="s">
        <v>260</v>
      </c>
      <c r="S458" s="124" t="s">
        <v>125</v>
      </c>
      <c r="T458" s="124" t="s">
        <v>111</v>
      </c>
      <c r="U458" s="124" t="s">
        <v>2654</v>
      </c>
      <c r="V458" s="124" t="s">
        <v>2655</v>
      </c>
      <c r="W458" s="124" t="s">
        <v>2656</v>
      </c>
      <c r="X458" s="124" t="s">
        <v>120</v>
      </c>
      <c r="Y458" s="128"/>
      <c r="Z458" s="124" t="s">
        <v>120</v>
      </c>
      <c r="AA458" s="128"/>
      <c r="AB458" s="124" t="s">
        <v>120</v>
      </c>
      <c r="AC458" s="128"/>
      <c r="AD458" s="128"/>
      <c r="AE458" s="124" t="s">
        <v>120</v>
      </c>
      <c r="AF458" s="128"/>
      <c r="AG458" s="124" t="s">
        <v>120</v>
      </c>
      <c r="AH458" s="128"/>
      <c r="AI458" s="124" t="s">
        <v>120</v>
      </c>
      <c r="AJ458" s="128"/>
      <c r="AK458" s="128"/>
      <c r="AL458" s="124" t="s">
        <v>156</v>
      </c>
      <c r="AM458" s="124" t="s">
        <v>141</v>
      </c>
      <c r="AN458" s="124" t="s">
        <v>129</v>
      </c>
      <c r="AO458" s="124" t="s">
        <v>124</v>
      </c>
      <c r="AP458" s="124"/>
    </row>
    <row r="459">
      <c r="A459" s="124" t="s">
        <v>1946</v>
      </c>
      <c r="B459" s="124" t="s">
        <v>1947</v>
      </c>
      <c r="C459" s="124" t="s">
        <v>1949</v>
      </c>
      <c r="D459" s="127">
        <v>40071.0</v>
      </c>
      <c r="E459" s="124" t="s">
        <v>98</v>
      </c>
      <c r="F459" s="124">
        <v>2.207730057E9</v>
      </c>
      <c r="G459" s="124" t="s">
        <v>1958</v>
      </c>
      <c r="H459" s="124" t="s">
        <v>150</v>
      </c>
      <c r="I459" s="124" t="s">
        <v>135</v>
      </c>
      <c r="J459" s="124" t="s">
        <v>1964</v>
      </c>
      <c r="K459" s="124" t="s">
        <v>1965</v>
      </c>
      <c r="L459" s="124">
        <v>5.657460651E9</v>
      </c>
      <c r="M459" s="128"/>
      <c r="N459" s="128"/>
      <c r="O459" s="128"/>
      <c r="P459" s="129">
        <v>16.0</v>
      </c>
      <c r="Q459" s="130">
        <v>46036.94164351852</v>
      </c>
      <c r="R459" s="124" t="s">
        <v>107</v>
      </c>
      <c r="S459" s="124" t="s">
        <v>109</v>
      </c>
      <c r="T459" s="124" t="s">
        <v>127</v>
      </c>
      <c r="U459" s="124" t="s">
        <v>672</v>
      </c>
      <c r="V459" s="124" t="s">
        <v>673</v>
      </c>
      <c r="W459" s="124" t="s">
        <v>674</v>
      </c>
      <c r="X459" s="124" t="s">
        <v>120</v>
      </c>
      <c r="Y459" s="124" t="s">
        <v>1969</v>
      </c>
      <c r="Z459" s="124" t="s">
        <v>120</v>
      </c>
      <c r="AA459" s="124" t="s">
        <v>1969</v>
      </c>
      <c r="AB459" s="124" t="s">
        <v>120</v>
      </c>
      <c r="AC459" s="124" t="s">
        <v>120</v>
      </c>
      <c r="AD459" s="124" t="s">
        <v>135</v>
      </c>
      <c r="AE459" s="124" t="s">
        <v>120</v>
      </c>
      <c r="AF459" s="124" t="s">
        <v>1969</v>
      </c>
      <c r="AG459" s="124" t="s">
        <v>120</v>
      </c>
      <c r="AH459" s="124" t="s">
        <v>1969</v>
      </c>
      <c r="AI459" s="124" t="s">
        <v>117</v>
      </c>
      <c r="AJ459" s="124" t="s">
        <v>178</v>
      </c>
      <c r="AK459" s="124" t="s">
        <v>1969</v>
      </c>
      <c r="AL459" s="124" t="s">
        <v>129</v>
      </c>
      <c r="AM459" s="124" t="s">
        <v>138</v>
      </c>
      <c r="AN459" s="124" t="s">
        <v>141</v>
      </c>
      <c r="AO459" s="124" t="s">
        <v>242</v>
      </c>
      <c r="AP459" s="124"/>
    </row>
    <row r="460">
      <c r="A460" s="124" t="s">
        <v>1730</v>
      </c>
      <c r="B460" s="124" t="s">
        <v>4250</v>
      </c>
      <c r="C460" s="124" t="s">
        <v>4251</v>
      </c>
      <c r="D460" s="127">
        <v>40889.0</v>
      </c>
      <c r="E460" s="124" t="s">
        <v>177</v>
      </c>
      <c r="F460" s="124">
        <v>5.534270823E9</v>
      </c>
      <c r="G460" s="124" t="s">
        <v>4252</v>
      </c>
      <c r="H460" s="124" t="s">
        <v>150</v>
      </c>
      <c r="I460" s="124" t="s">
        <v>2339</v>
      </c>
      <c r="J460" s="124" t="s">
        <v>115</v>
      </c>
      <c r="K460" s="124" t="s">
        <v>114</v>
      </c>
      <c r="L460" s="124">
        <v>5.511719199E9</v>
      </c>
      <c r="M460" s="124" t="s">
        <v>4254</v>
      </c>
      <c r="N460" s="124" t="s">
        <v>4255</v>
      </c>
      <c r="O460" s="124">
        <v>5.532185818E9</v>
      </c>
      <c r="P460" s="129">
        <v>14.0</v>
      </c>
      <c r="Q460" s="130">
        <v>46035.97032407407</v>
      </c>
      <c r="R460" s="124" t="s">
        <v>107</v>
      </c>
      <c r="S460" s="124" t="s">
        <v>109</v>
      </c>
      <c r="T460" s="124" t="s">
        <v>111</v>
      </c>
      <c r="U460" s="124" t="s">
        <v>112</v>
      </c>
      <c r="V460" s="124" t="s">
        <v>114</v>
      </c>
      <c r="W460" s="124" t="s">
        <v>115</v>
      </c>
      <c r="X460" s="124" t="s">
        <v>120</v>
      </c>
      <c r="Y460" s="128"/>
      <c r="Z460" s="124" t="s">
        <v>120</v>
      </c>
      <c r="AA460" s="128"/>
      <c r="AB460" s="124" t="s">
        <v>120</v>
      </c>
      <c r="AC460" s="128"/>
      <c r="AD460" s="128"/>
      <c r="AE460" s="124" t="s">
        <v>120</v>
      </c>
      <c r="AF460" s="128"/>
      <c r="AG460" s="124" t="s">
        <v>120</v>
      </c>
      <c r="AH460" s="128"/>
      <c r="AI460" s="124" t="s">
        <v>120</v>
      </c>
      <c r="AJ460" s="128"/>
      <c r="AK460" s="128"/>
      <c r="AL460" s="124" t="s">
        <v>126</v>
      </c>
      <c r="AM460" s="124" t="s">
        <v>141</v>
      </c>
      <c r="AN460" s="124" t="s">
        <v>185</v>
      </c>
      <c r="AO460" s="124" t="s">
        <v>240</v>
      </c>
      <c r="AP460" s="124"/>
    </row>
    <row r="461">
      <c r="A461" s="124" t="s">
        <v>4256</v>
      </c>
      <c r="B461" s="124" t="s">
        <v>288</v>
      </c>
      <c r="C461" s="124" t="s">
        <v>4257</v>
      </c>
      <c r="D461" s="127">
        <v>40836.0</v>
      </c>
      <c r="E461" s="124" t="s">
        <v>177</v>
      </c>
      <c r="F461" s="124">
        <v>5.561414479E9</v>
      </c>
      <c r="G461" s="124" t="s">
        <v>4258</v>
      </c>
      <c r="H461" s="124" t="s">
        <v>101</v>
      </c>
      <c r="I461" s="128"/>
      <c r="J461" s="124" t="s">
        <v>4259</v>
      </c>
      <c r="K461" s="124" t="s">
        <v>4260</v>
      </c>
      <c r="L461" s="124">
        <v>5.577885628E9</v>
      </c>
      <c r="M461" s="128"/>
      <c r="N461" s="128"/>
      <c r="O461" s="128"/>
      <c r="P461" s="129">
        <v>14.0</v>
      </c>
      <c r="Q461" s="130">
        <v>46039.471238425926</v>
      </c>
      <c r="R461" s="124" t="s">
        <v>107</v>
      </c>
      <c r="S461" s="124" t="s">
        <v>109</v>
      </c>
      <c r="T461" s="124" t="s">
        <v>160</v>
      </c>
      <c r="U461" s="124" t="s">
        <v>308</v>
      </c>
      <c r="V461" s="124" t="s">
        <v>309</v>
      </c>
      <c r="W461" s="124" t="s">
        <v>310</v>
      </c>
      <c r="X461" s="124" t="s">
        <v>120</v>
      </c>
      <c r="Y461" s="128"/>
      <c r="Z461" s="124" t="s">
        <v>120</v>
      </c>
      <c r="AA461" s="128"/>
      <c r="AB461" s="124" t="s">
        <v>120</v>
      </c>
      <c r="AC461" s="124" t="s">
        <v>120</v>
      </c>
      <c r="AD461" s="128"/>
      <c r="AE461" s="124" t="s">
        <v>120</v>
      </c>
      <c r="AF461" s="128"/>
      <c r="AG461" s="124" t="s">
        <v>120</v>
      </c>
      <c r="AH461" s="128"/>
      <c r="AI461" s="124" t="s">
        <v>120</v>
      </c>
      <c r="AJ461" s="128"/>
      <c r="AK461" s="128"/>
      <c r="AL461" s="124" t="s">
        <v>128</v>
      </c>
      <c r="AM461" s="124" t="s">
        <v>242</v>
      </c>
      <c r="AN461" s="124" t="s">
        <v>185</v>
      </c>
      <c r="AO461" s="124" t="s">
        <v>124</v>
      </c>
      <c r="AP461" s="124"/>
    </row>
    <row r="462">
      <c r="A462" s="124" t="s">
        <v>4262</v>
      </c>
      <c r="B462" s="124" t="s">
        <v>345</v>
      </c>
      <c r="C462" s="124" t="s">
        <v>4263</v>
      </c>
      <c r="D462" s="127">
        <v>39577.0</v>
      </c>
      <c r="E462" s="124" t="s">
        <v>98</v>
      </c>
      <c r="F462" s="124">
        <v>5.570674137E9</v>
      </c>
      <c r="G462" s="124" t="s">
        <v>4265</v>
      </c>
      <c r="H462" s="124" t="s">
        <v>101</v>
      </c>
      <c r="I462" s="124" t="s">
        <v>4266</v>
      </c>
      <c r="J462" s="124" t="s">
        <v>4268</v>
      </c>
      <c r="K462" s="124" t="s">
        <v>4265</v>
      </c>
      <c r="L462" s="124">
        <v>5.528006072E9</v>
      </c>
      <c r="M462" s="124" t="s">
        <v>4269</v>
      </c>
      <c r="N462" s="124" t="s">
        <v>4270</v>
      </c>
      <c r="O462" s="124">
        <v>5.529380867E9</v>
      </c>
      <c r="P462" s="129">
        <v>17.0</v>
      </c>
      <c r="Q462" s="130">
        <v>46021.651979166665</v>
      </c>
      <c r="R462" s="124" t="s">
        <v>107</v>
      </c>
      <c r="S462" s="124" t="s">
        <v>109</v>
      </c>
      <c r="T462" s="124" t="s">
        <v>204</v>
      </c>
      <c r="U462" s="124" t="s">
        <v>367</v>
      </c>
      <c r="V462" s="124" t="s">
        <v>368</v>
      </c>
      <c r="W462" s="124" t="s">
        <v>369</v>
      </c>
      <c r="X462" s="124" t="s">
        <v>120</v>
      </c>
      <c r="Y462" s="128"/>
      <c r="Z462" s="124" t="s">
        <v>120</v>
      </c>
      <c r="AA462" s="128"/>
      <c r="AB462" s="124" t="s">
        <v>120</v>
      </c>
      <c r="AC462" s="128"/>
      <c r="AD462" s="128"/>
      <c r="AE462" s="124" t="s">
        <v>120</v>
      </c>
      <c r="AF462" s="128"/>
      <c r="AG462" s="124" t="s">
        <v>120</v>
      </c>
      <c r="AH462" s="128"/>
      <c r="AI462" s="124" t="s">
        <v>120</v>
      </c>
      <c r="AJ462" s="128"/>
      <c r="AK462" s="128"/>
      <c r="AL462" s="124" t="s">
        <v>126</v>
      </c>
      <c r="AM462" s="124" t="s">
        <v>185</v>
      </c>
      <c r="AN462" s="124" t="s">
        <v>216</v>
      </c>
      <c r="AO462" s="124" t="s">
        <v>124</v>
      </c>
      <c r="AP462" s="124"/>
    </row>
    <row r="463">
      <c r="A463" s="124" t="s">
        <v>4272</v>
      </c>
      <c r="B463" s="124" t="s">
        <v>4273</v>
      </c>
      <c r="C463" s="124" t="s">
        <v>4274</v>
      </c>
      <c r="D463" s="127">
        <v>40499.0</v>
      </c>
      <c r="E463" s="124" t="s">
        <v>177</v>
      </c>
      <c r="F463" s="124">
        <v>5.518184572E9</v>
      </c>
      <c r="G463" s="124" t="s">
        <v>4275</v>
      </c>
      <c r="H463" s="124" t="s">
        <v>101</v>
      </c>
      <c r="I463" s="128"/>
      <c r="J463" s="124" t="s">
        <v>4276</v>
      </c>
      <c r="K463" s="124" t="s">
        <v>4275</v>
      </c>
      <c r="L463" s="124">
        <v>5.518184572E9</v>
      </c>
      <c r="M463" s="124" t="s">
        <v>4277</v>
      </c>
      <c r="N463" s="124" t="s">
        <v>4275</v>
      </c>
      <c r="O463" s="124">
        <v>5.539799715E9</v>
      </c>
      <c r="P463" s="129">
        <v>15.0</v>
      </c>
      <c r="Q463" s="130">
        <v>46033.937743055554</v>
      </c>
      <c r="R463" s="124" t="s">
        <v>107</v>
      </c>
      <c r="S463" s="124" t="s">
        <v>109</v>
      </c>
      <c r="T463" s="124" t="s">
        <v>204</v>
      </c>
      <c r="U463" s="124" t="s">
        <v>699</v>
      </c>
      <c r="V463" s="124" t="s">
        <v>700</v>
      </c>
      <c r="W463" s="124" t="s">
        <v>702</v>
      </c>
      <c r="X463" s="124" t="s">
        <v>120</v>
      </c>
      <c r="Y463" s="128"/>
      <c r="Z463" s="124" t="s">
        <v>120</v>
      </c>
      <c r="AA463" s="128"/>
      <c r="AB463" s="124" t="s">
        <v>120</v>
      </c>
      <c r="AC463" s="128"/>
      <c r="AD463" s="128"/>
      <c r="AE463" s="124" t="s">
        <v>120</v>
      </c>
      <c r="AF463" s="128"/>
      <c r="AG463" s="124" t="s">
        <v>120</v>
      </c>
      <c r="AH463" s="128"/>
      <c r="AI463" s="124" t="s">
        <v>120</v>
      </c>
      <c r="AJ463" s="128"/>
      <c r="AK463" s="128"/>
      <c r="AL463" s="124" t="s">
        <v>138</v>
      </c>
      <c r="AM463" s="124" t="s">
        <v>156</v>
      </c>
      <c r="AN463" s="124" t="s">
        <v>129</v>
      </c>
      <c r="AO463" s="124" t="s">
        <v>240</v>
      </c>
      <c r="AP463" s="124"/>
    </row>
    <row r="464">
      <c r="A464" s="124" t="s">
        <v>2658</v>
      </c>
      <c r="B464" s="124" t="s">
        <v>2660</v>
      </c>
      <c r="C464" s="124" t="s">
        <v>2661</v>
      </c>
      <c r="D464" s="127">
        <v>38447.0</v>
      </c>
      <c r="E464" s="124" t="s">
        <v>177</v>
      </c>
      <c r="F464" s="124">
        <v>5.572349561E9</v>
      </c>
      <c r="G464" s="124" t="s">
        <v>2663</v>
      </c>
      <c r="H464" s="124" t="s">
        <v>150</v>
      </c>
      <c r="I464" s="124" t="s">
        <v>135</v>
      </c>
      <c r="J464" s="124" t="s">
        <v>2665</v>
      </c>
      <c r="K464" s="124" t="s">
        <v>2667</v>
      </c>
      <c r="L464" s="124">
        <v>5.545673224E9</v>
      </c>
      <c r="M464" s="128"/>
      <c r="N464" s="128"/>
      <c r="O464" s="128"/>
      <c r="P464" s="129">
        <v>20.0</v>
      </c>
      <c r="Q464" s="130">
        <v>46026.47657407408</v>
      </c>
      <c r="R464" s="124" t="s">
        <v>107</v>
      </c>
      <c r="S464" s="124" t="s">
        <v>125</v>
      </c>
      <c r="T464" s="124" t="s">
        <v>208</v>
      </c>
      <c r="U464" s="124" t="s">
        <v>228</v>
      </c>
      <c r="V464" s="124" t="s">
        <v>229</v>
      </c>
      <c r="W464" s="124" t="s">
        <v>230</v>
      </c>
      <c r="X464" s="124" t="s">
        <v>120</v>
      </c>
      <c r="Y464" s="128"/>
      <c r="Z464" s="124" t="s">
        <v>117</v>
      </c>
      <c r="AA464" s="124" t="s">
        <v>2674</v>
      </c>
      <c r="AB464" s="124" t="s">
        <v>120</v>
      </c>
      <c r="AC464" s="124" t="s">
        <v>117</v>
      </c>
      <c r="AD464" s="128"/>
      <c r="AE464" s="124" t="s">
        <v>120</v>
      </c>
      <c r="AF464" s="128"/>
      <c r="AG464" s="124" t="s">
        <v>120</v>
      </c>
      <c r="AH464" s="128"/>
      <c r="AI464" s="124" t="s">
        <v>120</v>
      </c>
      <c r="AJ464" s="128"/>
      <c r="AK464" s="128"/>
      <c r="AL464" s="124" t="s">
        <v>185</v>
      </c>
      <c r="AM464" s="124" t="s">
        <v>138</v>
      </c>
      <c r="AN464" s="124" t="s">
        <v>156</v>
      </c>
      <c r="AO464" s="124" t="s">
        <v>216</v>
      </c>
      <c r="AP464" s="124"/>
    </row>
    <row r="465">
      <c r="A465" s="124" t="s">
        <v>2676</v>
      </c>
      <c r="B465" s="124" t="s">
        <v>2677</v>
      </c>
      <c r="C465" s="124" t="s">
        <v>2678</v>
      </c>
      <c r="D465" s="127">
        <v>37372.0</v>
      </c>
      <c r="E465" s="124" t="s">
        <v>177</v>
      </c>
      <c r="F465" s="128" t="str">
        <f>+52 56 3383 4128</f>
        <v>#ERROR!</v>
      </c>
      <c r="G465" s="124" t="s">
        <v>2680</v>
      </c>
      <c r="H465" s="124" t="s">
        <v>382</v>
      </c>
      <c r="I465" s="128"/>
      <c r="J465" s="124" t="s">
        <v>2681</v>
      </c>
      <c r="K465" s="124" t="s">
        <v>2682</v>
      </c>
      <c r="L465" s="128" t="str">
        <f>+52 56 3729 2071</f>
        <v>#ERROR!</v>
      </c>
      <c r="M465" s="128"/>
      <c r="N465" s="128"/>
      <c r="O465" s="128"/>
      <c r="P465" s="129">
        <v>23.0</v>
      </c>
      <c r="Q465" s="130">
        <v>46024.5721412037</v>
      </c>
      <c r="R465" s="124" t="s">
        <v>107</v>
      </c>
      <c r="S465" s="124" t="s">
        <v>125</v>
      </c>
      <c r="T465" s="124" t="s">
        <v>111</v>
      </c>
      <c r="U465" s="124" t="s">
        <v>1979</v>
      </c>
      <c r="V465" s="124" t="s">
        <v>1980</v>
      </c>
      <c r="W465" s="124" t="s">
        <v>1981</v>
      </c>
      <c r="X465" s="124" t="s">
        <v>120</v>
      </c>
      <c r="Y465" s="128"/>
      <c r="Z465" s="124" t="s">
        <v>117</v>
      </c>
      <c r="AA465" s="124" t="s">
        <v>2689</v>
      </c>
      <c r="AB465" s="124" t="s">
        <v>120</v>
      </c>
      <c r="AC465" s="124" t="s">
        <v>120</v>
      </c>
      <c r="AD465" s="128"/>
      <c r="AE465" s="124" t="s">
        <v>120</v>
      </c>
      <c r="AF465" s="128"/>
      <c r="AG465" s="124" t="s">
        <v>120</v>
      </c>
      <c r="AH465" s="128"/>
      <c r="AI465" s="124" t="s">
        <v>120</v>
      </c>
      <c r="AJ465" s="128"/>
      <c r="AK465" s="128"/>
      <c r="AL465" s="124" t="s">
        <v>156</v>
      </c>
      <c r="AM465" s="124" t="s">
        <v>216</v>
      </c>
      <c r="AN465" s="124" t="s">
        <v>124</v>
      </c>
      <c r="AO465" s="124" t="s">
        <v>128</v>
      </c>
      <c r="AP465" s="124"/>
    </row>
    <row r="466">
      <c r="A466" s="124" t="s">
        <v>2696</v>
      </c>
      <c r="B466" s="124" t="s">
        <v>2611</v>
      </c>
      <c r="C466" s="124" t="s">
        <v>2699</v>
      </c>
      <c r="D466" s="127">
        <v>38153.0</v>
      </c>
      <c r="E466" s="124" t="s">
        <v>98</v>
      </c>
      <c r="F466" s="124" t="s">
        <v>2700</v>
      </c>
      <c r="G466" s="124" t="s">
        <v>2618</v>
      </c>
      <c r="H466" s="124" t="s">
        <v>101</v>
      </c>
      <c r="I466" s="128"/>
      <c r="J466" s="124" t="s">
        <v>2701</v>
      </c>
      <c r="K466" s="124" t="s">
        <v>2702</v>
      </c>
      <c r="L466" s="124">
        <v>4.443179026E9</v>
      </c>
      <c r="M466" s="128"/>
      <c r="N466" s="128"/>
      <c r="O466" s="128"/>
      <c r="P466" s="129">
        <v>21.0</v>
      </c>
      <c r="Q466" s="130">
        <v>46046.59165509259</v>
      </c>
      <c r="R466" s="124" t="s">
        <v>231</v>
      </c>
      <c r="S466" s="124" t="s">
        <v>125</v>
      </c>
      <c r="T466" s="124" t="s">
        <v>2627</v>
      </c>
      <c r="U466" s="124" t="s">
        <v>2629</v>
      </c>
      <c r="V466" s="124" t="s">
        <v>2630</v>
      </c>
      <c r="W466" s="124" t="s">
        <v>2633</v>
      </c>
      <c r="X466" s="124" t="s">
        <v>120</v>
      </c>
      <c r="Y466" s="128"/>
      <c r="Z466" s="124" t="s">
        <v>120</v>
      </c>
      <c r="AA466" s="128"/>
      <c r="AB466" s="124" t="s">
        <v>120</v>
      </c>
      <c r="AC466" s="128"/>
      <c r="AD466" s="128"/>
      <c r="AE466" s="124" t="s">
        <v>120</v>
      </c>
      <c r="AF466" s="128"/>
      <c r="AG466" s="124" t="s">
        <v>120</v>
      </c>
      <c r="AH466" s="128"/>
      <c r="AI466" s="124" t="s">
        <v>120</v>
      </c>
      <c r="AJ466" s="128"/>
      <c r="AK466" s="128"/>
      <c r="AL466" s="124" t="s">
        <v>129</v>
      </c>
      <c r="AM466" s="124" t="s">
        <v>138</v>
      </c>
      <c r="AN466" s="124" t="s">
        <v>128</v>
      </c>
      <c r="AO466" s="124" t="s">
        <v>156</v>
      </c>
      <c r="AP466" s="124"/>
    </row>
    <row r="467">
      <c r="A467" s="124" t="s">
        <v>938</v>
      </c>
      <c r="B467" s="124" t="s">
        <v>940</v>
      </c>
      <c r="C467" s="124" t="s">
        <v>942</v>
      </c>
      <c r="D467" s="127">
        <v>37984.0</v>
      </c>
      <c r="E467" s="124" t="s">
        <v>98</v>
      </c>
      <c r="F467" s="124">
        <v>3.141825795E9</v>
      </c>
      <c r="G467" s="124" t="s">
        <v>946</v>
      </c>
      <c r="H467" s="124" t="s">
        <v>101</v>
      </c>
      <c r="I467" s="124" t="s">
        <v>949</v>
      </c>
      <c r="J467" s="124" t="s">
        <v>951</v>
      </c>
      <c r="K467" s="124" t="s">
        <v>946</v>
      </c>
      <c r="L467" s="124">
        <v>3.141825795E9</v>
      </c>
      <c r="M467" s="128"/>
      <c r="N467" s="128"/>
      <c r="O467" s="128"/>
      <c r="P467" s="129">
        <v>22.0</v>
      </c>
      <c r="Q467" s="130">
        <v>45979.438425925924</v>
      </c>
      <c r="R467" s="124" t="s">
        <v>107</v>
      </c>
      <c r="S467" s="124" t="s">
        <v>125</v>
      </c>
      <c r="T467" s="124" t="s">
        <v>954</v>
      </c>
      <c r="U467" s="124" t="s">
        <v>956</v>
      </c>
      <c r="V467" s="124" t="s">
        <v>957</v>
      </c>
      <c r="W467" s="124" t="s">
        <v>958</v>
      </c>
      <c r="X467" s="124" t="s">
        <v>120</v>
      </c>
      <c r="Y467" s="128"/>
      <c r="Z467" s="124" t="s">
        <v>117</v>
      </c>
      <c r="AA467" s="124" t="s">
        <v>961</v>
      </c>
      <c r="AB467" s="124" t="s">
        <v>120</v>
      </c>
      <c r="AC467" s="128"/>
      <c r="AD467" s="128"/>
      <c r="AE467" s="124" t="s">
        <v>117</v>
      </c>
      <c r="AF467" s="124" t="s">
        <v>962</v>
      </c>
      <c r="AG467" s="124" t="s">
        <v>120</v>
      </c>
      <c r="AH467" s="128"/>
      <c r="AI467" s="124" t="s">
        <v>120</v>
      </c>
      <c r="AJ467" s="128"/>
      <c r="AK467" s="128"/>
      <c r="AL467" s="124" t="s">
        <v>138</v>
      </c>
      <c r="AM467" s="124" t="s">
        <v>128</v>
      </c>
      <c r="AN467" s="124" t="s">
        <v>242</v>
      </c>
      <c r="AO467" s="124" t="s">
        <v>156</v>
      </c>
      <c r="AP467" s="124"/>
    </row>
    <row r="468">
      <c r="A468" s="124" t="s">
        <v>4279</v>
      </c>
      <c r="B468" s="124" t="s">
        <v>4280</v>
      </c>
      <c r="C468" s="124" t="s">
        <v>4281</v>
      </c>
      <c r="D468" s="127">
        <v>40191.0</v>
      </c>
      <c r="E468" s="124" t="s">
        <v>98</v>
      </c>
      <c r="F468" s="124">
        <v>5.572056743E9</v>
      </c>
      <c r="G468" s="124" t="s">
        <v>4282</v>
      </c>
      <c r="H468" s="124" t="s">
        <v>101</v>
      </c>
      <c r="I468" s="128"/>
      <c r="J468" s="124" t="s">
        <v>4283</v>
      </c>
      <c r="K468" s="124" t="s">
        <v>4284</v>
      </c>
      <c r="L468" s="124">
        <v>5.633592091E9</v>
      </c>
      <c r="M468" s="128"/>
      <c r="N468" s="128"/>
      <c r="O468" s="128"/>
      <c r="P468" s="129">
        <v>16.0</v>
      </c>
      <c r="Q468" s="130">
        <v>46038.763136574074</v>
      </c>
      <c r="R468" s="124" t="s">
        <v>107</v>
      </c>
      <c r="S468" s="124" t="s">
        <v>109</v>
      </c>
      <c r="T468" s="124" t="s">
        <v>171</v>
      </c>
      <c r="U468" s="124" t="s">
        <v>1048</v>
      </c>
      <c r="V468" s="124" t="s">
        <v>1050</v>
      </c>
      <c r="W468" s="124" t="s">
        <v>1051</v>
      </c>
      <c r="X468" s="124" t="s">
        <v>120</v>
      </c>
      <c r="Y468" s="128"/>
      <c r="Z468" s="124" t="s">
        <v>120</v>
      </c>
      <c r="AA468" s="128"/>
      <c r="AB468" s="124" t="s">
        <v>120</v>
      </c>
      <c r="AC468" s="124" t="s">
        <v>120</v>
      </c>
      <c r="AD468" s="128"/>
      <c r="AE468" s="124" t="s">
        <v>120</v>
      </c>
      <c r="AF468" s="128"/>
      <c r="AG468" s="124" t="s">
        <v>120</v>
      </c>
      <c r="AH468" s="128"/>
      <c r="AI468" s="124" t="s">
        <v>120</v>
      </c>
      <c r="AJ468" s="128"/>
      <c r="AK468" s="128"/>
      <c r="AL468" s="124" t="s">
        <v>156</v>
      </c>
      <c r="AM468" s="124" t="s">
        <v>185</v>
      </c>
      <c r="AN468" s="124" t="s">
        <v>216</v>
      </c>
      <c r="AO468" s="124" t="s">
        <v>138</v>
      </c>
      <c r="AP468" s="124"/>
    </row>
    <row r="469">
      <c r="A469" s="124" t="s">
        <v>1009</v>
      </c>
      <c r="B469" s="124" t="s">
        <v>1012</v>
      </c>
      <c r="C469" s="124" t="s">
        <v>1013</v>
      </c>
      <c r="D469" s="127">
        <v>37523.0</v>
      </c>
      <c r="E469" s="124" t="s">
        <v>98</v>
      </c>
      <c r="F469" s="124">
        <v>7.771437489E9</v>
      </c>
      <c r="G469" s="124" t="s">
        <v>1016</v>
      </c>
      <c r="H469" s="124" t="s">
        <v>140</v>
      </c>
      <c r="I469" s="124" t="s">
        <v>1017</v>
      </c>
      <c r="J469" s="124" t="s">
        <v>1018</v>
      </c>
      <c r="K469" s="124" t="s">
        <v>1021</v>
      </c>
      <c r="L469" s="124">
        <v>7.772726904E9</v>
      </c>
      <c r="M469" s="128"/>
      <c r="N469" s="128"/>
      <c r="O469" s="128"/>
      <c r="P469" s="129">
        <v>23.0</v>
      </c>
      <c r="Q469" s="130">
        <v>46007.93378472222</v>
      </c>
      <c r="R469" s="124" t="s">
        <v>107</v>
      </c>
      <c r="S469" s="124" t="s">
        <v>125</v>
      </c>
      <c r="T469" s="124" t="s">
        <v>1022</v>
      </c>
      <c r="U469" s="124" t="s">
        <v>1023</v>
      </c>
      <c r="V469" s="124" t="s">
        <v>1024</v>
      </c>
      <c r="W469" s="124" t="s">
        <v>1026</v>
      </c>
      <c r="X469" s="124" t="s">
        <v>120</v>
      </c>
      <c r="Y469" s="128"/>
      <c r="Z469" s="124" t="s">
        <v>120</v>
      </c>
      <c r="AA469" s="128"/>
      <c r="AB469" s="124" t="s">
        <v>120</v>
      </c>
      <c r="AC469" s="124" t="s">
        <v>120</v>
      </c>
      <c r="AD469" s="128"/>
      <c r="AE469" s="124" t="s">
        <v>120</v>
      </c>
      <c r="AF469" s="128"/>
      <c r="AG469" s="124" t="s">
        <v>120</v>
      </c>
      <c r="AH469" s="128"/>
      <c r="AI469" s="124" t="s">
        <v>120</v>
      </c>
      <c r="AJ469" s="128"/>
      <c r="AK469" s="128"/>
      <c r="AL469" s="124" t="s">
        <v>185</v>
      </c>
      <c r="AM469" s="124" t="s">
        <v>124</v>
      </c>
      <c r="AN469" s="124" t="s">
        <v>242</v>
      </c>
      <c r="AO469" s="124" t="s">
        <v>129</v>
      </c>
      <c r="AP469" s="124"/>
    </row>
    <row r="470">
      <c r="A470" s="124" t="s">
        <v>2712</v>
      </c>
      <c r="B470" s="124" t="s">
        <v>2713</v>
      </c>
      <c r="C470" s="124" t="s">
        <v>2714</v>
      </c>
      <c r="D470" s="127">
        <v>36990.0</v>
      </c>
      <c r="E470" s="124" t="s">
        <v>98</v>
      </c>
      <c r="F470" s="124">
        <v>5.511329795E9</v>
      </c>
      <c r="G470" s="124" t="s">
        <v>2715</v>
      </c>
      <c r="H470" s="124" t="s">
        <v>150</v>
      </c>
      <c r="I470" s="128"/>
      <c r="J470" s="124" t="s">
        <v>2716</v>
      </c>
      <c r="K470" s="124" t="s">
        <v>2717</v>
      </c>
      <c r="L470" s="124">
        <v>5.548108261E9</v>
      </c>
      <c r="M470" s="128"/>
      <c r="N470" s="128"/>
      <c r="O470" s="128"/>
      <c r="P470" s="129">
        <v>24.0</v>
      </c>
      <c r="Q470" s="130">
        <v>46029.8533912037</v>
      </c>
      <c r="R470" s="124" t="s">
        <v>107</v>
      </c>
      <c r="S470" s="124" t="s">
        <v>125</v>
      </c>
      <c r="T470" s="124" t="s">
        <v>208</v>
      </c>
      <c r="U470" s="124" t="s">
        <v>209</v>
      </c>
      <c r="V470" s="124" t="s">
        <v>210</v>
      </c>
      <c r="W470" s="124" t="s">
        <v>211</v>
      </c>
      <c r="X470" s="124" t="s">
        <v>120</v>
      </c>
      <c r="Y470" s="128"/>
      <c r="Z470" s="124" t="s">
        <v>120</v>
      </c>
      <c r="AA470" s="128"/>
      <c r="AB470" s="124" t="s">
        <v>120</v>
      </c>
      <c r="AC470" s="128"/>
      <c r="AD470" s="128"/>
      <c r="AE470" s="124" t="s">
        <v>120</v>
      </c>
      <c r="AF470" s="128"/>
      <c r="AG470" s="124" t="s">
        <v>120</v>
      </c>
      <c r="AH470" s="128"/>
      <c r="AI470" s="124" t="s">
        <v>120</v>
      </c>
      <c r="AJ470" s="128"/>
      <c r="AK470" s="128"/>
      <c r="AL470" s="124" t="s">
        <v>128</v>
      </c>
      <c r="AM470" s="124" t="s">
        <v>240</v>
      </c>
      <c r="AN470" s="124" t="s">
        <v>138</v>
      </c>
      <c r="AO470" s="124" t="s">
        <v>185</v>
      </c>
      <c r="AP470" s="124"/>
    </row>
    <row r="471">
      <c r="A471" s="124" t="s">
        <v>2727</v>
      </c>
      <c r="B471" s="124" t="s">
        <v>2728</v>
      </c>
      <c r="C471" s="124" t="s">
        <v>2729</v>
      </c>
      <c r="D471" s="127">
        <v>36628.0</v>
      </c>
      <c r="E471" s="124" t="s">
        <v>98</v>
      </c>
      <c r="F471" s="124">
        <v>5.534608152E9</v>
      </c>
      <c r="G471" s="124" t="s">
        <v>2731</v>
      </c>
      <c r="H471" s="124" t="s">
        <v>101</v>
      </c>
      <c r="I471" s="124" t="s">
        <v>525</v>
      </c>
      <c r="J471" s="124" t="s">
        <v>2733</v>
      </c>
      <c r="K471" s="124" t="s">
        <v>2734</v>
      </c>
      <c r="L471" s="124">
        <v>5.522652307E9</v>
      </c>
      <c r="M471" s="124" t="s">
        <v>2735</v>
      </c>
      <c r="N471" s="124" t="s">
        <v>2736</v>
      </c>
      <c r="O471" s="124">
        <v>5.555035049E9</v>
      </c>
      <c r="P471" s="129">
        <v>25.0</v>
      </c>
      <c r="Q471" s="130">
        <v>46039.07478009259</v>
      </c>
      <c r="R471" s="124" t="s">
        <v>107</v>
      </c>
      <c r="S471" s="124" t="s">
        <v>125</v>
      </c>
      <c r="T471" s="124" t="s">
        <v>208</v>
      </c>
      <c r="U471" s="124" t="s">
        <v>601</v>
      </c>
      <c r="V471" s="124" t="s">
        <v>602</v>
      </c>
      <c r="W471" s="124" t="s">
        <v>603</v>
      </c>
      <c r="X471" s="124" t="s">
        <v>120</v>
      </c>
      <c r="Y471" s="128"/>
      <c r="Z471" s="124" t="s">
        <v>117</v>
      </c>
      <c r="AA471" s="124" t="s">
        <v>1641</v>
      </c>
      <c r="AB471" s="124" t="s">
        <v>120</v>
      </c>
      <c r="AC471" s="124" t="s">
        <v>120</v>
      </c>
      <c r="AD471" s="128"/>
      <c r="AE471" s="124" t="s">
        <v>120</v>
      </c>
      <c r="AF471" s="128"/>
      <c r="AG471" s="124" t="s">
        <v>120</v>
      </c>
      <c r="AH471" s="128"/>
      <c r="AI471" s="124" t="s">
        <v>120</v>
      </c>
      <c r="AJ471" s="128"/>
      <c r="AK471" s="124" t="s">
        <v>502</v>
      </c>
      <c r="AL471" s="124" t="s">
        <v>129</v>
      </c>
      <c r="AM471" s="124" t="s">
        <v>138</v>
      </c>
      <c r="AN471" s="124" t="s">
        <v>242</v>
      </c>
      <c r="AO471" s="124" t="s">
        <v>216</v>
      </c>
      <c r="AP471" s="124"/>
    </row>
    <row r="472">
      <c r="A472" s="124" t="s">
        <v>1000</v>
      </c>
      <c r="B472" s="124" t="s">
        <v>1002</v>
      </c>
      <c r="C472" s="124" t="s">
        <v>1005</v>
      </c>
      <c r="D472" s="127">
        <v>40099.0</v>
      </c>
      <c r="E472" s="124" t="s">
        <v>98</v>
      </c>
      <c r="F472" s="124">
        <v>5.539879512E9</v>
      </c>
      <c r="G472" s="124" t="s">
        <v>1007</v>
      </c>
      <c r="H472" s="124" t="s">
        <v>140</v>
      </c>
      <c r="I472" s="124" t="s">
        <v>1008</v>
      </c>
      <c r="J472" s="124" t="s">
        <v>650</v>
      </c>
      <c r="K472" s="124" t="s">
        <v>652</v>
      </c>
      <c r="L472" s="124">
        <v>5.540155903E9</v>
      </c>
      <c r="M472" s="128"/>
      <c r="N472" s="128"/>
      <c r="O472" s="128"/>
      <c r="P472" s="129">
        <v>16.0</v>
      </c>
      <c r="Q472" s="130">
        <v>46037.78009259259</v>
      </c>
      <c r="R472" s="124" t="s">
        <v>107</v>
      </c>
      <c r="S472" s="124" t="s">
        <v>109</v>
      </c>
      <c r="T472" s="124" t="s">
        <v>111</v>
      </c>
      <c r="U472" s="124" t="s">
        <v>657</v>
      </c>
      <c r="V472" s="124" t="s">
        <v>659</v>
      </c>
      <c r="W472" s="124" t="s">
        <v>662</v>
      </c>
      <c r="X472" s="124" t="s">
        <v>120</v>
      </c>
      <c r="Y472" s="124" t="s">
        <v>667</v>
      </c>
      <c r="Z472" s="124" t="s">
        <v>120</v>
      </c>
      <c r="AA472" s="124" t="s">
        <v>667</v>
      </c>
      <c r="AB472" s="124" t="s">
        <v>120</v>
      </c>
      <c r="AC472" s="128"/>
      <c r="AD472" s="124" t="s">
        <v>667</v>
      </c>
      <c r="AE472" s="124" t="s">
        <v>120</v>
      </c>
      <c r="AF472" s="124" t="s">
        <v>667</v>
      </c>
      <c r="AG472" s="124" t="s">
        <v>120</v>
      </c>
      <c r="AH472" s="124" t="s">
        <v>667</v>
      </c>
      <c r="AI472" s="124" t="s">
        <v>120</v>
      </c>
      <c r="AJ472" s="124" t="s">
        <v>667</v>
      </c>
      <c r="AK472" s="124" t="s">
        <v>667</v>
      </c>
      <c r="AL472" s="124" t="s">
        <v>141</v>
      </c>
      <c r="AM472" s="124" t="s">
        <v>156</v>
      </c>
      <c r="AN472" s="124" t="s">
        <v>216</v>
      </c>
      <c r="AO472" s="124" t="s">
        <v>138</v>
      </c>
      <c r="AP472" s="124"/>
    </row>
    <row r="473">
      <c r="A473" s="124" t="s">
        <v>4285</v>
      </c>
      <c r="B473" s="124" t="s">
        <v>4286</v>
      </c>
      <c r="C473" s="124" t="s">
        <v>4287</v>
      </c>
      <c r="D473" s="127">
        <v>41013.0</v>
      </c>
      <c r="E473" s="124" t="s">
        <v>98</v>
      </c>
      <c r="F473" s="124" t="s">
        <v>4288</v>
      </c>
      <c r="G473" s="124" t="s">
        <v>4289</v>
      </c>
      <c r="H473" s="124" t="s">
        <v>140</v>
      </c>
      <c r="I473" s="124" t="s">
        <v>4290</v>
      </c>
      <c r="J473" s="124" t="s">
        <v>4291</v>
      </c>
      <c r="K473" s="124" t="s">
        <v>4289</v>
      </c>
      <c r="L473" s="124">
        <v>5.524335264E9</v>
      </c>
      <c r="M473" s="124" t="s">
        <v>4292</v>
      </c>
      <c r="N473" s="124" t="s">
        <v>4293</v>
      </c>
      <c r="O473" s="124">
        <v>5.514018369E9</v>
      </c>
      <c r="P473" s="129">
        <v>13.0</v>
      </c>
      <c r="Q473" s="130">
        <v>46034.541875</v>
      </c>
      <c r="R473" s="124" t="s">
        <v>107</v>
      </c>
      <c r="S473" s="124" t="s">
        <v>109</v>
      </c>
      <c r="T473" s="124" t="s">
        <v>204</v>
      </c>
      <c r="U473" s="124" t="s">
        <v>295</v>
      </c>
      <c r="V473" s="124" t="s">
        <v>298</v>
      </c>
      <c r="W473" s="124" t="s">
        <v>299</v>
      </c>
      <c r="X473" s="124" t="s">
        <v>120</v>
      </c>
      <c r="Y473" s="128"/>
      <c r="Z473" s="124" t="s">
        <v>120</v>
      </c>
      <c r="AA473" s="128"/>
      <c r="AB473" s="124" t="s">
        <v>120</v>
      </c>
      <c r="AC473" s="128"/>
      <c r="AD473" s="128"/>
      <c r="AE473" s="124" t="s">
        <v>120</v>
      </c>
      <c r="AF473" s="128"/>
      <c r="AG473" s="124" t="s">
        <v>120</v>
      </c>
      <c r="AH473" s="128"/>
      <c r="AI473" s="124" t="s">
        <v>120</v>
      </c>
      <c r="AJ473" s="128"/>
      <c r="AK473" s="128"/>
      <c r="AL473" s="124" t="s">
        <v>242</v>
      </c>
      <c r="AM473" s="124" t="s">
        <v>156</v>
      </c>
      <c r="AN473" s="124" t="s">
        <v>242</v>
      </c>
      <c r="AO473" s="124" t="s">
        <v>138</v>
      </c>
      <c r="AP473" s="124"/>
    </row>
    <row r="474">
      <c r="A474" s="124" t="s">
        <v>4294</v>
      </c>
      <c r="B474" s="124" t="s">
        <v>4295</v>
      </c>
      <c r="C474" s="124" t="s">
        <v>4296</v>
      </c>
      <c r="D474" s="127">
        <v>39817.0</v>
      </c>
      <c r="E474" s="124" t="s">
        <v>177</v>
      </c>
      <c r="F474" s="124">
        <v>5.578368985E9</v>
      </c>
      <c r="G474" s="124" t="s">
        <v>4297</v>
      </c>
      <c r="H474" s="124" t="s">
        <v>140</v>
      </c>
      <c r="I474" s="128"/>
      <c r="J474" s="124" t="s">
        <v>4298</v>
      </c>
      <c r="K474" s="124" t="s">
        <v>4299</v>
      </c>
      <c r="L474" s="124">
        <v>5.53790563E9</v>
      </c>
      <c r="M474" s="124" t="s">
        <v>4300</v>
      </c>
      <c r="N474" s="124" t="s">
        <v>4301</v>
      </c>
      <c r="O474" s="124">
        <v>5.591412444E9</v>
      </c>
      <c r="P474" s="129">
        <v>17.0</v>
      </c>
      <c r="Q474" s="130">
        <v>46033.47418981481</v>
      </c>
      <c r="R474" s="124" t="s">
        <v>107</v>
      </c>
      <c r="S474" s="124" t="s">
        <v>109</v>
      </c>
      <c r="T474" s="124" t="s">
        <v>111</v>
      </c>
      <c r="U474" s="124" t="s">
        <v>1979</v>
      </c>
      <c r="V474" s="124" t="s">
        <v>1980</v>
      </c>
      <c r="W474" s="124" t="s">
        <v>1981</v>
      </c>
      <c r="X474" s="124" t="s">
        <v>120</v>
      </c>
      <c r="Y474" s="128"/>
      <c r="Z474" s="124" t="s">
        <v>120</v>
      </c>
      <c r="AA474" s="128"/>
      <c r="AB474" s="124" t="s">
        <v>120</v>
      </c>
      <c r="AC474" s="128"/>
      <c r="AD474" s="128"/>
      <c r="AE474" s="124" t="s">
        <v>120</v>
      </c>
      <c r="AF474" s="128"/>
      <c r="AG474" s="124" t="s">
        <v>120</v>
      </c>
      <c r="AH474" s="128"/>
      <c r="AI474" s="124" t="s">
        <v>120</v>
      </c>
      <c r="AJ474" s="128"/>
      <c r="AK474" s="128"/>
      <c r="AL474" s="124" t="s">
        <v>156</v>
      </c>
      <c r="AM474" s="124" t="s">
        <v>216</v>
      </c>
      <c r="AN474" s="124" t="s">
        <v>129</v>
      </c>
      <c r="AO474" s="124" t="s">
        <v>138</v>
      </c>
      <c r="AP474" s="124"/>
    </row>
    <row r="475">
      <c r="A475" s="124" t="s">
        <v>2742</v>
      </c>
      <c r="B475" s="124" t="s">
        <v>2744</v>
      </c>
      <c r="C475" s="124" t="s">
        <v>2745</v>
      </c>
      <c r="D475" s="127">
        <v>33410.0</v>
      </c>
      <c r="E475" s="124" t="s">
        <v>177</v>
      </c>
      <c r="F475" s="124">
        <v>5.531935295E9</v>
      </c>
      <c r="G475" s="124" t="s">
        <v>2749</v>
      </c>
      <c r="H475" s="124" t="s">
        <v>382</v>
      </c>
      <c r="I475" s="128"/>
      <c r="J475" s="124" t="s">
        <v>2752</v>
      </c>
      <c r="K475" s="124" t="s">
        <v>2753</v>
      </c>
      <c r="L475" s="124">
        <v>5.583362458E9</v>
      </c>
      <c r="M475" s="128"/>
      <c r="N475" s="128"/>
      <c r="O475" s="128"/>
      <c r="P475" s="129">
        <v>34.0</v>
      </c>
      <c r="Q475" s="130">
        <v>46035.95578703703</v>
      </c>
      <c r="R475" s="124" t="s">
        <v>107</v>
      </c>
      <c r="S475" s="124" t="s">
        <v>125</v>
      </c>
      <c r="T475" s="124" t="s">
        <v>111</v>
      </c>
      <c r="U475" s="124" t="s">
        <v>112</v>
      </c>
      <c r="V475" s="124" t="s">
        <v>114</v>
      </c>
      <c r="W475" s="124" t="s">
        <v>115</v>
      </c>
      <c r="X475" s="124" t="s">
        <v>120</v>
      </c>
      <c r="Y475" s="128"/>
      <c r="Z475" s="124" t="s">
        <v>120</v>
      </c>
      <c r="AA475" s="128"/>
      <c r="AB475" s="124" t="s">
        <v>120</v>
      </c>
      <c r="AC475" s="124" t="s">
        <v>120</v>
      </c>
      <c r="AD475" s="128"/>
      <c r="AE475" s="124" t="s">
        <v>120</v>
      </c>
      <c r="AF475" s="128"/>
      <c r="AG475" s="124" t="s">
        <v>120</v>
      </c>
      <c r="AH475" s="128"/>
      <c r="AI475" s="124" t="s">
        <v>120</v>
      </c>
      <c r="AJ475" s="128"/>
      <c r="AK475" s="128"/>
      <c r="AL475" s="124" t="s">
        <v>129</v>
      </c>
      <c r="AM475" s="124" t="s">
        <v>138</v>
      </c>
      <c r="AN475" s="124" t="s">
        <v>216</v>
      </c>
      <c r="AO475" s="124" t="s">
        <v>128</v>
      </c>
      <c r="AP475" s="124"/>
    </row>
    <row r="476">
      <c r="A476" s="124" t="s">
        <v>266</v>
      </c>
      <c r="B476" s="124" t="s">
        <v>267</v>
      </c>
      <c r="C476" s="124" t="s">
        <v>269</v>
      </c>
      <c r="D476" s="127">
        <v>39995.0</v>
      </c>
      <c r="E476" s="124" t="s">
        <v>98</v>
      </c>
      <c r="F476" s="124">
        <v>5.565758157E9</v>
      </c>
      <c r="G476" s="124" t="s">
        <v>270</v>
      </c>
      <c r="H476" s="124" t="s">
        <v>140</v>
      </c>
      <c r="I476" s="128"/>
      <c r="J476" s="124" t="s">
        <v>272</v>
      </c>
      <c r="K476" s="124" t="s">
        <v>273</v>
      </c>
      <c r="L476" s="124">
        <v>5.627423872E9</v>
      </c>
      <c r="M476" s="124" t="s">
        <v>274</v>
      </c>
      <c r="N476" s="124" t="s">
        <v>276</v>
      </c>
      <c r="O476" s="124">
        <v>5.579149704E9</v>
      </c>
      <c r="P476" s="129">
        <v>16.0</v>
      </c>
      <c r="Q476" s="130">
        <v>46029.704097222224</v>
      </c>
      <c r="R476" s="124" t="s">
        <v>107</v>
      </c>
      <c r="S476" s="124" t="s">
        <v>109</v>
      </c>
      <c r="T476" s="124" t="s">
        <v>160</v>
      </c>
      <c r="U476" s="124" t="s">
        <v>279</v>
      </c>
      <c r="V476" s="124" t="s">
        <v>280</v>
      </c>
      <c r="W476" s="124" t="s">
        <v>282</v>
      </c>
      <c r="X476" s="124" t="s">
        <v>117</v>
      </c>
      <c r="Y476" s="124" t="s">
        <v>283</v>
      </c>
      <c r="Z476" s="124" t="s">
        <v>117</v>
      </c>
      <c r="AA476" s="124" t="s">
        <v>285</v>
      </c>
      <c r="AB476" s="124" t="s">
        <v>120</v>
      </c>
      <c r="AC476" s="124" t="s">
        <v>120</v>
      </c>
      <c r="AD476" s="128"/>
      <c r="AE476" s="124" t="s">
        <v>120</v>
      </c>
      <c r="AF476" s="128"/>
      <c r="AG476" s="124" t="s">
        <v>120</v>
      </c>
      <c r="AH476" s="128"/>
      <c r="AI476" s="124" t="s">
        <v>120</v>
      </c>
      <c r="AJ476" s="128"/>
      <c r="AK476" s="128"/>
      <c r="AL476" s="124" t="s">
        <v>185</v>
      </c>
      <c r="AM476" s="124" t="s">
        <v>156</v>
      </c>
      <c r="AN476" s="124" t="s">
        <v>126</v>
      </c>
      <c r="AO476" s="124" t="s">
        <v>138</v>
      </c>
      <c r="AP476" s="124"/>
    </row>
    <row r="477">
      <c r="A477" s="124" t="s">
        <v>4302</v>
      </c>
      <c r="B477" s="124" t="s">
        <v>4303</v>
      </c>
      <c r="C477" s="124" t="s">
        <v>4304</v>
      </c>
      <c r="D477" s="127">
        <v>40967.0</v>
      </c>
      <c r="E477" s="124" t="s">
        <v>98</v>
      </c>
      <c r="F477" s="124" t="s">
        <v>4305</v>
      </c>
      <c r="G477" s="124" t="s">
        <v>4306</v>
      </c>
      <c r="H477" s="124" t="s">
        <v>140</v>
      </c>
      <c r="I477" s="128"/>
      <c r="J477" s="124" t="s">
        <v>4307</v>
      </c>
      <c r="K477" s="124" t="s">
        <v>4308</v>
      </c>
      <c r="L477" s="124">
        <v>5.540502744E9</v>
      </c>
      <c r="M477" s="124" t="s">
        <v>4309</v>
      </c>
      <c r="N477" s="124" t="s">
        <v>4310</v>
      </c>
      <c r="O477" s="124">
        <v>5.541299572E9</v>
      </c>
      <c r="P477" s="129">
        <v>14.0</v>
      </c>
      <c r="Q477" s="130">
        <v>46038.866944444446</v>
      </c>
      <c r="R477" s="124" t="s">
        <v>107</v>
      </c>
      <c r="S477" s="124" t="s">
        <v>109</v>
      </c>
      <c r="T477" s="124" t="s">
        <v>192</v>
      </c>
      <c r="U477" s="124" t="s">
        <v>485</v>
      </c>
      <c r="V477" s="124" t="s">
        <v>486</v>
      </c>
      <c r="W477" s="124" t="s">
        <v>487</v>
      </c>
      <c r="X477" s="124" t="s">
        <v>120</v>
      </c>
      <c r="Y477" s="128"/>
      <c r="Z477" s="124" t="s">
        <v>120</v>
      </c>
      <c r="AA477" s="128"/>
      <c r="AB477" s="124" t="s">
        <v>120</v>
      </c>
      <c r="AC477" s="128"/>
      <c r="AD477" s="128"/>
      <c r="AE477" s="124" t="s">
        <v>120</v>
      </c>
      <c r="AF477" s="128"/>
      <c r="AG477" s="124" t="s">
        <v>120</v>
      </c>
      <c r="AH477" s="128"/>
      <c r="AI477" s="124" t="s">
        <v>120</v>
      </c>
      <c r="AJ477" s="128"/>
      <c r="AK477" s="128"/>
      <c r="AL477" s="124" t="s">
        <v>129</v>
      </c>
      <c r="AM477" s="124" t="s">
        <v>240</v>
      </c>
      <c r="AN477" s="124" t="s">
        <v>156</v>
      </c>
      <c r="AO477" s="124" t="s">
        <v>124</v>
      </c>
      <c r="AP477" s="124"/>
    </row>
    <row r="478">
      <c r="A478" s="124" t="s">
        <v>4311</v>
      </c>
      <c r="B478" s="124" t="s">
        <v>4312</v>
      </c>
      <c r="C478" s="128"/>
      <c r="D478" s="127">
        <v>40040.0</v>
      </c>
      <c r="E478" s="124" t="s">
        <v>177</v>
      </c>
      <c r="F478" s="124">
        <v>5.531018325E9</v>
      </c>
      <c r="G478" s="124" t="s">
        <v>4313</v>
      </c>
      <c r="H478" s="124" t="s">
        <v>101</v>
      </c>
      <c r="I478" s="128"/>
      <c r="J478" s="124" t="s">
        <v>4314</v>
      </c>
      <c r="K478" s="124" t="s">
        <v>4315</v>
      </c>
      <c r="L478" s="124">
        <v>5.642069389E9</v>
      </c>
      <c r="M478" s="128"/>
      <c r="N478" s="128"/>
      <c r="O478" s="128"/>
      <c r="P478" s="129">
        <v>16.0</v>
      </c>
      <c r="Q478" s="130">
        <v>46040.902592592596</v>
      </c>
      <c r="R478" s="124" t="s">
        <v>107</v>
      </c>
      <c r="S478" s="124" t="s">
        <v>109</v>
      </c>
      <c r="T478" s="124" t="s">
        <v>111</v>
      </c>
      <c r="U478" s="124" t="s">
        <v>1979</v>
      </c>
      <c r="V478" s="124" t="s">
        <v>1980</v>
      </c>
      <c r="W478" s="124" t="s">
        <v>1981</v>
      </c>
      <c r="X478" s="124" t="s">
        <v>120</v>
      </c>
      <c r="Y478" s="128"/>
      <c r="Z478" s="124" t="s">
        <v>120</v>
      </c>
      <c r="AA478" s="128"/>
      <c r="AB478" s="124" t="s">
        <v>120</v>
      </c>
      <c r="AC478" s="128"/>
      <c r="AD478" s="128"/>
      <c r="AE478" s="124" t="s">
        <v>120</v>
      </c>
      <c r="AF478" s="128"/>
      <c r="AG478" s="124" t="s">
        <v>120</v>
      </c>
      <c r="AH478" s="128"/>
      <c r="AI478" s="124" t="s">
        <v>120</v>
      </c>
      <c r="AJ478" s="128"/>
      <c r="AK478" s="128"/>
      <c r="AL478" s="124" t="s">
        <v>141</v>
      </c>
      <c r="AM478" s="124" t="s">
        <v>240</v>
      </c>
      <c r="AN478" s="124" t="s">
        <v>138</v>
      </c>
      <c r="AO478" s="124" t="s">
        <v>242</v>
      </c>
      <c r="AP478" s="124"/>
    </row>
    <row r="479">
      <c r="A479" s="124" t="s">
        <v>2758</v>
      </c>
      <c r="B479" s="124" t="s">
        <v>2759</v>
      </c>
      <c r="C479" s="124" t="s">
        <v>2760</v>
      </c>
      <c r="D479" s="127">
        <v>36028.0</v>
      </c>
      <c r="E479" s="124" t="s">
        <v>177</v>
      </c>
      <c r="F479" s="124">
        <v>5.529143702E9</v>
      </c>
      <c r="G479" s="124" t="s">
        <v>2761</v>
      </c>
      <c r="H479" s="124" t="s">
        <v>382</v>
      </c>
      <c r="I479" s="128"/>
      <c r="J479" s="124" t="s">
        <v>2765</v>
      </c>
      <c r="K479" s="124" t="s">
        <v>2767</v>
      </c>
      <c r="L479" s="124">
        <v>5.529143702E9</v>
      </c>
      <c r="M479" s="128"/>
      <c r="N479" s="128"/>
      <c r="O479" s="128"/>
      <c r="P479" s="129">
        <v>27.0</v>
      </c>
      <c r="Q479" s="130">
        <v>46024.70091435185</v>
      </c>
      <c r="R479" s="124" t="s">
        <v>107</v>
      </c>
      <c r="S479" s="124" t="s">
        <v>125</v>
      </c>
      <c r="T479" s="124" t="s">
        <v>192</v>
      </c>
      <c r="U479" s="124" t="s">
        <v>749</v>
      </c>
      <c r="V479" s="124" t="s">
        <v>750</v>
      </c>
      <c r="W479" s="124" t="s">
        <v>751</v>
      </c>
      <c r="X479" s="124" t="s">
        <v>120</v>
      </c>
      <c r="Y479" s="128"/>
      <c r="Z479" s="124" t="s">
        <v>120</v>
      </c>
      <c r="AA479" s="128"/>
      <c r="AB479" s="124" t="s">
        <v>120</v>
      </c>
      <c r="AC479" s="124" t="s">
        <v>120</v>
      </c>
      <c r="AD479" s="128"/>
      <c r="AE479" s="124" t="s">
        <v>120</v>
      </c>
      <c r="AF479" s="128"/>
      <c r="AG479" s="124" t="s">
        <v>120</v>
      </c>
      <c r="AH479" s="128"/>
      <c r="AI479" s="124" t="s">
        <v>120</v>
      </c>
      <c r="AJ479" s="128"/>
      <c r="AK479" s="128"/>
      <c r="AL479" s="124" t="s">
        <v>141</v>
      </c>
      <c r="AM479" s="124" t="s">
        <v>124</v>
      </c>
      <c r="AN479" s="124" t="s">
        <v>138</v>
      </c>
      <c r="AO479" s="124" t="s">
        <v>128</v>
      </c>
      <c r="AP479" s="124"/>
    </row>
    <row r="480">
      <c r="A480" s="124" t="s">
        <v>1974</v>
      </c>
      <c r="B480" s="124" t="s">
        <v>1975</v>
      </c>
      <c r="C480" s="128"/>
      <c r="D480" s="127">
        <v>39967.0</v>
      </c>
      <c r="E480" s="124" t="s">
        <v>98</v>
      </c>
      <c r="F480" s="124">
        <v>5.539321895E9</v>
      </c>
      <c r="G480" s="124" t="s">
        <v>1976</v>
      </c>
      <c r="H480" s="124" t="s">
        <v>101</v>
      </c>
      <c r="I480" s="128"/>
      <c r="J480" s="124" t="s">
        <v>1977</v>
      </c>
      <c r="K480" s="124" t="s">
        <v>1978</v>
      </c>
      <c r="L480" s="124">
        <v>5.544611281E9</v>
      </c>
      <c r="M480" s="128"/>
      <c r="N480" s="128"/>
      <c r="O480" s="128"/>
      <c r="P480" s="129">
        <v>16.0</v>
      </c>
      <c r="Q480" s="130">
        <v>46038.77663194444</v>
      </c>
      <c r="R480" s="124" t="s">
        <v>107</v>
      </c>
      <c r="S480" s="124" t="s">
        <v>109</v>
      </c>
      <c r="T480" s="124" t="s">
        <v>111</v>
      </c>
      <c r="U480" s="124" t="s">
        <v>1979</v>
      </c>
      <c r="V480" s="124" t="s">
        <v>1980</v>
      </c>
      <c r="W480" s="124" t="s">
        <v>1981</v>
      </c>
      <c r="X480" s="124" t="s">
        <v>120</v>
      </c>
      <c r="Y480" s="128"/>
      <c r="Z480" s="124" t="s">
        <v>117</v>
      </c>
      <c r="AA480" s="124" t="s">
        <v>1982</v>
      </c>
      <c r="AB480" s="124" t="s">
        <v>120</v>
      </c>
      <c r="AC480" s="128"/>
      <c r="AD480" s="128"/>
      <c r="AE480" s="124" t="s">
        <v>120</v>
      </c>
      <c r="AF480" s="128"/>
      <c r="AG480" s="124" t="s">
        <v>120</v>
      </c>
      <c r="AH480" s="128"/>
      <c r="AI480" s="124" t="s">
        <v>117</v>
      </c>
      <c r="AJ480" s="124" t="s">
        <v>1987</v>
      </c>
      <c r="AK480" s="128"/>
      <c r="AL480" s="124" t="s">
        <v>156</v>
      </c>
      <c r="AM480" s="124" t="s">
        <v>185</v>
      </c>
      <c r="AN480" s="124" t="s">
        <v>242</v>
      </c>
      <c r="AO480" s="124" t="s">
        <v>141</v>
      </c>
      <c r="AP480" s="124"/>
    </row>
    <row r="481">
      <c r="A481" s="124" t="s">
        <v>1666</v>
      </c>
      <c r="B481" s="124" t="s">
        <v>1668</v>
      </c>
      <c r="C481" s="128"/>
      <c r="D481" s="127">
        <v>39717.0</v>
      </c>
      <c r="E481" s="124" t="s">
        <v>177</v>
      </c>
      <c r="F481" s="124">
        <v>7.292676426E9</v>
      </c>
      <c r="G481" s="124" t="s">
        <v>1669</v>
      </c>
      <c r="H481" s="124" t="s">
        <v>140</v>
      </c>
      <c r="I481" s="124" t="s">
        <v>1670</v>
      </c>
      <c r="J481" s="124" t="s">
        <v>1671</v>
      </c>
      <c r="K481" s="124" t="s">
        <v>1673</v>
      </c>
      <c r="L481" s="124">
        <v>5.554373799E9</v>
      </c>
      <c r="M481" s="124" t="s">
        <v>1677</v>
      </c>
      <c r="N481" s="124" t="s">
        <v>1679</v>
      </c>
      <c r="O481" s="124">
        <v>5.539555755E9</v>
      </c>
      <c r="P481" s="129">
        <v>17.0</v>
      </c>
      <c r="Q481" s="130">
        <v>46040.597905092596</v>
      </c>
      <c r="R481" s="124" t="s">
        <v>107</v>
      </c>
      <c r="S481" s="124" t="s">
        <v>109</v>
      </c>
      <c r="T481" s="124" t="s">
        <v>192</v>
      </c>
      <c r="U481" s="124" t="s">
        <v>485</v>
      </c>
      <c r="V481" s="124" t="s">
        <v>486</v>
      </c>
      <c r="W481" s="124" t="s">
        <v>487</v>
      </c>
      <c r="X481" s="124" t="s">
        <v>120</v>
      </c>
      <c r="Y481" s="128"/>
      <c r="Z481" s="124" t="s">
        <v>117</v>
      </c>
      <c r="AA481" s="124" t="s">
        <v>1689</v>
      </c>
      <c r="AB481" s="124" t="s">
        <v>120</v>
      </c>
      <c r="AC481" s="128"/>
      <c r="AD481" s="128"/>
      <c r="AE481" s="124" t="s">
        <v>120</v>
      </c>
      <c r="AF481" s="128"/>
      <c r="AG481" s="124" t="s">
        <v>120</v>
      </c>
      <c r="AH481" s="128"/>
      <c r="AI481" s="124" t="s">
        <v>120</v>
      </c>
      <c r="AJ481" s="128"/>
      <c r="AK481" s="128"/>
      <c r="AL481" s="124" t="s">
        <v>126</v>
      </c>
      <c r="AM481" s="124" t="s">
        <v>185</v>
      </c>
      <c r="AN481" s="124" t="s">
        <v>124</v>
      </c>
      <c r="AO481" s="124" t="s">
        <v>129</v>
      </c>
      <c r="AP481" s="124"/>
    </row>
    <row r="482">
      <c r="A482" s="124" t="s">
        <v>4316</v>
      </c>
      <c r="B482" s="124" t="s">
        <v>4317</v>
      </c>
      <c r="C482" s="124" t="s">
        <v>4318</v>
      </c>
      <c r="D482" s="127">
        <v>41173.0</v>
      </c>
      <c r="E482" s="124" t="s">
        <v>98</v>
      </c>
      <c r="F482" s="124">
        <v>5.518183089E9</v>
      </c>
      <c r="G482" s="124" t="s">
        <v>4319</v>
      </c>
      <c r="H482" s="124" t="s">
        <v>140</v>
      </c>
      <c r="I482" s="128"/>
      <c r="J482" s="124" t="s">
        <v>4320</v>
      </c>
      <c r="K482" s="124" t="s">
        <v>4321</v>
      </c>
      <c r="L482" s="124">
        <v>5.547647598E9</v>
      </c>
      <c r="M482" s="128"/>
      <c r="N482" s="128"/>
      <c r="O482" s="128"/>
      <c r="P482" s="129">
        <v>13.0</v>
      </c>
      <c r="Q482" s="130">
        <v>46037.81730324074</v>
      </c>
      <c r="R482" s="124" t="s">
        <v>107</v>
      </c>
      <c r="S482" s="124" t="s">
        <v>109</v>
      </c>
      <c r="T482" s="124" t="s">
        <v>160</v>
      </c>
      <c r="U482" s="124" t="s">
        <v>161</v>
      </c>
      <c r="V482" s="124" t="s">
        <v>163</v>
      </c>
      <c r="W482" s="124" t="s">
        <v>165</v>
      </c>
      <c r="X482" s="124" t="s">
        <v>120</v>
      </c>
      <c r="Y482" s="128"/>
      <c r="Z482" s="124" t="s">
        <v>120</v>
      </c>
      <c r="AA482" s="128"/>
      <c r="AB482" s="124" t="s">
        <v>120</v>
      </c>
      <c r="AC482" s="124" t="s">
        <v>120</v>
      </c>
      <c r="AD482" s="128"/>
      <c r="AE482" s="124" t="s">
        <v>120</v>
      </c>
      <c r="AF482" s="128"/>
      <c r="AG482" s="124" t="s">
        <v>120</v>
      </c>
      <c r="AH482" s="128"/>
      <c r="AI482" s="124" t="s">
        <v>120</v>
      </c>
      <c r="AJ482" s="128"/>
      <c r="AK482" s="128"/>
      <c r="AL482" s="124" t="s">
        <v>126</v>
      </c>
      <c r="AM482" s="124" t="s">
        <v>185</v>
      </c>
      <c r="AN482" s="124" t="s">
        <v>124</v>
      </c>
      <c r="AO482" s="124" t="s">
        <v>141</v>
      </c>
      <c r="AP482" s="124"/>
    </row>
    <row r="483">
      <c r="A483" s="124" t="s">
        <v>605</v>
      </c>
      <c r="B483" s="124" t="s">
        <v>606</v>
      </c>
      <c r="C483" s="124" t="s">
        <v>607</v>
      </c>
      <c r="D483" s="127">
        <v>39870.0</v>
      </c>
      <c r="E483" s="124" t="s">
        <v>177</v>
      </c>
      <c r="F483" s="124">
        <v>5.636728152E9</v>
      </c>
      <c r="G483" s="124" t="s">
        <v>608</v>
      </c>
      <c r="H483" s="124" t="s">
        <v>140</v>
      </c>
      <c r="I483" s="128"/>
      <c r="J483" s="124" t="s">
        <v>610</v>
      </c>
      <c r="K483" s="124" t="s">
        <v>613</v>
      </c>
      <c r="L483" s="124">
        <v>5.531394312E9</v>
      </c>
      <c r="M483" s="128"/>
      <c r="N483" s="128"/>
      <c r="O483" s="128"/>
      <c r="P483" s="129">
        <v>17.0</v>
      </c>
      <c r="Q483" s="130">
        <v>46027.06466435185</v>
      </c>
      <c r="R483" s="124" t="s">
        <v>107</v>
      </c>
      <c r="S483" s="124" t="s">
        <v>109</v>
      </c>
      <c r="T483" s="124" t="s">
        <v>208</v>
      </c>
      <c r="U483" s="124" t="s">
        <v>228</v>
      </c>
      <c r="V483" s="124" t="s">
        <v>229</v>
      </c>
      <c r="W483" s="124" t="s">
        <v>230</v>
      </c>
      <c r="X483" s="124" t="s">
        <v>117</v>
      </c>
      <c r="Y483" s="128"/>
      <c r="Z483" s="124" t="s">
        <v>117</v>
      </c>
      <c r="AA483" s="128"/>
      <c r="AB483" s="124" t="s">
        <v>117</v>
      </c>
      <c r="AC483" s="128"/>
      <c r="AD483" s="128"/>
      <c r="AE483" s="124" t="s">
        <v>117</v>
      </c>
      <c r="AF483" s="128"/>
      <c r="AG483" s="124" t="s">
        <v>117</v>
      </c>
      <c r="AH483" s="128"/>
      <c r="AI483" s="124" t="s">
        <v>117</v>
      </c>
      <c r="AJ483" s="128"/>
      <c r="AK483" s="128"/>
      <c r="AL483" s="124" t="s">
        <v>141</v>
      </c>
      <c r="AM483" s="124" t="s">
        <v>138</v>
      </c>
      <c r="AN483" s="124" t="s">
        <v>185</v>
      </c>
      <c r="AO483" s="124" t="s">
        <v>156</v>
      </c>
      <c r="AP483" s="124"/>
    </row>
    <row r="484">
      <c r="A484" s="124" t="s">
        <v>4322</v>
      </c>
      <c r="B484" s="124" t="s">
        <v>4323</v>
      </c>
      <c r="C484" s="124" t="s">
        <v>4324</v>
      </c>
      <c r="D484" s="127">
        <v>40243.0</v>
      </c>
      <c r="E484" s="124" t="s">
        <v>98</v>
      </c>
      <c r="F484" s="128" t="str">
        <f>+52 55 3103 3441</f>
        <v>#ERROR!</v>
      </c>
      <c r="G484" s="124" t="s">
        <v>4325</v>
      </c>
      <c r="H484" s="124" t="s">
        <v>101</v>
      </c>
      <c r="I484" s="124" t="s">
        <v>120</v>
      </c>
      <c r="J484" s="124" t="s">
        <v>4326</v>
      </c>
      <c r="K484" s="124" t="s">
        <v>4327</v>
      </c>
      <c r="L484" s="124" t="s">
        <v>4328</v>
      </c>
      <c r="M484" s="124" t="s">
        <v>4329</v>
      </c>
      <c r="N484" s="124" t="s">
        <v>4330</v>
      </c>
      <c r="O484" s="124" t="s">
        <v>4331</v>
      </c>
      <c r="P484" s="129">
        <v>15.0</v>
      </c>
      <c r="Q484" s="130">
        <v>46037.435162037036</v>
      </c>
      <c r="R484" s="124" t="s">
        <v>107</v>
      </c>
      <c r="S484" s="124" t="s">
        <v>109</v>
      </c>
      <c r="T484" s="124" t="s">
        <v>204</v>
      </c>
      <c r="U484" s="124" t="s">
        <v>357</v>
      </c>
      <c r="V484" s="124" t="s">
        <v>359</v>
      </c>
      <c r="W484" s="124" t="s">
        <v>362</v>
      </c>
      <c r="X484" s="124" t="s">
        <v>120</v>
      </c>
      <c r="Y484" s="128"/>
      <c r="Z484" s="124" t="s">
        <v>120</v>
      </c>
      <c r="AA484" s="128"/>
      <c r="AB484" s="124" t="s">
        <v>120</v>
      </c>
      <c r="AC484" s="124" t="s">
        <v>120</v>
      </c>
      <c r="AD484" s="128"/>
      <c r="AE484" s="124" t="s">
        <v>120</v>
      </c>
      <c r="AF484" s="128"/>
      <c r="AG484" s="124" t="s">
        <v>120</v>
      </c>
      <c r="AH484" s="128"/>
      <c r="AI484" s="124" t="s">
        <v>120</v>
      </c>
      <c r="AJ484" s="128"/>
      <c r="AK484" s="128"/>
      <c r="AL484" s="124" t="s">
        <v>156</v>
      </c>
      <c r="AM484" s="124" t="s">
        <v>129</v>
      </c>
      <c r="AN484" s="124" t="s">
        <v>138</v>
      </c>
      <c r="AO484" s="124" t="s">
        <v>185</v>
      </c>
      <c r="AP484" s="124"/>
    </row>
    <row r="485">
      <c r="A485" s="124" t="s">
        <v>4332</v>
      </c>
      <c r="B485" s="124" t="s">
        <v>4333</v>
      </c>
      <c r="C485" s="124" t="s">
        <v>4334</v>
      </c>
      <c r="D485" s="127">
        <v>34065.0</v>
      </c>
      <c r="E485" s="124" t="s">
        <v>177</v>
      </c>
      <c r="F485" s="124">
        <v>5.535662357E9</v>
      </c>
      <c r="G485" s="124" t="s">
        <v>4335</v>
      </c>
      <c r="H485" s="124" t="s">
        <v>110</v>
      </c>
      <c r="I485" s="124" t="s">
        <v>4336</v>
      </c>
      <c r="J485" s="124" t="s">
        <v>4337</v>
      </c>
      <c r="K485" s="124" t="s">
        <v>4338</v>
      </c>
      <c r="L485" s="124">
        <v>5.548772558E9</v>
      </c>
      <c r="M485" s="128"/>
      <c r="N485" s="128"/>
      <c r="O485" s="128"/>
      <c r="P485" s="129">
        <v>32.0</v>
      </c>
      <c r="Q485" s="130">
        <v>46040.82644675926</v>
      </c>
      <c r="R485" s="124" t="s">
        <v>546</v>
      </c>
      <c r="S485" s="124" t="s">
        <v>125</v>
      </c>
      <c r="T485" s="124" t="s">
        <v>192</v>
      </c>
      <c r="U485" s="124" t="s">
        <v>505</v>
      </c>
      <c r="V485" s="124" t="s">
        <v>506</v>
      </c>
      <c r="W485" s="124" t="s">
        <v>507</v>
      </c>
      <c r="X485" s="124" t="s">
        <v>120</v>
      </c>
      <c r="Y485" s="128"/>
      <c r="Z485" s="124" t="s">
        <v>120</v>
      </c>
      <c r="AA485" s="128"/>
      <c r="AB485" s="124" t="s">
        <v>120</v>
      </c>
      <c r="AC485" s="128"/>
      <c r="AD485" s="128"/>
      <c r="AE485" s="124" t="s">
        <v>120</v>
      </c>
      <c r="AF485" s="128"/>
      <c r="AG485" s="124" t="s">
        <v>117</v>
      </c>
      <c r="AH485" s="124" t="s">
        <v>4339</v>
      </c>
      <c r="AI485" s="124" t="s">
        <v>120</v>
      </c>
      <c r="AJ485" s="128"/>
      <c r="AK485" s="128"/>
      <c r="AL485" s="124" t="s">
        <v>141</v>
      </c>
      <c r="AM485" s="124" t="s">
        <v>129</v>
      </c>
      <c r="AN485" s="124" t="s">
        <v>240</v>
      </c>
      <c r="AO485" s="124" t="s">
        <v>138</v>
      </c>
      <c r="AP485" s="124"/>
    </row>
    <row r="486">
      <c r="A486" s="124" t="s">
        <v>2771</v>
      </c>
      <c r="B486" s="124" t="s">
        <v>2772</v>
      </c>
      <c r="C486" s="124" t="s">
        <v>2773</v>
      </c>
      <c r="D486" s="127">
        <v>38979.0</v>
      </c>
      <c r="E486" s="124" t="s">
        <v>98</v>
      </c>
      <c r="F486" s="124">
        <v>5.521977295E9</v>
      </c>
      <c r="G486" s="124" t="s">
        <v>2774</v>
      </c>
      <c r="H486" s="124" t="s">
        <v>101</v>
      </c>
      <c r="I486" s="128"/>
      <c r="J486" s="124" t="s">
        <v>2777</v>
      </c>
      <c r="K486" s="124" t="s">
        <v>2774</v>
      </c>
      <c r="L486" s="124">
        <v>5.56519193E9</v>
      </c>
      <c r="M486" s="128"/>
      <c r="N486" s="128"/>
      <c r="O486" s="128"/>
      <c r="P486" s="129">
        <v>19.0</v>
      </c>
      <c r="Q486" s="130">
        <v>46019.86304398148</v>
      </c>
      <c r="R486" s="124" t="s">
        <v>107</v>
      </c>
      <c r="S486" s="124" t="s">
        <v>125</v>
      </c>
      <c r="T486" s="124" t="s">
        <v>208</v>
      </c>
      <c r="U486" s="124" t="s">
        <v>209</v>
      </c>
      <c r="V486" s="124" t="s">
        <v>210</v>
      </c>
      <c r="W486" s="124" t="s">
        <v>211</v>
      </c>
      <c r="X486" s="124" t="s">
        <v>120</v>
      </c>
      <c r="Y486" s="128"/>
      <c r="Z486" s="124" t="s">
        <v>120</v>
      </c>
      <c r="AA486" s="128"/>
      <c r="AB486" s="124" t="s">
        <v>120</v>
      </c>
      <c r="AC486" s="128"/>
      <c r="AD486" s="128"/>
      <c r="AE486" s="124" t="s">
        <v>120</v>
      </c>
      <c r="AF486" s="128"/>
      <c r="AG486" s="124" t="s">
        <v>120</v>
      </c>
      <c r="AH486" s="128"/>
      <c r="AI486" s="124" t="s">
        <v>120</v>
      </c>
      <c r="AJ486" s="128"/>
      <c r="AK486" s="128"/>
      <c r="AL486" s="124" t="s">
        <v>240</v>
      </c>
      <c r="AM486" s="124" t="s">
        <v>124</v>
      </c>
      <c r="AN486" s="124" t="s">
        <v>129</v>
      </c>
      <c r="AO486" s="124" t="s">
        <v>141</v>
      </c>
      <c r="AP486" s="124"/>
    </row>
    <row r="487">
      <c r="A487" s="124" t="s">
        <v>2704</v>
      </c>
      <c r="B487" s="124" t="s">
        <v>2705</v>
      </c>
      <c r="C487" s="124" t="s">
        <v>2706</v>
      </c>
      <c r="D487" s="127">
        <v>40435.0</v>
      </c>
      <c r="E487" s="124" t="s">
        <v>98</v>
      </c>
      <c r="F487" s="124" t="s">
        <v>2707</v>
      </c>
      <c r="G487" s="124" t="s">
        <v>2708</v>
      </c>
      <c r="H487" s="124" t="s">
        <v>140</v>
      </c>
      <c r="I487" s="128"/>
      <c r="J487" s="124" t="s">
        <v>2709</v>
      </c>
      <c r="K487" s="124" t="s">
        <v>2710</v>
      </c>
      <c r="L487" s="124" t="s">
        <v>2711</v>
      </c>
      <c r="M487" s="128"/>
      <c r="N487" s="128"/>
      <c r="O487" s="128"/>
      <c r="P487" s="129">
        <v>15.0</v>
      </c>
      <c r="Q487" s="130">
        <v>46022.70048611111</v>
      </c>
      <c r="R487" s="124" t="s">
        <v>107</v>
      </c>
      <c r="S487" s="124" t="s">
        <v>109</v>
      </c>
      <c r="T487" s="124" t="s">
        <v>111</v>
      </c>
      <c r="U487" s="124" t="s">
        <v>112</v>
      </c>
      <c r="V487" s="124" t="s">
        <v>114</v>
      </c>
      <c r="W487" s="124" t="s">
        <v>115</v>
      </c>
      <c r="X487" s="124" t="s">
        <v>120</v>
      </c>
      <c r="Y487" s="128"/>
      <c r="Z487" s="124" t="s">
        <v>120</v>
      </c>
      <c r="AA487" s="128"/>
      <c r="AB487" s="124" t="s">
        <v>120</v>
      </c>
      <c r="AC487" s="128"/>
      <c r="AD487" s="128"/>
      <c r="AE487" s="124" t="s">
        <v>120</v>
      </c>
      <c r="AF487" s="128"/>
      <c r="AG487" s="124" t="s">
        <v>117</v>
      </c>
      <c r="AH487" s="124" t="s">
        <v>2718</v>
      </c>
      <c r="AI487" s="124" t="s">
        <v>120</v>
      </c>
      <c r="AJ487" s="128"/>
      <c r="AK487" s="128"/>
      <c r="AL487" s="124" t="s">
        <v>156</v>
      </c>
      <c r="AM487" s="124" t="s">
        <v>129</v>
      </c>
      <c r="AN487" s="124" t="s">
        <v>138</v>
      </c>
      <c r="AO487" s="124" t="s">
        <v>141</v>
      </c>
      <c r="AP487" s="124"/>
    </row>
    <row r="488">
      <c r="A488" s="124" t="s">
        <v>4340</v>
      </c>
      <c r="B488" s="124" t="s">
        <v>4341</v>
      </c>
      <c r="C488" s="124" t="s">
        <v>4342</v>
      </c>
      <c r="D488" s="127">
        <v>39685.0</v>
      </c>
      <c r="E488" s="124" t="s">
        <v>98</v>
      </c>
      <c r="F488" s="124">
        <v>5.544970152E9</v>
      </c>
      <c r="G488" s="124" t="s">
        <v>4343</v>
      </c>
      <c r="H488" s="124" t="s">
        <v>101</v>
      </c>
      <c r="I488" s="128"/>
      <c r="J488" s="124" t="s">
        <v>4344</v>
      </c>
      <c r="K488" s="124" t="s">
        <v>4345</v>
      </c>
      <c r="L488" s="124">
        <v>5.516551661E9</v>
      </c>
      <c r="M488" s="124" t="s">
        <v>4346</v>
      </c>
      <c r="N488" s="124" t="s">
        <v>4347</v>
      </c>
      <c r="O488" s="124">
        <v>5.521722275E9</v>
      </c>
      <c r="P488" s="129">
        <v>17.0</v>
      </c>
      <c r="Q488" s="130">
        <v>46024.995405092595</v>
      </c>
      <c r="R488" s="124" t="s">
        <v>107</v>
      </c>
      <c r="S488" s="124" t="s">
        <v>109</v>
      </c>
      <c r="T488" s="124" t="s">
        <v>111</v>
      </c>
      <c r="U488" s="124" t="s">
        <v>112</v>
      </c>
      <c r="V488" s="124" t="s">
        <v>114</v>
      </c>
      <c r="W488" s="124" t="s">
        <v>115</v>
      </c>
      <c r="X488" s="124" t="s">
        <v>120</v>
      </c>
      <c r="Y488" s="128"/>
      <c r="Z488" s="124" t="s">
        <v>117</v>
      </c>
      <c r="AA488" s="124" t="s">
        <v>285</v>
      </c>
      <c r="AB488" s="124" t="s">
        <v>120</v>
      </c>
      <c r="AC488" s="128"/>
      <c r="AD488" s="128"/>
      <c r="AE488" s="124" t="s">
        <v>120</v>
      </c>
      <c r="AF488" s="128"/>
      <c r="AG488" s="124" t="s">
        <v>120</v>
      </c>
      <c r="AH488" s="128"/>
      <c r="AI488" s="124" t="s">
        <v>120</v>
      </c>
      <c r="AJ488" s="128"/>
      <c r="AK488" s="128"/>
      <c r="AL488" s="124" t="s">
        <v>242</v>
      </c>
      <c r="AM488" s="124" t="s">
        <v>216</v>
      </c>
      <c r="AN488" s="124" t="s">
        <v>185</v>
      </c>
      <c r="AO488" s="124" t="s">
        <v>156</v>
      </c>
      <c r="AP488" s="124"/>
    </row>
    <row r="489">
      <c r="A489" s="124" t="s">
        <v>1138</v>
      </c>
      <c r="B489" s="124" t="s">
        <v>1139</v>
      </c>
      <c r="C489" s="124" t="s">
        <v>1140</v>
      </c>
      <c r="D489" s="127">
        <v>40163.0</v>
      </c>
      <c r="E489" s="124" t="s">
        <v>98</v>
      </c>
      <c r="F489" s="124">
        <v>5.626895005E9</v>
      </c>
      <c r="G489" s="124" t="s">
        <v>1141</v>
      </c>
      <c r="H489" s="124" t="s">
        <v>150</v>
      </c>
      <c r="I489" s="124" t="s">
        <v>1142</v>
      </c>
      <c r="J489" s="124" t="s">
        <v>1143</v>
      </c>
      <c r="K489" s="124" t="s">
        <v>1144</v>
      </c>
      <c r="L489" s="124">
        <v>5.512573397E9</v>
      </c>
      <c r="M489" s="128"/>
      <c r="N489" s="128"/>
      <c r="O489" s="128"/>
      <c r="P489" s="129">
        <v>16.0</v>
      </c>
      <c r="Q489" s="130">
        <v>46037.80364583333</v>
      </c>
      <c r="R489" s="124" t="s">
        <v>107</v>
      </c>
      <c r="S489" s="124" t="s">
        <v>109</v>
      </c>
      <c r="T489" s="124" t="s">
        <v>111</v>
      </c>
      <c r="U489" s="124" t="s">
        <v>657</v>
      </c>
      <c r="V489" s="124" t="s">
        <v>659</v>
      </c>
      <c r="W489" s="124" t="s">
        <v>662</v>
      </c>
      <c r="X489" s="124" t="s">
        <v>120</v>
      </c>
      <c r="Y489" s="124" t="s">
        <v>697</v>
      </c>
      <c r="Z489" s="124" t="s">
        <v>120</v>
      </c>
      <c r="AA489" s="124" t="s">
        <v>698</v>
      </c>
      <c r="AB489" s="124" t="s">
        <v>120</v>
      </c>
      <c r="AC489" s="124" t="s">
        <v>120</v>
      </c>
      <c r="AD489" s="124" t="s">
        <v>1165</v>
      </c>
      <c r="AE489" s="124" t="s">
        <v>120</v>
      </c>
      <c r="AF489" s="124" t="s">
        <v>667</v>
      </c>
      <c r="AG489" s="124" t="s">
        <v>120</v>
      </c>
      <c r="AH489" s="124" t="s">
        <v>667</v>
      </c>
      <c r="AI489" s="124" t="s">
        <v>117</v>
      </c>
      <c r="AJ489" s="124" t="s">
        <v>1167</v>
      </c>
      <c r="AK489" s="124" t="s">
        <v>667</v>
      </c>
      <c r="AL489" s="124" t="s">
        <v>141</v>
      </c>
      <c r="AM489" s="124" t="s">
        <v>128</v>
      </c>
      <c r="AN489" s="124" t="s">
        <v>156</v>
      </c>
      <c r="AO489" s="124" t="s">
        <v>242</v>
      </c>
      <c r="AP489" s="124"/>
    </row>
    <row r="490">
      <c r="A490" s="124" t="s">
        <v>246</v>
      </c>
      <c r="B490" s="124" t="s">
        <v>248</v>
      </c>
      <c r="C490" s="124" t="s">
        <v>249</v>
      </c>
      <c r="D490" s="127">
        <v>37955.0</v>
      </c>
      <c r="E490" s="124" t="s">
        <v>177</v>
      </c>
      <c r="F490" s="124">
        <v>5.56148893E9</v>
      </c>
      <c r="G490" s="124" t="s">
        <v>255</v>
      </c>
      <c r="H490" s="124" t="s">
        <v>150</v>
      </c>
      <c r="I490" s="124" t="s">
        <v>256</v>
      </c>
      <c r="J490" s="124" t="s">
        <v>257</v>
      </c>
      <c r="K490" s="124" t="s">
        <v>258</v>
      </c>
      <c r="L490" s="124">
        <v>5.560682997E9</v>
      </c>
      <c r="M490" s="128"/>
      <c r="N490" s="128"/>
      <c r="O490" s="128"/>
      <c r="P490" s="129">
        <v>22.0</v>
      </c>
      <c r="Q490" s="130">
        <v>46041.896840277775</v>
      </c>
      <c r="R490" s="124" t="s">
        <v>260</v>
      </c>
      <c r="S490" s="124" t="s">
        <v>125</v>
      </c>
      <c r="T490" s="124" t="s">
        <v>171</v>
      </c>
      <c r="U490" s="124" t="s">
        <v>262</v>
      </c>
      <c r="V490" s="124" t="s">
        <v>263</v>
      </c>
      <c r="W490" s="124" t="s">
        <v>264</v>
      </c>
      <c r="X490" s="124" t="s">
        <v>117</v>
      </c>
      <c r="Y490" s="124" t="s">
        <v>265</v>
      </c>
      <c r="Z490" s="124" t="s">
        <v>117</v>
      </c>
      <c r="AA490" s="124" t="s">
        <v>268</v>
      </c>
      <c r="AB490" s="124" t="s">
        <v>120</v>
      </c>
      <c r="AC490" s="124" t="s">
        <v>120</v>
      </c>
      <c r="AD490" s="128"/>
      <c r="AE490" s="124" t="s">
        <v>120</v>
      </c>
      <c r="AF490" s="128"/>
      <c r="AG490" s="124" t="s">
        <v>120</v>
      </c>
      <c r="AH490" s="128"/>
      <c r="AI490" s="124" t="s">
        <v>120</v>
      </c>
      <c r="AJ490" s="128"/>
      <c r="AK490" s="128"/>
      <c r="AL490" s="124" t="s">
        <v>126</v>
      </c>
      <c r="AM490" s="124" t="s">
        <v>240</v>
      </c>
      <c r="AN490" s="124" t="s">
        <v>156</v>
      </c>
      <c r="AO490" s="124" t="s">
        <v>185</v>
      </c>
      <c r="AP490" s="124"/>
    </row>
    <row r="491">
      <c r="A491" s="124" t="s">
        <v>4348</v>
      </c>
      <c r="B491" s="124" t="s">
        <v>4349</v>
      </c>
      <c r="C491" s="124" t="s">
        <v>4350</v>
      </c>
      <c r="D491" s="127">
        <v>40272.0</v>
      </c>
      <c r="E491" s="124" t="s">
        <v>177</v>
      </c>
      <c r="F491" s="124">
        <v>5.548132823E9</v>
      </c>
      <c r="G491" s="124" t="s">
        <v>4351</v>
      </c>
      <c r="H491" s="124" t="s">
        <v>140</v>
      </c>
      <c r="I491" s="124" t="s">
        <v>1636</v>
      </c>
      <c r="J491" s="124" t="s">
        <v>4352</v>
      </c>
      <c r="K491" s="124" t="s">
        <v>4353</v>
      </c>
      <c r="L491" s="124">
        <v>5.548132823E9</v>
      </c>
      <c r="M491" s="128"/>
      <c r="N491" s="128"/>
      <c r="O491" s="128"/>
      <c r="P491" s="129">
        <v>15.0</v>
      </c>
      <c r="Q491" s="130">
        <v>46037.8428587963</v>
      </c>
      <c r="R491" s="124" t="s">
        <v>107</v>
      </c>
      <c r="S491" s="124" t="s">
        <v>109</v>
      </c>
      <c r="T491" s="124" t="s">
        <v>111</v>
      </c>
      <c r="U491" s="124" t="s">
        <v>657</v>
      </c>
      <c r="V491" s="124" t="s">
        <v>659</v>
      </c>
      <c r="W491" s="124" t="s">
        <v>662</v>
      </c>
      <c r="X491" s="124" t="s">
        <v>120</v>
      </c>
      <c r="Y491" s="128"/>
      <c r="Z491" s="124" t="s">
        <v>120</v>
      </c>
      <c r="AA491" s="128"/>
      <c r="AB491" s="124" t="s">
        <v>120</v>
      </c>
      <c r="AC491" s="128"/>
      <c r="AD491" s="128"/>
      <c r="AE491" s="124" t="s">
        <v>120</v>
      </c>
      <c r="AF491" s="128"/>
      <c r="AG491" s="124" t="s">
        <v>120</v>
      </c>
      <c r="AH491" s="128"/>
      <c r="AI491" s="124" t="s">
        <v>120</v>
      </c>
      <c r="AJ491" s="128"/>
      <c r="AK491" s="128"/>
      <c r="AL491" s="124" t="s">
        <v>138</v>
      </c>
      <c r="AM491" s="124" t="s">
        <v>156</v>
      </c>
      <c r="AN491" s="124" t="s">
        <v>129</v>
      </c>
      <c r="AO491" s="124" t="s">
        <v>124</v>
      </c>
      <c r="AP491" s="124"/>
    </row>
    <row r="492">
      <c r="A492" s="124" t="s">
        <v>4354</v>
      </c>
      <c r="B492" s="124" t="s">
        <v>4355</v>
      </c>
      <c r="C492" s="124" t="s">
        <v>4356</v>
      </c>
      <c r="D492" s="127">
        <v>40155.0</v>
      </c>
      <c r="E492" s="124" t="s">
        <v>98</v>
      </c>
      <c r="F492" s="124">
        <v>5.546705567E9</v>
      </c>
      <c r="G492" s="124" t="s">
        <v>4357</v>
      </c>
      <c r="H492" s="124" t="s">
        <v>140</v>
      </c>
      <c r="I492" s="128"/>
      <c r="J492" s="124" t="s">
        <v>4358</v>
      </c>
      <c r="K492" s="124" t="s">
        <v>4357</v>
      </c>
      <c r="L492" s="124">
        <v>7.29963461E9</v>
      </c>
      <c r="M492" s="124" t="s">
        <v>4359</v>
      </c>
      <c r="N492" s="124" t="s">
        <v>4360</v>
      </c>
      <c r="O492" s="124">
        <v>5.611606037E9</v>
      </c>
      <c r="P492" s="129">
        <v>16.0</v>
      </c>
      <c r="Q492" s="130">
        <v>46020.52050925926</v>
      </c>
      <c r="R492" s="124" t="s">
        <v>107</v>
      </c>
      <c r="S492" s="124" t="s">
        <v>109</v>
      </c>
      <c r="T492" s="124" t="s">
        <v>208</v>
      </c>
      <c r="U492" s="124" t="s">
        <v>788</v>
      </c>
      <c r="V492" s="124" t="s">
        <v>789</v>
      </c>
      <c r="W492" s="124" t="s">
        <v>790</v>
      </c>
      <c r="X492" s="124" t="s">
        <v>120</v>
      </c>
      <c r="Y492" s="128"/>
      <c r="Z492" s="124" t="s">
        <v>117</v>
      </c>
      <c r="AA492" s="124" t="s">
        <v>4361</v>
      </c>
      <c r="AB492" s="124" t="s">
        <v>120</v>
      </c>
      <c r="AC492" s="128"/>
      <c r="AD492" s="128"/>
      <c r="AE492" s="124" t="s">
        <v>120</v>
      </c>
      <c r="AF492" s="128"/>
      <c r="AG492" s="124" t="s">
        <v>120</v>
      </c>
      <c r="AH492" s="128"/>
      <c r="AI492" s="124" t="s">
        <v>120</v>
      </c>
      <c r="AJ492" s="128"/>
      <c r="AK492" s="128"/>
      <c r="AL492" s="124" t="s">
        <v>242</v>
      </c>
      <c r="AM492" s="124" t="s">
        <v>124</v>
      </c>
      <c r="AN492" s="124" t="s">
        <v>156</v>
      </c>
      <c r="AO492" s="124" t="s">
        <v>240</v>
      </c>
      <c r="AP492" s="124"/>
    </row>
    <row r="493">
      <c r="A493" s="124" t="s">
        <v>1990</v>
      </c>
      <c r="B493" s="124" t="s">
        <v>1991</v>
      </c>
      <c r="C493" s="124" t="s">
        <v>1992</v>
      </c>
      <c r="D493" s="127">
        <v>40544.0</v>
      </c>
      <c r="E493" s="124" t="s">
        <v>98</v>
      </c>
      <c r="F493" s="124">
        <v>5.568774912E9</v>
      </c>
      <c r="G493" s="124" t="s">
        <v>1993</v>
      </c>
      <c r="H493" s="124" t="s">
        <v>101</v>
      </c>
      <c r="I493" s="124" t="s">
        <v>1325</v>
      </c>
      <c r="J493" s="124" t="s">
        <v>1994</v>
      </c>
      <c r="K493" s="124" t="s">
        <v>1995</v>
      </c>
      <c r="L493" s="124">
        <v>5.643332372E9</v>
      </c>
      <c r="M493" s="128"/>
      <c r="N493" s="128"/>
      <c r="O493" s="128"/>
      <c r="P493" s="129">
        <v>15.0</v>
      </c>
      <c r="Q493" s="130">
        <v>46039.93827546296</v>
      </c>
      <c r="R493" s="124" t="s">
        <v>107</v>
      </c>
      <c r="S493" s="124" t="s">
        <v>109</v>
      </c>
      <c r="T493" s="124" t="s">
        <v>204</v>
      </c>
      <c r="U493" s="124" t="s">
        <v>295</v>
      </c>
      <c r="V493" s="124" t="s">
        <v>298</v>
      </c>
      <c r="W493" s="124" t="s">
        <v>299</v>
      </c>
      <c r="X493" s="124" t="s">
        <v>120</v>
      </c>
      <c r="Y493" s="128"/>
      <c r="Z493" s="124" t="s">
        <v>120</v>
      </c>
      <c r="AA493" s="128"/>
      <c r="AB493" s="124" t="s">
        <v>120</v>
      </c>
      <c r="AC493" s="128"/>
      <c r="AD493" s="128"/>
      <c r="AE493" s="124" t="s">
        <v>120</v>
      </c>
      <c r="AF493" s="128"/>
      <c r="AG493" s="124" t="s">
        <v>120</v>
      </c>
      <c r="AH493" s="128"/>
      <c r="AI493" s="124" t="s">
        <v>117</v>
      </c>
      <c r="AJ493" s="124" t="s">
        <v>2005</v>
      </c>
      <c r="AK493" s="124" t="s">
        <v>1325</v>
      </c>
      <c r="AL493" s="124" t="s">
        <v>141</v>
      </c>
      <c r="AM493" s="124" t="s">
        <v>138</v>
      </c>
      <c r="AN493" s="124" t="s">
        <v>128</v>
      </c>
      <c r="AO493" s="124" t="s">
        <v>216</v>
      </c>
      <c r="AP493" s="124"/>
    </row>
    <row r="494">
      <c r="A494" s="124" t="s">
        <v>4362</v>
      </c>
      <c r="B494" s="124" t="s">
        <v>4363</v>
      </c>
      <c r="C494" s="124" t="s">
        <v>4364</v>
      </c>
      <c r="D494" s="127">
        <v>40414.0</v>
      </c>
      <c r="E494" s="124" t="s">
        <v>177</v>
      </c>
      <c r="F494" s="124">
        <v>5.513306329E9</v>
      </c>
      <c r="G494" s="124" t="s">
        <v>4365</v>
      </c>
      <c r="H494" s="124" t="s">
        <v>150</v>
      </c>
      <c r="I494" s="128"/>
      <c r="J494" s="124" t="s">
        <v>2745</v>
      </c>
      <c r="K494" s="124" t="s">
        <v>2749</v>
      </c>
      <c r="L494" s="124">
        <v>5.531935295E9</v>
      </c>
      <c r="M494" s="128"/>
      <c r="N494" s="128"/>
      <c r="O494" s="128"/>
      <c r="P494" s="129">
        <v>15.0</v>
      </c>
      <c r="Q494" s="130">
        <v>46035.941203703704</v>
      </c>
      <c r="R494" s="124" t="s">
        <v>107</v>
      </c>
      <c r="S494" s="124" t="s">
        <v>109</v>
      </c>
      <c r="T494" s="124" t="s">
        <v>111</v>
      </c>
      <c r="U494" s="124" t="s">
        <v>112</v>
      </c>
      <c r="V494" s="124" t="s">
        <v>114</v>
      </c>
      <c r="W494" s="124" t="s">
        <v>115</v>
      </c>
      <c r="X494" s="124" t="s">
        <v>120</v>
      </c>
      <c r="Y494" s="128"/>
      <c r="Z494" s="124" t="s">
        <v>120</v>
      </c>
      <c r="AA494" s="128"/>
      <c r="AB494" s="124" t="s">
        <v>120</v>
      </c>
      <c r="AC494" s="128"/>
      <c r="AD494" s="128"/>
      <c r="AE494" s="124" t="s">
        <v>120</v>
      </c>
      <c r="AF494" s="128"/>
      <c r="AG494" s="124" t="s">
        <v>120</v>
      </c>
      <c r="AH494" s="128"/>
      <c r="AI494" s="124" t="s">
        <v>120</v>
      </c>
      <c r="AJ494" s="128"/>
      <c r="AK494" s="128"/>
      <c r="AL494" s="124" t="s">
        <v>141</v>
      </c>
      <c r="AM494" s="124" t="s">
        <v>138</v>
      </c>
      <c r="AN494" s="124" t="s">
        <v>156</v>
      </c>
      <c r="AO494" s="124" t="s">
        <v>185</v>
      </c>
      <c r="AP494" s="124"/>
    </row>
    <row r="495">
      <c r="A495" s="124" t="s">
        <v>4366</v>
      </c>
      <c r="B495" s="124" t="s">
        <v>4367</v>
      </c>
      <c r="C495" s="124" t="s">
        <v>4368</v>
      </c>
      <c r="D495" s="127">
        <v>39676.0</v>
      </c>
      <c r="E495" s="124" t="s">
        <v>177</v>
      </c>
      <c r="F495" s="124" t="s">
        <v>4369</v>
      </c>
      <c r="G495" s="124" t="s">
        <v>4370</v>
      </c>
      <c r="H495" s="124" t="s">
        <v>101</v>
      </c>
      <c r="I495" s="128"/>
      <c r="J495" s="124" t="s">
        <v>4371</v>
      </c>
      <c r="K495" s="124" t="s">
        <v>4372</v>
      </c>
      <c r="L495" s="124">
        <v>5.619764686E9</v>
      </c>
      <c r="M495" s="128"/>
      <c r="N495" s="128"/>
      <c r="O495" s="128"/>
      <c r="P495" s="129">
        <v>17.0</v>
      </c>
      <c r="Q495" s="130">
        <v>46018.32405092593</v>
      </c>
      <c r="R495" s="124" t="s">
        <v>107</v>
      </c>
      <c r="S495" s="124" t="s">
        <v>109</v>
      </c>
      <c r="T495" s="124" t="s">
        <v>111</v>
      </c>
      <c r="U495" s="124" t="s">
        <v>112</v>
      </c>
      <c r="V495" s="124" t="s">
        <v>114</v>
      </c>
      <c r="W495" s="124" t="s">
        <v>115</v>
      </c>
      <c r="X495" s="124" t="s">
        <v>120</v>
      </c>
      <c r="Y495" s="128"/>
      <c r="Z495" s="124" t="s">
        <v>120</v>
      </c>
      <c r="AA495" s="128"/>
      <c r="AB495" s="124" t="s">
        <v>120</v>
      </c>
      <c r="AC495" s="124" t="s">
        <v>120</v>
      </c>
      <c r="AD495" s="128"/>
      <c r="AE495" s="124" t="s">
        <v>120</v>
      </c>
      <c r="AF495" s="128"/>
      <c r="AG495" s="124" t="s">
        <v>120</v>
      </c>
      <c r="AH495" s="128"/>
      <c r="AI495" s="124" t="s">
        <v>120</v>
      </c>
      <c r="AJ495" s="128"/>
      <c r="AK495" s="128"/>
      <c r="AL495" s="124" t="s">
        <v>141</v>
      </c>
      <c r="AM495" s="124" t="s">
        <v>185</v>
      </c>
      <c r="AN495" s="124" t="s">
        <v>128</v>
      </c>
      <c r="AO495" s="124" t="s">
        <v>124</v>
      </c>
      <c r="AP495" s="124"/>
    </row>
    <row r="496">
      <c r="A496" s="124" t="s">
        <v>4373</v>
      </c>
      <c r="B496" s="124" t="s">
        <v>4374</v>
      </c>
      <c r="C496" s="124" t="s">
        <v>4375</v>
      </c>
      <c r="D496" s="127">
        <v>39919.0</v>
      </c>
      <c r="E496" s="124" t="s">
        <v>177</v>
      </c>
      <c r="F496" s="124">
        <v>5.54575733E9</v>
      </c>
      <c r="G496" s="124" t="s">
        <v>4376</v>
      </c>
      <c r="H496" s="124" t="s">
        <v>101</v>
      </c>
      <c r="I496" s="128"/>
      <c r="J496" s="124" t="s">
        <v>4377</v>
      </c>
      <c r="K496" s="124" t="s">
        <v>4378</v>
      </c>
      <c r="L496" s="124">
        <v>5.5436212332E10</v>
      </c>
      <c r="M496" s="128"/>
      <c r="N496" s="128"/>
      <c r="O496" s="128"/>
      <c r="P496" s="129">
        <v>16.0</v>
      </c>
      <c r="Q496" s="130">
        <v>46030.85743055555</v>
      </c>
      <c r="R496" s="124" t="s">
        <v>107</v>
      </c>
      <c r="S496" s="124" t="s">
        <v>109</v>
      </c>
      <c r="T496" s="124" t="s">
        <v>208</v>
      </c>
      <c r="U496" s="124" t="s">
        <v>478</v>
      </c>
      <c r="V496" s="124" t="s">
        <v>480</v>
      </c>
      <c r="W496" s="124" t="s">
        <v>481</v>
      </c>
      <c r="X496" s="124" t="s">
        <v>120</v>
      </c>
      <c r="Y496" s="128"/>
      <c r="Z496" s="124" t="s">
        <v>120</v>
      </c>
      <c r="AA496" s="128"/>
      <c r="AB496" s="124" t="s">
        <v>120</v>
      </c>
      <c r="AC496" s="128"/>
      <c r="AD496" s="128"/>
      <c r="AE496" s="124" t="s">
        <v>120</v>
      </c>
      <c r="AF496" s="128"/>
      <c r="AG496" s="124" t="s">
        <v>120</v>
      </c>
      <c r="AH496" s="128"/>
      <c r="AI496" s="124" t="s">
        <v>120</v>
      </c>
      <c r="AJ496" s="128"/>
      <c r="AK496" s="128"/>
      <c r="AL496" s="124" t="s">
        <v>138</v>
      </c>
      <c r="AM496" s="124" t="s">
        <v>129</v>
      </c>
      <c r="AN496" s="124" t="s">
        <v>156</v>
      </c>
      <c r="AO496" s="124" t="s">
        <v>185</v>
      </c>
      <c r="AP496" s="124"/>
    </row>
    <row r="497">
      <c r="A497" s="124" t="s">
        <v>157</v>
      </c>
      <c r="B497" s="124" t="s">
        <v>4379</v>
      </c>
      <c r="C497" s="124" t="s">
        <v>4380</v>
      </c>
      <c r="D497" s="127">
        <v>40669.0</v>
      </c>
      <c r="E497" s="124" t="s">
        <v>98</v>
      </c>
      <c r="F497" s="124">
        <v>5.634576877E9</v>
      </c>
      <c r="G497" s="124" t="s">
        <v>4381</v>
      </c>
      <c r="H497" s="124" t="s">
        <v>101</v>
      </c>
      <c r="I497" s="124" t="s">
        <v>4382</v>
      </c>
      <c r="J497" s="124" t="s">
        <v>4383</v>
      </c>
      <c r="K497" s="124" t="s">
        <v>4381</v>
      </c>
      <c r="L497" s="124">
        <v>5.634576877E9</v>
      </c>
      <c r="M497" s="128"/>
      <c r="N497" s="128"/>
      <c r="O497" s="128"/>
      <c r="P497" s="129">
        <v>14.0</v>
      </c>
      <c r="Q497" s="130">
        <v>46037.97329861111</v>
      </c>
      <c r="R497" s="124" t="s">
        <v>107</v>
      </c>
      <c r="S497" s="124" t="s">
        <v>109</v>
      </c>
      <c r="T497" s="124" t="s">
        <v>160</v>
      </c>
      <c r="U497" s="124" t="s">
        <v>308</v>
      </c>
      <c r="V497" s="124" t="s">
        <v>309</v>
      </c>
      <c r="W497" s="124" t="s">
        <v>310</v>
      </c>
      <c r="X497" s="124" t="s">
        <v>120</v>
      </c>
      <c r="Y497" s="124" t="s">
        <v>120</v>
      </c>
      <c r="Z497" s="124" t="s">
        <v>120</v>
      </c>
      <c r="AA497" s="124" t="s">
        <v>120</v>
      </c>
      <c r="AB497" s="124" t="s">
        <v>120</v>
      </c>
      <c r="AC497" s="124" t="s">
        <v>120</v>
      </c>
      <c r="AD497" s="124" t="s">
        <v>120</v>
      </c>
      <c r="AE497" s="124" t="s">
        <v>120</v>
      </c>
      <c r="AF497" s="124" t="s">
        <v>120</v>
      </c>
      <c r="AG497" s="124" t="s">
        <v>120</v>
      </c>
      <c r="AH497" s="124" t="s">
        <v>120</v>
      </c>
      <c r="AI497" s="124" t="s">
        <v>120</v>
      </c>
      <c r="AJ497" s="124" t="s">
        <v>120</v>
      </c>
      <c r="AK497" s="124" t="s">
        <v>120</v>
      </c>
      <c r="AL497" s="124" t="s">
        <v>185</v>
      </c>
      <c r="AM497" s="124" t="s">
        <v>156</v>
      </c>
      <c r="AN497" s="124" t="s">
        <v>141</v>
      </c>
      <c r="AO497" s="124" t="s">
        <v>216</v>
      </c>
      <c r="AP497" s="124"/>
    </row>
    <row r="498">
      <c r="A498" s="124" t="s">
        <v>412</v>
      </c>
      <c r="B498" s="124" t="s">
        <v>413</v>
      </c>
      <c r="C498" s="124" t="s">
        <v>414</v>
      </c>
      <c r="D498" s="127">
        <v>40337.0</v>
      </c>
      <c r="E498" s="124" t="s">
        <v>98</v>
      </c>
      <c r="F498" s="124">
        <v>5.616042907E9</v>
      </c>
      <c r="G498" s="124" t="s">
        <v>415</v>
      </c>
      <c r="H498" s="124" t="s">
        <v>140</v>
      </c>
      <c r="I498" s="124" t="s">
        <v>416</v>
      </c>
      <c r="J498" s="124" t="s">
        <v>417</v>
      </c>
      <c r="K498" s="124" t="s">
        <v>418</v>
      </c>
      <c r="L498" s="124">
        <v>5.530664884E9</v>
      </c>
      <c r="M498" s="128"/>
      <c r="N498" s="128"/>
      <c r="O498" s="128"/>
      <c r="P498" s="129">
        <v>15.0</v>
      </c>
      <c r="Q498" s="130">
        <v>46026.471030092594</v>
      </c>
      <c r="R498" s="124" t="s">
        <v>107</v>
      </c>
      <c r="S498" s="124" t="s">
        <v>109</v>
      </c>
      <c r="T498" s="124" t="s">
        <v>208</v>
      </c>
      <c r="U498" s="124" t="s">
        <v>228</v>
      </c>
      <c r="V498" s="124" t="s">
        <v>229</v>
      </c>
      <c r="W498" s="124" t="s">
        <v>230</v>
      </c>
      <c r="X498" s="124" t="s">
        <v>117</v>
      </c>
      <c r="Y498" s="124" t="s">
        <v>425</v>
      </c>
      <c r="Z498" s="124" t="s">
        <v>117</v>
      </c>
      <c r="AA498" s="124" t="s">
        <v>4384</v>
      </c>
      <c r="AB498" s="124" t="s">
        <v>117</v>
      </c>
      <c r="AC498" s="124" t="s">
        <v>117</v>
      </c>
      <c r="AD498" s="124" t="s">
        <v>427</v>
      </c>
      <c r="AE498" s="124" t="s">
        <v>120</v>
      </c>
      <c r="AF498" s="128"/>
      <c r="AG498" s="124" t="s">
        <v>120</v>
      </c>
      <c r="AH498" s="128"/>
      <c r="AI498" s="124" t="s">
        <v>120</v>
      </c>
      <c r="AJ498" s="128"/>
      <c r="AK498" s="128"/>
      <c r="AL498" s="124" t="s">
        <v>126</v>
      </c>
      <c r="AM498" s="124" t="s">
        <v>242</v>
      </c>
      <c r="AN498" s="124" t="s">
        <v>156</v>
      </c>
      <c r="AO498" s="124" t="s">
        <v>124</v>
      </c>
      <c r="AP498" s="124"/>
    </row>
    <row r="499">
      <c r="A499" s="124" t="s">
        <v>4385</v>
      </c>
      <c r="B499" s="124" t="s">
        <v>4386</v>
      </c>
      <c r="C499" s="124" t="s">
        <v>4387</v>
      </c>
      <c r="D499" s="127">
        <v>39889.0</v>
      </c>
      <c r="E499" s="124" t="s">
        <v>177</v>
      </c>
      <c r="F499" s="124">
        <v>5.51976349E8</v>
      </c>
      <c r="G499" s="124" t="s">
        <v>4388</v>
      </c>
      <c r="H499" s="124" t="s">
        <v>101</v>
      </c>
      <c r="I499" s="128"/>
      <c r="J499" s="124" t="s">
        <v>4389</v>
      </c>
      <c r="K499" s="124" t="s">
        <v>4390</v>
      </c>
      <c r="L499" s="124">
        <v>5.611929024E9</v>
      </c>
      <c r="M499" s="128"/>
      <c r="N499" s="128"/>
      <c r="O499" s="128"/>
      <c r="P499" s="129">
        <v>16.0</v>
      </c>
      <c r="Q499" s="130">
        <v>46037.830729166664</v>
      </c>
      <c r="R499" s="124" t="s">
        <v>107</v>
      </c>
      <c r="S499" s="124" t="s">
        <v>109</v>
      </c>
      <c r="T499" s="124" t="s">
        <v>160</v>
      </c>
      <c r="U499" s="124" t="s">
        <v>161</v>
      </c>
      <c r="V499" s="124" t="s">
        <v>163</v>
      </c>
      <c r="W499" s="124" t="s">
        <v>165</v>
      </c>
      <c r="X499" s="124" t="s">
        <v>120</v>
      </c>
      <c r="Y499" s="128"/>
      <c r="Z499" s="124" t="s">
        <v>120</v>
      </c>
      <c r="AA499" s="128"/>
      <c r="AB499" s="124" t="s">
        <v>120</v>
      </c>
      <c r="AC499" s="128"/>
      <c r="AD499" s="128"/>
      <c r="AE499" s="124" t="s">
        <v>120</v>
      </c>
      <c r="AF499" s="128"/>
      <c r="AG499" s="124" t="s">
        <v>120</v>
      </c>
      <c r="AH499" s="128"/>
      <c r="AI499" s="124" t="s">
        <v>120</v>
      </c>
      <c r="AJ499" s="128"/>
      <c r="AK499" s="128"/>
      <c r="AL499" s="124" t="s">
        <v>141</v>
      </c>
      <c r="AM499" s="124" t="s">
        <v>185</v>
      </c>
      <c r="AN499" s="124" t="s">
        <v>216</v>
      </c>
      <c r="AO499" s="124" t="s">
        <v>156</v>
      </c>
      <c r="AP499" s="124"/>
    </row>
    <row r="500">
      <c r="A500" s="124" t="s">
        <v>2782</v>
      </c>
      <c r="B500" s="124" t="s">
        <v>2783</v>
      </c>
      <c r="C500" s="124" t="s">
        <v>2784</v>
      </c>
      <c r="D500" s="127">
        <v>37120.0</v>
      </c>
      <c r="E500" s="124" t="s">
        <v>98</v>
      </c>
      <c r="F500" s="124">
        <v>5.513963517E9</v>
      </c>
      <c r="G500" s="124" t="s">
        <v>2785</v>
      </c>
      <c r="H500" s="124" t="s">
        <v>150</v>
      </c>
      <c r="I500" s="124" t="s">
        <v>2786</v>
      </c>
      <c r="J500" s="124" t="s">
        <v>2787</v>
      </c>
      <c r="K500" s="124" t="s">
        <v>2788</v>
      </c>
      <c r="L500" s="124">
        <v>5.573481742E9</v>
      </c>
      <c r="M500" s="128"/>
      <c r="N500" s="128"/>
      <c r="O500" s="128"/>
      <c r="P500" s="129">
        <v>24.0</v>
      </c>
      <c r="Q500" s="130">
        <v>46026.67153935185</v>
      </c>
      <c r="R500" s="124" t="s">
        <v>107</v>
      </c>
      <c r="S500" s="124" t="s">
        <v>125</v>
      </c>
      <c r="T500" s="124" t="s">
        <v>192</v>
      </c>
      <c r="U500" s="124" t="s">
        <v>609</v>
      </c>
      <c r="V500" s="124" t="s">
        <v>611</v>
      </c>
      <c r="W500" s="124" t="s">
        <v>612</v>
      </c>
      <c r="X500" s="124" t="s">
        <v>120</v>
      </c>
      <c r="Y500" s="128"/>
      <c r="Z500" s="124" t="s">
        <v>117</v>
      </c>
      <c r="AA500" s="124" t="s">
        <v>2796</v>
      </c>
      <c r="AB500" s="124" t="s">
        <v>117</v>
      </c>
      <c r="AC500" s="124" t="s">
        <v>117</v>
      </c>
      <c r="AD500" s="128"/>
      <c r="AE500" s="124" t="s">
        <v>120</v>
      </c>
      <c r="AF500" s="128"/>
      <c r="AG500" s="124" t="s">
        <v>120</v>
      </c>
      <c r="AH500" s="128"/>
      <c r="AI500" s="124" t="s">
        <v>120</v>
      </c>
      <c r="AJ500" s="128"/>
      <c r="AK500" s="128"/>
      <c r="AL500" s="124" t="s">
        <v>128</v>
      </c>
      <c r="AM500" s="124" t="s">
        <v>156</v>
      </c>
      <c r="AN500" s="124" t="s">
        <v>138</v>
      </c>
      <c r="AO500" s="124" t="s">
        <v>242</v>
      </c>
      <c r="AP500" s="124"/>
    </row>
    <row r="501">
      <c r="A501" s="124" t="s">
        <v>4391</v>
      </c>
      <c r="B501" s="124" t="s">
        <v>4392</v>
      </c>
      <c r="C501" s="124" t="s">
        <v>4393</v>
      </c>
      <c r="D501" s="127">
        <v>40685.0</v>
      </c>
      <c r="E501" s="124" t="s">
        <v>177</v>
      </c>
      <c r="F501" s="124">
        <v>5.578626001E9</v>
      </c>
      <c r="G501" s="124" t="s">
        <v>4394</v>
      </c>
      <c r="H501" s="124" t="s">
        <v>101</v>
      </c>
      <c r="I501" s="124" t="s">
        <v>1325</v>
      </c>
      <c r="J501" s="124" t="s">
        <v>4395</v>
      </c>
      <c r="K501" s="124" t="s">
        <v>4396</v>
      </c>
      <c r="L501" s="124">
        <v>5.582055598E9</v>
      </c>
      <c r="M501" s="128"/>
      <c r="N501" s="128"/>
      <c r="O501" s="128"/>
      <c r="P501" s="129">
        <v>14.0</v>
      </c>
      <c r="Q501" s="130">
        <v>46036.8878125</v>
      </c>
      <c r="R501" s="124" t="s">
        <v>107</v>
      </c>
      <c r="S501" s="124" t="s">
        <v>109</v>
      </c>
      <c r="T501" s="124" t="s">
        <v>171</v>
      </c>
      <c r="U501" s="124" t="s">
        <v>262</v>
      </c>
      <c r="V501" s="124" t="s">
        <v>263</v>
      </c>
      <c r="W501" s="124" t="s">
        <v>264</v>
      </c>
      <c r="X501" s="124" t="s">
        <v>120</v>
      </c>
      <c r="Y501" s="128"/>
      <c r="Z501" s="124" t="s">
        <v>117</v>
      </c>
      <c r="AA501" s="124" t="s">
        <v>4397</v>
      </c>
      <c r="AB501" s="124" t="s">
        <v>120</v>
      </c>
      <c r="AC501" s="128"/>
      <c r="AD501" s="128"/>
      <c r="AE501" s="124" t="s">
        <v>120</v>
      </c>
      <c r="AF501" s="128"/>
      <c r="AG501" s="124" t="s">
        <v>120</v>
      </c>
      <c r="AH501" s="128"/>
      <c r="AI501" s="124" t="s">
        <v>120</v>
      </c>
      <c r="AJ501" s="128"/>
      <c r="AK501" s="124" t="s">
        <v>1325</v>
      </c>
      <c r="AL501" s="124" t="s">
        <v>240</v>
      </c>
      <c r="AM501" s="124" t="s">
        <v>129</v>
      </c>
      <c r="AN501" s="124" t="s">
        <v>138</v>
      </c>
      <c r="AO501" s="124" t="s">
        <v>156</v>
      </c>
      <c r="AP501" s="124"/>
    </row>
    <row r="502">
      <c r="A502" s="124" t="s">
        <v>2798</v>
      </c>
      <c r="B502" s="124" t="s">
        <v>2799</v>
      </c>
      <c r="C502" s="124" t="s">
        <v>2800</v>
      </c>
      <c r="D502" s="127">
        <v>38513.0</v>
      </c>
      <c r="E502" s="124" t="s">
        <v>98</v>
      </c>
      <c r="F502" s="124">
        <v>5.53134368E9</v>
      </c>
      <c r="G502" s="124" t="s">
        <v>2801</v>
      </c>
      <c r="H502" s="124" t="s">
        <v>101</v>
      </c>
      <c r="I502" s="128"/>
      <c r="J502" s="124" t="s">
        <v>2060</v>
      </c>
      <c r="K502" s="124" t="s">
        <v>2802</v>
      </c>
      <c r="L502" s="124">
        <v>5.559423001E9</v>
      </c>
      <c r="M502" s="128"/>
      <c r="N502" s="128"/>
      <c r="O502" s="128"/>
      <c r="P502" s="129">
        <v>20.0</v>
      </c>
      <c r="Q502" s="130">
        <v>46027.89056712963</v>
      </c>
      <c r="R502" s="124" t="s">
        <v>107</v>
      </c>
      <c r="S502" s="124" t="s">
        <v>125</v>
      </c>
      <c r="T502" s="124" t="s">
        <v>127</v>
      </c>
      <c r="U502" s="124" t="s">
        <v>130</v>
      </c>
      <c r="V502" s="124" t="s">
        <v>131</v>
      </c>
      <c r="W502" s="124" t="s">
        <v>132</v>
      </c>
      <c r="X502" s="124" t="s">
        <v>120</v>
      </c>
      <c r="Y502" s="128"/>
      <c r="Z502" s="124" t="s">
        <v>120</v>
      </c>
      <c r="AA502" s="128"/>
      <c r="AB502" s="124" t="s">
        <v>120</v>
      </c>
      <c r="AC502" s="124" t="s">
        <v>120</v>
      </c>
      <c r="AD502" s="128"/>
      <c r="AE502" s="124" t="s">
        <v>120</v>
      </c>
      <c r="AF502" s="128"/>
      <c r="AG502" s="124" t="s">
        <v>120</v>
      </c>
      <c r="AH502" s="128"/>
      <c r="AI502" s="124" t="s">
        <v>120</v>
      </c>
      <c r="AJ502" s="128"/>
      <c r="AK502" s="128"/>
      <c r="AL502" s="124" t="s">
        <v>141</v>
      </c>
      <c r="AM502" s="124" t="s">
        <v>126</v>
      </c>
      <c r="AN502" s="124" t="s">
        <v>242</v>
      </c>
      <c r="AO502" s="124" t="s">
        <v>126</v>
      </c>
      <c r="AP502" s="124"/>
    </row>
    <row r="503">
      <c r="A503" s="124" t="s">
        <v>2012</v>
      </c>
      <c r="B503" s="124" t="s">
        <v>2014</v>
      </c>
      <c r="C503" s="124" t="s">
        <v>70</v>
      </c>
      <c r="D503" s="127">
        <v>40375.0</v>
      </c>
      <c r="E503" s="124" t="s">
        <v>98</v>
      </c>
      <c r="F503" s="124">
        <v>5.621292376E9</v>
      </c>
      <c r="G503" s="124" t="s">
        <v>2018</v>
      </c>
      <c r="H503" s="124" t="s">
        <v>101</v>
      </c>
      <c r="I503" s="128"/>
      <c r="J503" s="124" t="s">
        <v>2019</v>
      </c>
      <c r="K503" s="124" t="s">
        <v>2021</v>
      </c>
      <c r="L503" s="124" t="s">
        <v>2022</v>
      </c>
      <c r="M503" s="128"/>
      <c r="N503" s="128"/>
      <c r="O503" s="128"/>
      <c r="P503" s="129">
        <v>15.0</v>
      </c>
      <c r="Q503" s="130">
        <v>46038.83427083334</v>
      </c>
      <c r="R503" s="124" t="s">
        <v>107</v>
      </c>
      <c r="S503" s="124" t="s">
        <v>109</v>
      </c>
      <c r="T503" s="124" t="s">
        <v>111</v>
      </c>
      <c r="U503" s="124" t="s">
        <v>1979</v>
      </c>
      <c r="V503" s="124" t="s">
        <v>1980</v>
      </c>
      <c r="W503" s="124" t="s">
        <v>1981</v>
      </c>
      <c r="X503" s="124" t="s">
        <v>120</v>
      </c>
      <c r="Y503" s="128"/>
      <c r="Z503" s="124" t="s">
        <v>117</v>
      </c>
      <c r="AA503" s="124" t="s">
        <v>2024</v>
      </c>
      <c r="AB503" s="124" t="s">
        <v>117</v>
      </c>
      <c r="AC503" s="124" t="s">
        <v>117</v>
      </c>
      <c r="AD503" s="128"/>
      <c r="AE503" s="124" t="s">
        <v>120</v>
      </c>
      <c r="AF503" s="128"/>
      <c r="AG503" s="124" t="s">
        <v>120</v>
      </c>
      <c r="AH503" s="128"/>
      <c r="AI503" s="124" t="s">
        <v>117</v>
      </c>
      <c r="AJ503" s="124" t="s">
        <v>2031</v>
      </c>
      <c r="AK503" s="128"/>
      <c r="AL503" s="124" t="s">
        <v>126</v>
      </c>
      <c r="AM503" s="124" t="s">
        <v>242</v>
      </c>
      <c r="AN503" s="124" t="s">
        <v>216</v>
      </c>
      <c r="AO503" s="124" t="s">
        <v>124</v>
      </c>
      <c r="AP503" s="124"/>
    </row>
    <row r="504">
      <c r="A504" s="124" t="s">
        <v>4398</v>
      </c>
      <c r="B504" s="124" t="s">
        <v>4399</v>
      </c>
      <c r="C504" s="124" t="s">
        <v>4400</v>
      </c>
      <c r="D504" s="127">
        <v>40054.0</v>
      </c>
      <c r="E504" s="124" t="s">
        <v>98</v>
      </c>
      <c r="F504" s="124">
        <v>5.573959413E9</v>
      </c>
      <c r="G504" s="124" t="s">
        <v>4401</v>
      </c>
      <c r="H504" s="124" t="s">
        <v>140</v>
      </c>
      <c r="I504" s="128"/>
      <c r="J504" s="124" t="s">
        <v>2656</v>
      </c>
      <c r="K504" s="124" t="s">
        <v>2655</v>
      </c>
      <c r="L504" s="124">
        <v>5.514882632E9</v>
      </c>
      <c r="M504" s="124" t="s">
        <v>4402</v>
      </c>
      <c r="N504" s="124" t="s">
        <v>4403</v>
      </c>
      <c r="O504" s="124">
        <v>5.529549776E9</v>
      </c>
      <c r="P504" s="129">
        <v>16.0</v>
      </c>
      <c r="Q504" s="130">
        <v>46026.62211805556</v>
      </c>
      <c r="R504" s="124" t="s">
        <v>107</v>
      </c>
      <c r="S504" s="124" t="s">
        <v>109</v>
      </c>
      <c r="T504" s="124" t="s">
        <v>111</v>
      </c>
      <c r="U504" s="124" t="s">
        <v>2654</v>
      </c>
      <c r="V504" s="124" t="s">
        <v>2655</v>
      </c>
      <c r="W504" s="124" t="s">
        <v>2656</v>
      </c>
      <c r="X504" s="124" t="s">
        <v>120</v>
      </c>
      <c r="Y504" s="128"/>
      <c r="Z504" s="124" t="s">
        <v>120</v>
      </c>
      <c r="AA504" s="128"/>
      <c r="AB504" s="124" t="s">
        <v>120</v>
      </c>
      <c r="AC504" s="128"/>
      <c r="AD504" s="128"/>
      <c r="AE504" s="124" t="s">
        <v>120</v>
      </c>
      <c r="AF504" s="128"/>
      <c r="AG504" s="124" t="s">
        <v>120</v>
      </c>
      <c r="AH504" s="128"/>
      <c r="AI504" s="124" t="s">
        <v>120</v>
      </c>
      <c r="AJ504" s="128"/>
      <c r="AK504" s="128"/>
      <c r="AL504" s="124" t="s">
        <v>216</v>
      </c>
      <c r="AM504" s="124" t="s">
        <v>124</v>
      </c>
      <c r="AN504" s="124" t="s">
        <v>156</v>
      </c>
      <c r="AO504" s="124" t="s">
        <v>138</v>
      </c>
      <c r="AP504" s="124"/>
    </row>
    <row r="505">
      <c r="A505" s="124" t="s">
        <v>623</v>
      </c>
      <c r="B505" s="124" t="s">
        <v>625</v>
      </c>
      <c r="C505" s="124" t="s">
        <v>627</v>
      </c>
      <c r="D505" s="127">
        <v>40642.0</v>
      </c>
      <c r="E505" s="124" t="s">
        <v>177</v>
      </c>
      <c r="F505" s="124">
        <v>5.564909632E9</v>
      </c>
      <c r="G505" s="124" t="s">
        <v>633</v>
      </c>
      <c r="H505" s="124" t="s">
        <v>140</v>
      </c>
      <c r="I505" s="128"/>
      <c r="J505" s="124" t="s">
        <v>636</v>
      </c>
      <c r="K505" s="124" t="s">
        <v>633</v>
      </c>
      <c r="L505" s="124">
        <v>5.560970646E9</v>
      </c>
      <c r="M505" s="128"/>
      <c r="N505" s="128"/>
      <c r="O505" s="128"/>
      <c r="P505" s="129">
        <v>14.0</v>
      </c>
      <c r="Q505" s="130">
        <v>46040.84354166667</v>
      </c>
      <c r="R505" s="124" t="s">
        <v>260</v>
      </c>
      <c r="S505" s="124" t="s">
        <v>109</v>
      </c>
      <c r="T505" s="124" t="s">
        <v>111</v>
      </c>
      <c r="U505" s="124" t="s">
        <v>407</v>
      </c>
      <c r="V505" s="124" t="s">
        <v>408</v>
      </c>
      <c r="W505" s="124" t="s">
        <v>409</v>
      </c>
      <c r="X505" s="124" t="s">
        <v>117</v>
      </c>
      <c r="Y505" s="128"/>
      <c r="Z505" s="124" t="s">
        <v>117</v>
      </c>
      <c r="AA505" s="128"/>
      <c r="AB505" s="124" t="s">
        <v>117</v>
      </c>
      <c r="AC505" s="124" t="s">
        <v>117</v>
      </c>
      <c r="AD505" s="128"/>
      <c r="AE505" s="124" t="s">
        <v>117</v>
      </c>
      <c r="AF505" s="128"/>
      <c r="AG505" s="124" t="s">
        <v>117</v>
      </c>
      <c r="AH505" s="128"/>
      <c r="AI505" s="124" t="s">
        <v>117</v>
      </c>
      <c r="AJ505" s="128"/>
      <c r="AK505" s="128"/>
      <c r="AL505" s="124" t="s">
        <v>128</v>
      </c>
      <c r="AM505" s="124" t="s">
        <v>138</v>
      </c>
      <c r="AN505" s="124" t="s">
        <v>242</v>
      </c>
      <c r="AO505" s="124" t="s">
        <v>156</v>
      </c>
      <c r="AP505" s="124"/>
    </row>
    <row r="506">
      <c r="A506" s="124" t="s">
        <v>3097</v>
      </c>
      <c r="B506" s="124" t="s">
        <v>4404</v>
      </c>
      <c r="C506" s="124" t="s">
        <v>4405</v>
      </c>
      <c r="D506" s="127">
        <v>40293.0</v>
      </c>
      <c r="E506" s="124" t="s">
        <v>177</v>
      </c>
      <c r="F506" s="124">
        <v>5.534839486E9</v>
      </c>
      <c r="G506" s="124" t="s">
        <v>4406</v>
      </c>
      <c r="H506" s="124" t="s">
        <v>101</v>
      </c>
      <c r="I506" s="124" t="s">
        <v>135</v>
      </c>
      <c r="J506" s="124" t="s">
        <v>4407</v>
      </c>
      <c r="K506" s="124" t="s">
        <v>4408</v>
      </c>
      <c r="L506" s="124">
        <v>5.534839486E9</v>
      </c>
      <c r="M506" s="128"/>
      <c r="N506" s="128"/>
      <c r="O506" s="128"/>
      <c r="P506" s="129">
        <v>15.0</v>
      </c>
      <c r="Q506" s="130">
        <v>46040.68467592593</v>
      </c>
      <c r="R506" s="124" t="s">
        <v>107</v>
      </c>
      <c r="S506" s="124" t="s">
        <v>109</v>
      </c>
      <c r="T506" s="124" t="s">
        <v>204</v>
      </c>
      <c r="U506" s="124" t="s">
        <v>699</v>
      </c>
      <c r="V506" s="124" t="s">
        <v>700</v>
      </c>
      <c r="W506" s="124" t="s">
        <v>702</v>
      </c>
      <c r="X506" s="124" t="s">
        <v>120</v>
      </c>
      <c r="Y506" s="128"/>
      <c r="Z506" s="124" t="s">
        <v>120</v>
      </c>
      <c r="AA506" s="128"/>
      <c r="AB506" s="124" t="s">
        <v>120</v>
      </c>
      <c r="AC506" s="124" t="s">
        <v>120</v>
      </c>
      <c r="AD506" s="128"/>
      <c r="AE506" s="124" t="s">
        <v>120</v>
      </c>
      <c r="AF506" s="128"/>
      <c r="AG506" s="124" t="s">
        <v>120</v>
      </c>
      <c r="AH506" s="128"/>
      <c r="AI506" s="124" t="s">
        <v>120</v>
      </c>
      <c r="AJ506" s="128"/>
      <c r="AK506" s="124" t="s">
        <v>135</v>
      </c>
      <c r="AL506" s="124" t="s">
        <v>141</v>
      </c>
      <c r="AM506" s="124" t="s">
        <v>129</v>
      </c>
      <c r="AN506" s="124" t="s">
        <v>240</v>
      </c>
      <c r="AO506" s="124" t="s">
        <v>128</v>
      </c>
      <c r="AP506" s="124"/>
    </row>
    <row r="507">
      <c r="A507" s="124" t="s">
        <v>2806</v>
      </c>
      <c r="B507" s="124" t="s">
        <v>2518</v>
      </c>
      <c r="C507" s="124" t="s">
        <v>2807</v>
      </c>
      <c r="D507" s="127">
        <v>38143.0</v>
      </c>
      <c r="E507" s="124" t="s">
        <v>98</v>
      </c>
      <c r="F507" s="124">
        <v>5.610691582E9</v>
      </c>
      <c r="G507" s="124" t="s">
        <v>711</v>
      </c>
      <c r="H507" s="124" t="s">
        <v>101</v>
      </c>
      <c r="I507" s="124" t="s">
        <v>135</v>
      </c>
      <c r="J507" s="124" t="s">
        <v>2808</v>
      </c>
      <c r="K507" s="124" t="s">
        <v>2809</v>
      </c>
      <c r="L507" s="124">
        <v>5.556663516E9</v>
      </c>
      <c r="M507" s="128"/>
      <c r="N507" s="128"/>
      <c r="O507" s="128"/>
      <c r="P507" s="129">
        <v>21.0</v>
      </c>
      <c r="Q507" s="130">
        <v>46040.73842592593</v>
      </c>
      <c r="R507" s="124" t="s">
        <v>231</v>
      </c>
      <c r="S507" s="124" t="s">
        <v>125</v>
      </c>
      <c r="T507" s="124" t="s">
        <v>171</v>
      </c>
      <c r="U507" s="124" t="s">
        <v>1474</v>
      </c>
      <c r="V507" s="124" t="s">
        <v>1475</v>
      </c>
      <c r="W507" s="124" t="s">
        <v>1476</v>
      </c>
      <c r="X507" s="124" t="s">
        <v>120</v>
      </c>
      <c r="Y507" s="128"/>
      <c r="Z507" s="124" t="s">
        <v>120</v>
      </c>
      <c r="AA507" s="128"/>
      <c r="AB507" s="124" t="s">
        <v>120</v>
      </c>
      <c r="AC507" s="124" t="s">
        <v>120</v>
      </c>
      <c r="AD507" s="128"/>
      <c r="AE507" s="124" t="s">
        <v>120</v>
      </c>
      <c r="AF507" s="128"/>
      <c r="AG507" s="124" t="s">
        <v>120</v>
      </c>
      <c r="AH507" s="128"/>
      <c r="AI507" s="124" t="s">
        <v>120</v>
      </c>
      <c r="AJ507" s="128"/>
      <c r="AK507" s="128"/>
      <c r="AL507" s="124" t="s">
        <v>129</v>
      </c>
      <c r="AM507" s="124" t="s">
        <v>216</v>
      </c>
      <c r="AN507" s="124" t="s">
        <v>185</v>
      </c>
      <c r="AO507" s="124" t="s">
        <v>128</v>
      </c>
      <c r="AP507" s="124"/>
    </row>
    <row r="508">
      <c r="A508" s="124" t="s">
        <v>1802</v>
      </c>
      <c r="B508" s="124" t="s">
        <v>3694</v>
      </c>
      <c r="C508" s="124" t="s">
        <v>92</v>
      </c>
      <c r="D508" s="127">
        <v>40013.0</v>
      </c>
      <c r="E508" s="124" t="s">
        <v>177</v>
      </c>
      <c r="F508" s="124">
        <v>5.540710941E9</v>
      </c>
      <c r="G508" s="124" t="s">
        <v>3695</v>
      </c>
      <c r="H508" s="124" t="s">
        <v>101</v>
      </c>
      <c r="I508" s="128"/>
      <c r="J508" s="124" t="s">
        <v>3696</v>
      </c>
      <c r="K508" s="124" t="s">
        <v>3695</v>
      </c>
      <c r="L508" s="124">
        <v>5.540710941E9</v>
      </c>
      <c r="M508" s="128"/>
      <c r="N508" s="128"/>
      <c r="O508" s="128"/>
      <c r="P508" s="129">
        <v>16.0</v>
      </c>
      <c r="Q508" s="130">
        <v>46027.53755787037</v>
      </c>
      <c r="R508" s="124" t="s">
        <v>107</v>
      </c>
      <c r="S508" s="124" t="s">
        <v>109</v>
      </c>
      <c r="T508" s="124" t="s">
        <v>171</v>
      </c>
      <c r="U508" s="124" t="s">
        <v>2149</v>
      </c>
      <c r="V508" s="124" t="s">
        <v>2141</v>
      </c>
      <c r="W508" s="124" t="s">
        <v>2151</v>
      </c>
      <c r="X508" s="124" t="s">
        <v>120</v>
      </c>
      <c r="Y508" s="128"/>
      <c r="Z508" s="124" t="s">
        <v>120</v>
      </c>
      <c r="AA508" s="128"/>
      <c r="AB508" s="124" t="s">
        <v>120</v>
      </c>
      <c r="AC508" s="128"/>
      <c r="AD508" s="128"/>
      <c r="AE508" s="124" t="s">
        <v>120</v>
      </c>
      <c r="AF508" s="128"/>
      <c r="AG508" s="124" t="s">
        <v>120</v>
      </c>
      <c r="AH508" s="128"/>
      <c r="AI508" s="124" t="s">
        <v>120</v>
      </c>
      <c r="AJ508" s="128"/>
      <c r="AK508" s="128"/>
      <c r="AL508" s="124" t="s">
        <v>240</v>
      </c>
      <c r="AM508" s="124" t="s">
        <v>138</v>
      </c>
      <c r="AN508" s="124" t="s">
        <v>129</v>
      </c>
      <c r="AO508" s="124" t="s">
        <v>124</v>
      </c>
      <c r="AP508" s="124"/>
    </row>
    <row r="509">
      <c r="A509" s="124" t="s">
        <v>4409</v>
      </c>
      <c r="B509" s="124" t="s">
        <v>4410</v>
      </c>
      <c r="C509" s="124" t="s">
        <v>4411</v>
      </c>
      <c r="D509" s="127">
        <v>40484.0</v>
      </c>
      <c r="E509" s="124" t="s">
        <v>98</v>
      </c>
      <c r="F509" s="124">
        <v>5.61453204E9</v>
      </c>
      <c r="G509" s="124" t="s">
        <v>4412</v>
      </c>
      <c r="H509" s="124" t="s">
        <v>101</v>
      </c>
      <c r="I509" s="124" t="s">
        <v>4413</v>
      </c>
      <c r="J509" s="124" t="s">
        <v>4414</v>
      </c>
      <c r="K509" s="124" t="s">
        <v>4412</v>
      </c>
      <c r="L509" s="124">
        <v>5.561002451E9</v>
      </c>
      <c r="M509" s="124" t="s">
        <v>4415</v>
      </c>
      <c r="N509" s="124" t="s">
        <v>4416</v>
      </c>
      <c r="O509" s="124">
        <v>5.582062378E9</v>
      </c>
      <c r="P509" s="129">
        <v>15.0</v>
      </c>
      <c r="Q509" s="130">
        <v>46033.47300925926</v>
      </c>
      <c r="R509" s="124" t="s">
        <v>107</v>
      </c>
      <c r="S509" s="124" t="s">
        <v>109</v>
      </c>
      <c r="T509" s="124" t="s">
        <v>111</v>
      </c>
      <c r="U509" s="124" t="s">
        <v>1979</v>
      </c>
      <c r="V509" s="124" t="s">
        <v>1980</v>
      </c>
      <c r="W509" s="124" t="s">
        <v>1981</v>
      </c>
      <c r="X509" s="124" t="s">
        <v>120</v>
      </c>
      <c r="Y509" s="128"/>
      <c r="Z509" s="124" t="s">
        <v>117</v>
      </c>
      <c r="AA509" s="124" t="s">
        <v>4417</v>
      </c>
      <c r="AB509" s="124" t="s">
        <v>120</v>
      </c>
      <c r="AC509" s="128"/>
      <c r="AD509" s="128"/>
      <c r="AE509" s="124" t="s">
        <v>120</v>
      </c>
      <c r="AF509" s="128"/>
      <c r="AG509" s="124" t="s">
        <v>120</v>
      </c>
      <c r="AH509" s="128"/>
      <c r="AI509" s="124" t="s">
        <v>120</v>
      </c>
      <c r="AJ509" s="128"/>
      <c r="AK509" s="128"/>
      <c r="AL509" s="124" t="s">
        <v>126</v>
      </c>
      <c r="AM509" s="124" t="s">
        <v>216</v>
      </c>
      <c r="AN509" s="124" t="s">
        <v>141</v>
      </c>
      <c r="AO509" s="124" t="s">
        <v>156</v>
      </c>
      <c r="AP509" s="124"/>
    </row>
    <row r="510">
      <c r="A510" s="124" t="s">
        <v>4418</v>
      </c>
      <c r="B510" s="124" t="s">
        <v>4419</v>
      </c>
      <c r="C510" s="124" t="s">
        <v>4420</v>
      </c>
      <c r="D510" s="127">
        <v>39484.0</v>
      </c>
      <c r="E510" s="124" t="s">
        <v>98</v>
      </c>
      <c r="F510" s="124">
        <v>5.519503498E9</v>
      </c>
      <c r="G510" s="124" t="s">
        <v>4421</v>
      </c>
      <c r="H510" s="124" t="s">
        <v>140</v>
      </c>
      <c r="I510" s="128"/>
      <c r="J510" s="124" t="s">
        <v>4422</v>
      </c>
      <c r="K510" s="124" t="s">
        <v>4423</v>
      </c>
      <c r="L510" s="124">
        <v>5.5879534E9</v>
      </c>
      <c r="M510" s="128"/>
      <c r="N510" s="128"/>
      <c r="O510" s="128"/>
      <c r="P510" s="129">
        <v>18.0</v>
      </c>
      <c r="Q510" s="130">
        <v>46026.892696759256</v>
      </c>
      <c r="R510" s="124" t="s">
        <v>107</v>
      </c>
      <c r="S510" s="124" t="s">
        <v>109</v>
      </c>
      <c r="T510" s="124" t="s">
        <v>127</v>
      </c>
      <c r="U510" s="124" t="s">
        <v>234</v>
      </c>
      <c r="V510" s="124" t="s">
        <v>227</v>
      </c>
      <c r="W510" s="124" t="s">
        <v>236</v>
      </c>
      <c r="X510" s="124" t="s">
        <v>120</v>
      </c>
      <c r="Y510" s="128"/>
      <c r="Z510" s="124" t="s">
        <v>117</v>
      </c>
      <c r="AA510" s="124" t="s">
        <v>4424</v>
      </c>
      <c r="AB510" s="124" t="s">
        <v>120</v>
      </c>
      <c r="AC510" s="128"/>
      <c r="AD510" s="128"/>
      <c r="AE510" s="124" t="s">
        <v>120</v>
      </c>
      <c r="AF510" s="128"/>
      <c r="AG510" s="124" t="s">
        <v>120</v>
      </c>
      <c r="AH510" s="128"/>
      <c r="AI510" s="124" t="s">
        <v>120</v>
      </c>
      <c r="AJ510" s="128"/>
      <c r="AK510" s="128"/>
      <c r="AL510" s="124" t="s">
        <v>185</v>
      </c>
      <c r="AM510" s="124" t="s">
        <v>242</v>
      </c>
      <c r="AN510" s="124" t="s">
        <v>129</v>
      </c>
      <c r="AO510" s="124" t="s">
        <v>156</v>
      </c>
      <c r="AP510" s="124"/>
    </row>
    <row r="511">
      <c r="A511" s="124" t="s">
        <v>213</v>
      </c>
      <c r="B511" s="124" t="s">
        <v>214</v>
      </c>
      <c r="C511" s="124" t="s">
        <v>215</v>
      </c>
      <c r="D511" s="127">
        <v>40974.0</v>
      </c>
      <c r="E511" s="124" t="s">
        <v>98</v>
      </c>
      <c r="F511" s="124">
        <v>5.576952565E9</v>
      </c>
      <c r="G511" s="124" t="s">
        <v>218</v>
      </c>
      <c r="H511" s="124" t="s">
        <v>101</v>
      </c>
      <c r="I511" s="124" t="s">
        <v>221</v>
      </c>
      <c r="J511" s="124" t="s">
        <v>222</v>
      </c>
      <c r="K511" s="124" t="s">
        <v>223</v>
      </c>
      <c r="L511" s="124">
        <v>5.576952565E9</v>
      </c>
      <c r="M511" s="128"/>
      <c r="N511" s="128"/>
      <c r="O511" s="128"/>
      <c r="P511" s="129">
        <v>13.0</v>
      </c>
      <c r="Q511" s="130">
        <v>46027.56413194445</v>
      </c>
      <c r="R511" s="124" t="s">
        <v>107</v>
      </c>
      <c r="S511" s="124" t="s">
        <v>109</v>
      </c>
      <c r="T511" s="124" t="s">
        <v>208</v>
      </c>
      <c r="U511" s="124" t="s">
        <v>228</v>
      </c>
      <c r="V511" s="124" t="s">
        <v>229</v>
      </c>
      <c r="W511" s="124" t="s">
        <v>230</v>
      </c>
      <c r="X511" s="124" t="s">
        <v>117</v>
      </c>
      <c r="Y511" s="124" t="s">
        <v>232</v>
      </c>
      <c r="Z511" s="124" t="s">
        <v>117</v>
      </c>
      <c r="AA511" s="124" t="s">
        <v>233</v>
      </c>
      <c r="AB511" s="124" t="s">
        <v>117</v>
      </c>
      <c r="AC511" s="124" t="s">
        <v>117</v>
      </c>
      <c r="AD511" s="124" t="s">
        <v>235</v>
      </c>
      <c r="AE511" s="124" t="s">
        <v>120</v>
      </c>
      <c r="AF511" s="128"/>
      <c r="AG511" s="124" t="s">
        <v>120</v>
      </c>
      <c r="AH511" s="128"/>
      <c r="AI511" s="124" t="s">
        <v>117</v>
      </c>
      <c r="AJ511" s="124" t="s">
        <v>239</v>
      </c>
      <c r="AK511" s="128"/>
      <c r="AL511" s="124" t="s">
        <v>138</v>
      </c>
      <c r="AM511" s="124" t="s">
        <v>240</v>
      </c>
      <c r="AN511" s="124" t="s">
        <v>242</v>
      </c>
      <c r="AO511" s="124" t="s">
        <v>128</v>
      </c>
      <c r="AP511" s="124"/>
    </row>
    <row r="512">
      <c r="A512" s="124" t="s">
        <v>2810</v>
      </c>
      <c r="B512" s="124" t="s">
        <v>2811</v>
      </c>
      <c r="C512" s="124" t="s">
        <v>2812</v>
      </c>
      <c r="D512" s="127">
        <v>35342.0</v>
      </c>
      <c r="E512" s="124" t="s">
        <v>177</v>
      </c>
      <c r="F512" s="124">
        <v>5.523639983E9</v>
      </c>
      <c r="G512" s="124" t="s">
        <v>2813</v>
      </c>
      <c r="H512" s="124" t="s">
        <v>150</v>
      </c>
      <c r="I512" s="128"/>
      <c r="J512" s="124" t="s">
        <v>2814</v>
      </c>
      <c r="K512" s="124" t="s">
        <v>2815</v>
      </c>
      <c r="L512" s="124">
        <v>5.538261898E9</v>
      </c>
      <c r="M512" s="128"/>
      <c r="N512" s="128"/>
      <c r="O512" s="128"/>
      <c r="P512" s="129">
        <v>29.0</v>
      </c>
      <c r="Q512" s="130">
        <v>46021.40256944444</v>
      </c>
      <c r="R512" s="124" t="s">
        <v>107</v>
      </c>
      <c r="S512" s="124" t="s">
        <v>125</v>
      </c>
      <c r="T512" s="124" t="s">
        <v>160</v>
      </c>
      <c r="U512" s="124" t="s">
        <v>279</v>
      </c>
      <c r="V512" s="124" t="s">
        <v>280</v>
      </c>
      <c r="W512" s="124" t="s">
        <v>282</v>
      </c>
      <c r="X512" s="124" t="s">
        <v>120</v>
      </c>
      <c r="Y512" s="128"/>
      <c r="Z512" s="124" t="s">
        <v>120</v>
      </c>
      <c r="AA512" s="128"/>
      <c r="AB512" s="124" t="s">
        <v>117</v>
      </c>
      <c r="AC512" s="124" t="s">
        <v>117</v>
      </c>
      <c r="AD512" s="124" t="s">
        <v>2818</v>
      </c>
      <c r="AE512" s="124" t="s">
        <v>120</v>
      </c>
      <c r="AF512" s="128"/>
      <c r="AG512" s="124" t="s">
        <v>120</v>
      </c>
      <c r="AH512" s="128"/>
      <c r="AI512" s="124" t="s">
        <v>120</v>
      </c>
      <c r="AJ512" s="128"/>
      <c r="AK512" s="124" t="s">
        <v>2824</v>
      </c>
      <c r="AL512" s="124" t="s">
        <v>141</v>
      </c>
      <c r="AM512" s="124" t="s">
        <v>126</v>
      </c>
      <c r="AN512" s="124" t="s">
        <v>156</v>
      </c>
      <c r="AO512" s="124" t="s">
        <v>128</v>
      </c>
      <c r="AP512" s="124"/>
    </row>
    <row r="513">
      <c r="A513" s="124" t="s">
        <v>4425</v>
      </c>
      <c r="B513" s="124" t="s">
        <v>4426</v>
      </c>
      <c r="C513" s="124" t="s">
        <v>4427</v>
      </c>
      <c r="D513" s="127">
        <v>39666.0</v>
      </c>
      <c r="E513" s="124" t="s">
        <v>177</v>
      </c>
      <c r="F513" s="124">
        <v>5.542794372E9</v>
      </c>
      <c r="G513" s="124" t="s">
        <v>4428</v>
      </c>
      <c r="H513" s="124" t="s">
        <v>101</v>
      </c>
      <c r="I513" s="124" t="s">
        <v>525</v>
      </c>
      <c r="J513" s="124" t="s">
        <v>4429</v>
      </c>
      <c r="K513" s="124" t="s">
        <v>4430</v>
      </c>
      <c r="L513" s="124">
        <v>5.513163792E9</v>
      </c>
      <c r="M513" s="124" t="s">
        <v>4431</v>
      </c>
      <c r="N513" s="124" t="s">
        <v>4432</v>
      </c>
      <c r="O513" s="124">
        <v>5.520850231E9</v>
      </c>
      <c r="P513" s="129">
        <v>17.0</v>
      </c>
      <c r="Q513" s="130">
        <v>46033.51290509259</v>
      </c>
      <c r="R513" s="124" t="s">
        <v>107</v>
      </c>
      <c r="S513" s="124" t="s">
        <v>109</v>
      </c>
      <c r="T513" s="124" t="s">
        <v>208</v>
      </c>
      <c r="U513" s="124" t="s">
        <v>228</v>
      </c>
      <c r="V513" s="124" t="s">
        <v>229</v>
      </c>
      <c r="W513" s="124" t="s">
        <v>230</v>
      </c>
      <c r="X513" s="124" t="s">
        <v>120</v>
      </c>
      <c r="Y513" s="128"/>
      <c r="Z513" s="124" t="s">
        <v>117</v>
      </c>
      <c r="AA513" s="124" t="s">
        <v>4433</v>
      </c>
      <c r="AB513" s="124" t="s">
        <v>120</v>
      </c>
      <c r="AC513" s="124" t="s">
        <v>120</v>
      </c>
      <c r="AD513" s="128"/>
      <c r="AE513" s="124" t="s">
        <v>120</v>
      </c>
      <c r="AF513" s="128"/>
      <c r="AG513" s="124" t="s">
        <v>120</v>
      </c>
      <c r="AH513" s="128"/>
      <c r="AI513" s="124" t="s">
        <v>120</v>
      </c>
      <c r="AJ513" s="128"/>
      <c r="AK513" s="128"/>
      <c r="AL513" s="124" t="s">
        <v>126</v>
      </c>
      <c r="AM513" s="124" t="s">
        <v>124</v>
      </c>
      <c r="AN513" s="124" t="s">
        <v>138</v>
      </c>
      <c r="AO513" s="124" t="s">
        <v>185</v>
      </c>
      <c r="AP513" s="124"/>
    </row>
    <row r="514">
      <c r="A514" s="124" t="s">
        <v>1190</v>
      </c>
      <c r="B514" s="124" t="s">
        <v>1192</v>
      </c>
      <c r="C514" s="124" t="s">
        <v>1193</v>
      </c>
      <c r="D514" s="127">
        <v>40111.0</v>
      </c>
      <c r="E514" s="124" t="s">
        <v>98</v>
      </c>
      <c r="F514" s="124">
        <v>5.612971051E9</v>
      </c>
      <c r="G514" s="124" t="s">
        <v>1196</v>
      </c>
      <c r="H514" s="124" t="s">
        <v>140</v>
      </c>
      <c r="I514" s="124" t="s">
        <v>1197</v>
      </c>
      <c r="J514" s="124" t="s">
        <v>1198</v>
      </c>
      <c r="K514" s="124" t="s">
        <v>1199</v>
      </c>
      <c r="L514" s="124">
        <v>5.554632295E9</v>
      </c>
      <c r="M514" s="128"/>
      <c r="N514" s="128"/>
      <c r="O514" s="128"/>
      <c r="P514" s="129">
        <v>16.0</v>
      </c>
      <c r="Q514" s="130">
        <v>46033.373391203706</v>
      </c>
      <c r="R514" s="124" t="s">
        <v>107</v>
      </c>
      <c r="S514" s="124" t="s">
        <v>109</v>
      </c>
      <c r="T514" s="124" t="s">
        <v>160</v>
      </c>
      <c r="U514" s="124" t="s">
        <v>308</v>
      </c>
      <c r="V514" s="124" t="s">
        <v>309</v>
      </c>
      <c r="W514" s="124" t="s">
        <v>310</v>
      </c>
      <c r="X514" s="124" t="s">
        <v>120</v>
      </c>
      <c r="Y514" s="128"/>
      <c r="Z514" s="124" t="s">
        <v>120</v>
      </c>
      <c r="AA514" s="128"/>
      <c r="AB514" s="124" t="s">
        <v>117</v>
      </c>
      <c r="AC514" s="124" t="s">
        <v>117</v>
      </c>
      <c r="AD514" s="124" t="s">
        <v>1208</v>
      </c>
      <c r="AE514" s="124" t="s">
        <v>120</v>
      </c>
      <c r="AF514" s="128"/>
      <c r="AG514" s="124" t="s">
        <v>117</v>
      </c>
      <c r="AH514" s="124" t="s">
        <v>1210</v>
      </c>
      <c r="AI514" s="124" t="s">
        <v>120</v>
      </c>
      <c r="AJ514" s="128"/>
      <c r="AK514" s="128"/>
      <c r="AL514" s="124" t="s">
        <v>185</v>
      </c>
      <c r="AM514" s="124" t="s">
        <v>156</v>
      </c>
      <c r="AN514" s="124" t="s">
        <v>126</v>
      </c>
      <c r="AO514" s="124" t="s">
        <v>138</v>
      </c>
      <c r="AP514" s="124"/>
    </row>
    <row r="515">
      <c r="A515" s="124" t="s">
        <v>4434</v>
      </c>
      <c r="B515" s="124" t="s">
        <v>4435</v>
      </c>
      <c r="C515" s="128"/>
      <c r="D515" s="127">
        <v>40644.0</v>
      </c>
      <c r="E515" s="124" t="s">
        <v>98</v>
      </c>
      <c r="F515" s="124">
        <v>5.588117191E9</v>
      </c>
      <c r="G515" s="124" t="s">
        <v>4436</v>
      </c>
      <c r="H515" s="124" t="s">
        <v>101</v>
      </c>
      <c r="I515" s="128"/>
      <c r="J515" s="124" t="s">
        <v>4437</v>
      </c>
      <c r="K515" s="124" t="s">
        <v>4438</v>
      </c>
      <c r="L515" s="124">
        <v>5.611773277E9</v>
      </c>
      <c r="M515" s="128"/>
      <c r="N515" s="128"/>
      <c r="O515" s="128"/>
      <c r="P515" s="129">
        <v>14.0</v>
      </c>
      <c r="Q515" s="130">
        <v>46033.525972222225</v>
      </c>
      <c r="R515" s="124" t="s">
        <v>107</v>
      </c>
      <c r="S515" s="124" t="s">
        <v>109</v>
      </c>
      <c r="T515" s="124" t="s">
        <v>160</v>
      </c>
      <c r="U515" s="124" t="s">
        <v>308</v>
      </c>
      <c r="V515" s="124" t="s">
        <v>309</v>
      </c>
      <c r="W515" s="124" t="s">
        <v>310</v>
      </c>
      <c r="X515" s="124" t="s">
        <v>120</v>
      </c>
      <c r="Y515" s="128"/>
      <c r="Z515" s="124" t="s">
        <v>120</v>
      </c>
      <c r="AA515" s="128"/>
      <c r="AB515" s="124" t="s">
        <v>120</v>
      </c>
      <c r="AC515" s="128"/>
      <c r="AD515" s="128"/>
      <c r="AE515" s="124" t="s">
        <v>120</v>
      </c>
      <c r="AF515" s="128"/>
      <c r="AG515" s="124" t="s">
        <v>120</v>
      </c>
      <c r="AH515" s="128"/>
      <c r="AI515" s="124" t="s">
        <v>120</v>
      </c>
      <c r="AJ515" s="128"/>
      <c r="AK515" s="128"/>
      <c r="AL515" s="124" t="s">
        <v>124</v>
      </c>
      <c r="AM515" s="124" t="s">
        <v>156</v>
      </c>
      <c r="AN515" s="124" t="s">
        <v>216</v>
      </c>
      <c r="AO515" s="124" t="s">
        <v>242</v>
      </c>
      <c r="AP515" s="124"/>
    </row>
    <row r="516">
      <c r="A516" s="124" t="s">
        <v>1816</v>
      </c>
      <c r="B516" s="124" t="s">
        <v>2168</v>
      </c>
      <c r="C516" s="124" t="s">
        <v>2169</v>
      </c>
      <c r="D516" s="127">
        <v>40162.0</v>
      </c>
      <c r="E516" s="124" t="s">
        <v>177</v>
      </c>
      <c r="F516" s="124">
        <v>5.627000561E9</v>
      </c>
      <c r="G516" s="124" t="s">
        <v>2174</v>
      </c>
      <c r="H516" s="124" t="s">
        <v>110</v>
      </c>
      <c r="I516" s="128"/>
      <c r="J516" s="124" t="s">
        <v>2176</v>
      </c>
      <c r="K516" s="124" t="s">
        <v>2177</v>
      </c>
      <c r="L516" s="124" t="s">
        <v>2178</v>
      </c>
      <c r="M516" s="124" t="s">
        <v>2179</v>
      </c>
      <c r="N516" s="124" t="s">
        <v>2180</v>
      </c>
      <c r="O516" s="124" t="s">
        <v>2182</v>
      </c>
      <c r="P516" s="129">
        <v>16.0</v>
      </c>
      <c r="Q516" s="130">
        <v>46036.9590625</v>
      </c>
      <c r="R516" s="124" t="s">
        <v>107</v>
      </c>
      <c r="S516" s="124" t="s">
        <v>109</v>
      </c>
      <c r="T516" s="124" t="s">
        <v>208</v>
      </c>
      <c r="U516" s="124" t="s">
        <v>1599</v>
      </c>
      <c r="V516" s="124" t="s">
        <v>1600</v>
      </c>
      <c r="W516" s="124" t="s">
        <v>1602</v>
      </c>
      <c r="X516" s="124" t="s">
        <v>120</v>
      </c>
      <c r="Y516" s="128"/>
      <c r="Z516" s="124" t="s">
        <v>120</v>
      </c>
      <c r="AA516" s="128"/>
      <c r="AB516" s="124" t="s">
        <v>117</v>
      </c>
      <c r="AC516" s="124" t="s">
        <v>117</v>
      </c>
      <c r="AD516" s="124" t="s">
        <v>2190</v>
      </c>
      <c r="AE516" s="124" t="s">
        <v>120</v>
      </c>
      <c r="AF516" s="128"/>
      <c r="AG516" s="124" t="s">
        <v>120</v>
      </c>
      <c r="AH516" s="128"/>
      <c r="AI516" s="124" t="s">
        <v>120</v>
      </c>
      <c r="AJ516" s="128"/>
      <c r="AK516" s="128"/>
      <c r="AL516" s="124" t="s">
        <v>129</v>
      </c>
      <c r="AM516" s="124" t="s">
        <v>138</v>
      </c>
      <c r="AN516" s="124" t="s">
        <v>185</v>
      </c>
      <c r="AO516" s="124" t="s">
        <v>216</v>
      </c>
      <c r="AP516" s="124"/>
    </row>
    <row r="517">
      <c r="A517" s="124" t="s">
        <v>510</v>
      </c>
      <c r="B517" s="124" t="s">
        <v>4439</v>
      </c>
      <c r="C517" s="124" t="s">
        <v>4440</v>
      </c>
      <c r="D517" s="127">
        <v>39575.0</v>
      </c>
      <c r="E517" s="124" t="s">
        <v>98</v>
      </c>
      <c r="F517" s="124">
        <v>5.610415084E9</v>
      </c>
      <c r="G517" s="124" t="s">
        <v>4441</v>
      </c>
      <c r="H517" s="124" t="s">
        <v>150</v>
      </c>
      <c r="I517" s="128"/>
      <c r="J517" s="124" t="s">
        <v>4442</v>
      </c>
      <c r="K517" s="124" t="s">
        <v>4443</v>
      </c>
      <c r="L517" s="124">
        <v>5.524615201E9</v>
      </c>
      <c r="M517" s="128"/>
      <c r="N517" s="128"/>
      <c r="O517" s="128"/>
      <c r="P517" s="129">
        <v>17.0</v>
      </c>
      <c r="Q517" s="130">
        <v>46030.82331018519</v>
      </c>
      <c r="R517" s="124" t="s">
        <v>107</v>
      </c>
      <c r="S517" s="124" t="s">
        <v>109</v>
      </c>
      <c r="T517" s="124" t="s">
        <v>208</v>
      </c>
      <c r="U517" s="124" t="s">
        <v>478</v>
      </c>
      <c r="V517" s="124" t="s">
        <v>480</v>
      </c>
      <c r="W517" s="124" t="s">
        <v>481</v>
      </c>
      <c r="X517" s="124" t="s">
        <v>120</v>
      </c>
      <c r="Y517" s="128"/>
      <c r="Z517" s="124" t="s">
        <v>120</v>
      </c>
      <c r="AA517" s="128"/>
      <c r="AB517" s="124" t="s">
        <v>120</v>
      </c>
      <c r="AC517" s="128"/>
      <c r="AD517" s="128"/>
      <c r="AE517" s="124" t="s">
        <v>120</v>
      </c>
      <c r="AF517" s="128"/>
      <c r="AG517" s="124" t="s">
        <v>120</v>
      </c>
      <c r="AH517" s="128"/>
      <c r="AI517" s="124" t="s">
        <v>120</v>
      </c>
      <c r="AJ517" s="128"/>
      <c r="AK517" s="128"/>
      <c r="AL517" s="124" t="s">
        <v>156</v>
      </c>
      <c r="AM517" s="124" t="s">
        <v>138</v>
      </c>
      <c r="AN517" s="124" t="s">
        <v>141</v>
      </c>
      <c r="AO517" s="124" t="s">
        <v>126</v>
      </c>
      <c r="AP517" s="124"/>
    </row>
    <row r="518">
      <c r="A518" s="124" t="s">
        <v>2040</v>
      </c>
      <c r="B518" s="124" t="s">
        <v>2043</v>
      </c>
      <c r="C518" s="124" t="s">
        <v>2045</v>
      </c>
      <c r="D518" s="127">
        <v>40664.0</v>
      </c>
      <c r="E518" s="124" t="s">
        <v>98</v>
      </c>
      <c r="F518" s="124">
        <v>5.656977662E9</v>
      </c>
      <c r="G518" s="124" t="s">
        <v>2049</v>
      </c>
      <c r="H518" s="124" t="s">
        <v>140</v>
      </c>
      <c r="I518" s="128"/>
      <c r="J518" s="124" t="s">
        <v>2050</v>
      </c>
      <c r="K518" s="124" t="s">
        <v>2049</v>
      </c>
      <c r="L518" s="124">
        <v>2.217449886E9</v>
      </c>
      <c r="M518" s="128"/>
      <c r="N518" s="128"/>
      <c r="O518" s="128"/>
      <c r="P518" s="129">
        <v>14.0</v>
      </c>
      <c r="Q518" s="130">
        <v>46031.57121527778</v>
      </c>
      <c r="R518" s="124" t="s">
        <v>107</v>
      </c>
      <c r="S518" s="124" t="s">
        <v>109</v>
      </c>
      <c r="T518" s="124" t="s">
        <v>160</v>
      </c>
      <c r="U518" s="124" t="s">
        <v>279</v>
      </c>
      <c r="V518" s="124" t="s">
        <v>280</v>
      </c>
      <c r="W518" s="124" t="s">
        <v>282</v>
      </c>
      <c r="X518" s="124" t="s">
        <v>120</v>
      </c>
      <c r="Y518" s="128"/>
      <c r="Z518" s="124" t="s">
        <v>120</v>
      </c>
      <c r="AA518" s="128"/>
      <c r="AB518" s="124" t="s">
        <v>120</v>
      </c>
      <c r="AC518" s="128"/>
      <c r="AD518" s="128"/>
      <c r="AE518" s="124" t="s">
        <v>120</v>
      </c>
      <c r="AF518" s="128"/>
      <c r="AG518" s="124" t="s">
        <v>120</v>
      </c>
      <c r="AH518" s="128"/>
      <c r="AI518" s="124" t="s">
        <v>117</v>
      </c>
      <c r="AJ518" s="124" t="s">
        <v>2061</v>
      </c>
      <c r="AK518" s="128"/>
      <c r="AL518" s="124" t="s">
        <v>141</v>
      </c>
      <c r="AM518" s="124" t="s">
        <v>156</v>
      </c>
      <c r="AN518" s="124" t="s">
        <v>216</v>
      </c>
      <c r="AO518" s="124" t="s">
        <v>126</v>
      </c>
      <c r="AP518" s="124"/>
    </row>
    <row r="519">
      <c r="A519" s="124" t="s">
        <v>2068</v>
      </c>
      <c r="B519" s="124" t="s">
        <v>413</v>
      </c>
      <c r="C519" s="124" t="s">
        <v>78</v>
      </c>
      <c r="D519" s="127">
        <v>41107.0</v>
      </c>
      <c r="E519" s="124" t="s">
        <v>177</v>
      </c>
      <c r="F519" s="124" t="s">
        <v>2069</v>
      </c>
      <c r="G519" s="124" t="s">
        <v>2070</v>
      </c>
      <c r="H519" s="124" t="s">
        <v>101</v>
      </c>
      <c r="I519" s="124" t="s">
        <v>135</v>
      </c>
      <c r="J519" s="124" t="s">
        <v>417</v>
      </c>
      <c r="K519" s="124" t="s">
        <v>2071</v>
      </c>
      <c r="L519" s="124">
        <v>5.530664884E9</v>
      </c>
      <c r="M519" s="128"/>
      <c r="N519" s="128"/>
      <c r="O519" s="128"/>
      <c r="P519" s="129">
        <v>13.0</v>
      </c>
      <c r="Q519" s="130">
        <v>46026.47891203704</v>
      </c>
      <c r="R519" s="124" t="s">
        <v>107</v>
      </c>
      <c r="S519" s="124" t="s">
        <v>109</v>
      </c>
      <c r="T519" s="124" t="s">
        <v>208</v>
      </c>
      <c r="U519" s="124" t="s">
        <v>228</v>
      </c>
      <c r="V519" s="124" t="s">
        <v>229</v>
      </c>
      <c r="W519" s="124" t="s">
        <v>230</v>
      </c>
      <c r="X519" s="124" t="s">
        <v>120</v>
      </c>
      <c r="Y519" s="128"/>
      <c r="Z519" s="124" t="s">
        <v>120</v>
      </c>
      <c r="AA519" s="128"/>
      <c r="AB519" s="124" t="s">
        <v>120</v>
      </c>
      <c r="AC519" s="128"/>
      <c r="AD519" s="128"/>
      <c r="AE519" s="124" t="s">
        <v>120</v>
      </c>
      <c r="AF519" s="128"/>
      <c r="AG519" s="124" t="s">
        <v>120</v>
      </c>
      <c r="AH519" s="128"/>
      <c r="AI519" s="124" t="s">
        <v>117</v>
      </c>
      <c r="AJ519" s="124" t="s">
        <v>1096</v>
      </c>
      <c r="AK519" s="128"/>
      <c r="AL519" s="124" t="s">
        <v>242</v>
      </c>
      <c r="AM519" s="124" t="s">
        <v>138</v>
      </c>
      <c r="AN519" s="124" t="s">
        <v>126</v>
      </c>
      <c r="AO519" s="124" t="s">
        <v>156</v>
      </c>
      <c r="AP519" s="124"/>
    </row>
    <row r="520">
      <c r="A520" s="124" t="s">
        <v>4444</v>
      </c>
      <c r="B520" s="124" t="s">
        <v>4445</v>
      </c>
      <c r="C520" s="124" t="s">
        <v>4446</v>
      </c>
      <c r="D520" s="127">
        <v>40443.0</v>
      </c>
      <c r="E520" s="124" t="s">
        <v>98</v>
      </c>
      <c r="F520" s="124">
        <v>5.535920289E9</v>
      </c>
      <c r="G520" s="124" t="s">
        <v>4447</v>
      </c>
      <c r="H520" s="124" t="s">
        <v>101</v>
      </c>
      <c r="I520" s="128"/>
      <c r="J520" s="124" t="s">
        <v>4448</v>
      </c>
      <c r="K520" s="124" t="s">
        <v>4447</v>
      </c>
      <c r="L520" s="124">
        <v>5.535920289E9</v>
      </c>
      <c r="M520" s="128"/>
      <c r="N520" s="128"/>
      <c r="O520" s="128"/>
      <c r="P520" s="129">
        <v>15.0</v>
      </c>
      <c r="Q520" s="130">
        <v>46044.89822916667</v>
      </c>
      <c r="R520" s="124" t="s">
        <v>107</v>
      </c>
      <c r="S520" s="124" t="s">
        <v>109</v>
      </c>
      <c r="T520" s="124" t="s">
        <v>160</v>
      </c>
      <c r="U520" s="124" t="s">
        <v>1739</v>
      </c>
      <c r="V520" s="124" t="s">
        <v>1740</v>
      </c>
      <c r="W520" s="124" t="s">
        <v>1741</v>
      </c>
      <c r="X520" s="124" t="s">
        <v>120</v>
      </c>
      <c r="Y520" s="128"/>
      <c r="Z520" s="124" t="s">
        <v>117</v>
      </c>
      <c r="AA520" s="124" t="s">
        <v>4449</v>
      </c>
      <c r="AB520" s="124" t="s">
        <v>120</v>
      </c>
      <c r="AC520" s="128"/>
      <c r="AD520" s="128"/>
      <c r="AE520" s="124" t="s">
        <v>120</v>
      </c>
      <c r="AF520" s="128"/>
      <c r="AG520" s="124" t="s">
        <v>120</v>
      </c>
      <c r="AH520" s="128"/>
      <c r="AI520" s="124" t="s">
        <v>120</v>
      </c>
      <c r="AJ520" s="128"/>
      <c r="AK520" s="128"/>
      <c r="AL520" s="124" t="s">
        <v>129</v>
      </c>
      <c r="AM520" s="124" t="s">
        <v>156</v>
      </c>
      <c r="AN520" s="124" t="s">
        <v>185</v>
      </c>
      <c r="AO520" s="124" t="s">
        <v>124</v>
      </c>
      <c r="AP520" s="124"/>
    </row>
    <row r="521">
      <c r="A521" s="124" t="s">
        <v>4450</v>
      </c>
      <c r="B521" s="124" t="s">
        <v>4451</v>
      </c>
      <c r="C521" s="124" t="s">
        <v>4452</v>
      </c>
      <c r="D521" s="127">
        <v>40389.0</v>
      </c>
      <c r="E521" s="124" t="s">
        <v>177</v>
      </c>
      <c r="F521" s="124">
        <v>5.581248554E9</v>
      </c>
      <c r="G521" s="124" t="s">
        <v>4453</v>
      </c>
      <c r="H521" s="124" t="s">
        <v>382</v>
      </c>
      <c r="I521" s="124" t="s">
        <v>4454</v>
      </c>
      <c r="J521" s="124" t="s">
        <v>115</v>
      </c>
      <c r="K521" s="124" t="s">
        <v>114</v>
      </c>
      <c r="L521" s="124">
        <v>5.511719199E9</v>
      </c>
      <c r="M521" s="124" t="s">
        <v>4254</v>
      </c>
      <c r="N521" s="124" t="s">
        <v>4255</v>
      </c>
      <c r="O521" s="124">
        <v>5.532185818E9</v>
      </c>
      <c r="P521" s="129">
        <v>15.0</v>
      </c>
      <c r="Q521" s="130">
        <v>46035.977430555555</v>
      </c>
      <c r="R521" s="124" t="s">
        <v>107</v>
      </c>
      <c r="S521" s="124" t="s">
        <v>109</v>
      </c>
      <c r="T521" s="124" t="s">
        <v>111</v>
      </c>
      <c r="U521" s="124" t="s">
        <v>112</v>
      </c>
      <c r="V521" s="124" t="s">
        <v>114</v>
      </c>
      <c r="W521" s="124" t="s">
        <v>115</v>
      </c>
      <c r="X521" s="124" t="s">
        <v>120</v>
      </c>
      <c r="Y521" s="128"/>
      <c r="Z521" s="124" t="s">
        <v>120</v>
      </c>
      <c r="AA521" s="128"/>
      <c r="AB521" s="124" t="s">
        <v>120</v>
      </c>
      <c r="AC521" s="128"/>
      <c r="AD521" s="128"/>
      <c r="AE521" s="124" t="s">
        <v>120</v>
      </c>
      <c r="AF521" s="128"/>
      <c r="AG521" s="124" t="s">
        <v>120</v>
      </c>
      <c r="AH521" s="128"/>
      <c r="AI521" s="124" t="s">
        <v>120</v>
      </c>
      <c r="AJ521" s="128"/>
      <c r="AK521" s="128"/>
      <c r="AL521" s="124" t="s">
        <v>126</v>
      </c>
      <c r="AM521" s="124" t="s">
        <v>141</v>
      </c>
      <c r="AN521" s="124" t="s">
        <v>185</v>
      </c>
      <c r="AO521" s="124" t="s">
        <v>240</v>
      </c>
      <c r="AP521" s="124"/>
    </row>
    <row r="522">
      <c r="A522" s="124" t="s">
        <v>2719</v>
      </c>
      <c r="B522" s="124" t="s">
        <v>2720</v>
      </c>
      <c r="C522" s="124" t="s">
        <v>2721</v>
      </c>
      <c r="D522" s="127">
        <v>40274.0</v>
      </c>
      <c r="E522" s="124" t="s">
        <v>98</v>
      </c>
      <c r="F522" s="124">
        <v>5.521860638E9</v>
      </c>
      <c r="G522" s="124" t="s">
        <v>2724</v>
      </c>
      <c r="H522" s="124" t="s">
        <v>101</v>
      </c>
      <c r="I522" s="128"/>
      <c r="J522" s="124" t="s">
        <v>2726</v>
      </c>
      <c r="K522" s="124" t="s">
        <v>2724</v>
      </c>
      <c r="L522" s="124">
        <v>5.561212413E9</v>
      </c>
      <c r="M522" s="128"/>
      <c r="N522" s="128"/>
      <c r="O522" s="128"/>
      <c r="P522" s="129">
        <v>15.0</v>
      </c>
      <c r="Q522" s="130">
        <v>46033.569340277776</v>
      </c>
      <c r="R522" s="124" t="s">
        <v>107</v>
      </c>
      <c r="S522" s="124" t="s">
        <v>109</v>
      </c>
      <c r="T522" s="124" t="s">
        <v>171</v>
      </c>
      <c r="U522" s="124" t="s">
        <v>262</v>
      </c>
      <c r="V522" s="124" t="s">
        <v>263</v>
      </c>
      <c r="W522" s="124" t="s">
        <v>264</v>
      </c>
      <c r="X522" s="124" t="s">
        <v>120</v>
      </c>
      <c r="Y522" s="128"/>
      <c r="Z522" s="124" t="s">
        <v>117</v>
      </c>
      <c r="AA522" s="124" t="s">
        <v>2737</v>
      </c>
      <c r="AB522" s="124" t="s">
        <v>120</v>
      </c>
      <c r="AC522" s="124" t="s">
        <v>120</v>
      </c>
      <c r="AD522" s="128"/>
      <c r="AE522" s="124" t="s">
        <v>120</v>
      </c>
      <c r="AF522" s="128"/>
      <c r="AG522" s="124" t="s">
        <v>117</v>
      </c>
      <c r="AH522" s="124" t="s">
        <v>2738</v>
      </c>
      <c r="AI522" s="124" t="s">
        <v>120</v>
      </c>
      <c r="AJ522" s="128"/>
      <c r="AK522" s="128"/>
      <c r="AL522" s="124" t="s">
        <v>156</v>
      </c>
      <c r="AM522" s="124" t="s">
        <v>124</v>
      </c>
      <c r="AN522" s="124" t="s">
        <v>128</v>
      </c>
      <c r="AO522" s="124" t="s">
        <v>242</v>
      </c>
      <c r="AP522" s="124"/>
    </row>
    <row r="523">
      <c r="A523" s="124" t="s">
        <v>4455</v>
      </c>
      <c r="B523" s="124" t="s">
        <v>3384</v>
      </c>
      <c r="C523" s="124" t="s">
        <v>4456</v>
      </c>
      <c r="D523" s="127">
        <v>39511.0</v>
      </c>
      <c r="E523" s="124" t="s">
        <v>98</v>
      </c>
      <c r="F523" s="124">
        <v>5.529335141E9</v>
      </c>
      <c r="G523" s="124" t="s">
        <v>4457</v>
      </c>
      <c r="H523" s="124" t="s">
        <v>101</v>
      </c>
      <c r="I523" s="124" t="s">
        <v>3491</v>
      </c>
      <c r="J523" s="124" t="s">
        <v>3386</v>
      </c>
      <c r="K523" s="124" t="s">
        <v>3387</v>
      </c>
      <c r="L523" s="124">
        <v>5.591888985E9</v>
      </c>
      <c r="M523" s="124" t="s">
        <v>3388</v>
      </c>
      <c r="N523" s="124" t="s">
        <v>3389</v>
      </c>
      <c r="O523" s="124">
        <v>5.582979154E9</v>
      </c>
      <c r="P523" s="129">
        <v>17.0</v>
      </c>
      <c r="Q523" s="130">
        <v>46038.77355324074</v>
      </c>
      <c r="R523" s="124" t="s">
        <v>107</v>
      </c>
      <c r="S523" s="124" t="s">
        <v>109</v>
      </c>
      <c r="T523" s="124" t="s">
        <v>111</v>
      </c>
      <c r="U523" s="124" t="s">
        <v>112</v>
      </c>
      <c r="V523" s="124" t="s">
        <v>114</v>
      </c>
      <c r="W523" s="124" t="s">
        <v>115</v>
      </c>
      <c r="X523" s="124" t="s">
        <v>120</v>
      </c>
      <c r="Y523" s="128"/>
      <c r="Z523" s="124" t="s">
        <v>120</v>
      </c>
      <c r="AA523" s="128"/>
      <c r="AB523" s="124" t="s">
        <v>120</v>
      </c>
      <c r="AC523" s="128"/>
      <c r="AD523" s="128"/>
      <c r="AE523" s="124" t="s">
        <v>120</v>
      </c>
      <c r="AF523" s="128"/>
      <c r="AG523" s="124" t="s">
        <v>120</v>
      </c>
      <c r="AH523" s="128"/>
      <c r="AI523" s="124" t="s">
        <v>120</v>
      </c>
      <c r="AJ523" s="128"/>
      <c r="AK523" s="128"/>
      <c r="AL523" s="124" t="s">
        <v>185</v>
      </c>
      <c r="AM523" s="124" t="s">
        <v>126</v>
      </c>
      <c r="AN523" s="124" t="s">
        <v>216</v>
      </c>
      <c r="AO523" s="124" t="s">
        <v>129</v>
      </c>
      <c r="AP523" s="124"/>
    </row>
    <row r="524">
      <c r="A524" s="124" t="s">
        <v>4458</v>
      </c>
      <c r="B524" s="124" t="s">
        <v>4459</v>
      </c>
      <c r="C524" s="124" t="s">
        <v>4460</v>
      </c>
      <c r="D524" s="127">
        <v>40359.0</v>
      </c>
      <c r="E524" s="124" t="s">
        <v>98</v>
      </c>
      <c r="F524" s="124">
        <v>2.106652208E9</v>
      </c>
      <c r="G524" s="124" t="s">
        <v>4461</v>
      </c>
      <c r="H524" s="124" t="s">
        <v>150</v>
      </c>
      <c r="I524" s="128"/>
      <c r="J524" s="124" t="s">
        <v>4462</v>
      </c>
      <c r="K524" s="124" t="s">
        <v>4461</v>
      </c>
      <c r="L524" s="124">
        <v>2.105567634E9</v>
      </c>
      <c r="M524" s="128"/>
      <c r="N524" s="128"/>
      <c r="O524" s="128"/>
      <c r="P524" s="129">
        <v>15.0</v>
      </c>
      <c r="Q524" s="130">
        <v>46034.888703703706</v>
      </c>
      <c r="R524" s="124" t="s">
        <v>107</v>
      </c>
      <c r="S524" s="124" t="s">
        <v>109</v>
      </c>
      <c r="T524" s="124" t="s">
        <v>4463</v>
      </c>
      <c r="U524" s="124" t="s">
        <v>4464</v>
      </c>
      <c r="V524" s="124" t="s">
        <v>4465</v>
      </c>
      <c r="W524" s="124" t="s">
        <v>4462</v>
      </c>
      <c r="X524" s="124" t="s">
        <v>120</v>
      </c>
      <c r="Y524" s="128"/>
      <c r="Z524" s="124" t="s">
        <v>120</v>
      </c>
      <c r="AA524" s="128"/>
      <c r="AB524" s="124" t="s">
        <v>120</v>
      </c>
      <c r="AC524" s="124" t="s">
        <v>120</v>
      </c>
      <c r="AD524" s="128"/>
      <c r="AE524" s="124" t="s">
        <v>120</v>
      </c>
      <c r="AF524" s="128"/>
      <c r="AG524" s="124" t="s">
        <v>120</v>
      </c>
      <c r="AH524" s="128"/>
      <c r="AI524" s="124" t="s">
        <v>120</v>
      </c>
      <c r="AJ524" s="128"/>
      <c r="AK524" s="128"/>
      <c r="AL524" s="124" t="s">
        <v>129</v>
      </c>
      <c r="AM524" s="124" t="s">
        <v>126</v>
      </c>
      <c r="AN524" s="124" t="s">
        <v>242</v>
      </c>
      <c r="AO524" s="124" t="s">
        <v>185</v>
      </c>
      <c r="AP524" s="124"/>
    </row>
    <row r="525">
      <c r="A525" s="124" t="s">
        <v>4466</v>
      </c>
      <c r="B525" s="124" t="s">
        <v>3426</v>
      </c>
      <c r="C525" s="124" t="s">
        <v>4467</v>
      </c>
      <c r="D525" s="127">
        <v>39908.0</v>
      </c>
      <c r="E525" s="124" t="s">
        <v>98</v>
      </c>
      <c r="F525" s="124">
        <v>5.538504319E9</v>
      </c>
      <c r="G525" s="124" t="s">
        <v>4468</v>
      </c>
      <c r="H525" s="124" t="s">
        <v>140</v>
      </c>
      <c r="I525" s="128"/>
      <c r="J525" s="124" t="s">
        <v>3429</v>
      </c>
      <c r="K525" s="124" t="s">
        <v>3430</v>
      </c>
      <c r="L525" s="124">
        <v>5.545087029E9</v>
      </c>
      <c r="M525" s="128"/>
      <c r="N525" s="128"/>
      <c r="O525" s="128"/>
      <c r="P525" s="129">
        <v>16.0</v>
      </c>
      <c r="Q525" s="130">
        <v>46033.56559027778</v>
      </c>
      <c r="R525" s="124" t="s">
        <v>107</v>
      </c>
      <c r="S525" s="124" t="s">
        <v>109</v>
      </c>
      <c r="T525" s="124" t="s">
        <v>171</v>
      </c>
      <c r="U525" s="124" t="s">
        <v>262</v>
      </c>
      <c r="V525" s="124" t="s">
        <v>263</v>
      </c>
      <c r="W525" s="124" t="s">
        <v>264</v>
      </c>
      <c r="X525" s="124" t="s">
        <v>120</v>
      </c>
      <c r="Y525" s="128"/>
      <c r="Z525" s="124" t="s">
        <v>120</v>
      </c>
      <c r="AA525" s="128"/>
      <c r="AB525" s="124" t="s">
        <v>120</v>
      </c>
      <c r="AC525" s="128"/>
      <c r="AD525" s="128"/>
      <c r="AE525" s="124" t="s">
        <v>120</v>
      </c>
      <c r="AF525" s="128"/>
      <c r="AG525" s="124" t="s">
        <v>120</v>
      </c>
      <c r="AH525" s="128"/>
      <c r="AI525" s="124" t="s">
        <v>120</v>
      </c>
      <c r="AJ525" s="128"/>
      <c r="AK525" s="128"/>
      <c r="AL525" s="124" t="s">
        <v>126</v>
      </c>
      <c r="AM525" s="124" t="s">
        <v>156</v>
      </c>
      <c r="AN525" s="124" t="s">
        <v>124</v>
      </c>
      <c r="AO525" s="124" t="s">
        <v>129</v>
      </c>
      <c r="AP525" s="124"/>
    </row>
    <row r="526">
      <c r="A526" s="124" t="s">
        <v>2825</v>
      </c>
      <c r="B526" s="124" t="s">
        <v>2828</v>
      </c>
      <c r="C526" s="124" t="s">
        <v>2832</v>
      </c>
      <c r="D526" s="127">
        <v>37003.0</v>
      </c>
      <c r="E526" s="124" t="s">
        <v>177</v>
      </c>
      <c r="F526" s="124">
        <v>5.53737466E9</v>
      </c>
      <c r="G526" s="124" t="s">
        <v>2834</v>
      </c>
      <c r="H526" s="124" t="s">
        <v>101</v>
      </c>
      <c r="I526" s="128"/>
      <c r="J526" s="124" t="s">
        <v>2841</v>
      </c>
      <c r="K526" s="124" t="s">
        <v>2842</v>
      </c>
      <c r="L526" s="124">
        <v>5.5109722E9</v>
      </c>
      <c r="M526" s="128"/>
      <c r="N526" s="128"/>
      <c r="O526" s="128"/>
      <c r="P526" s="129">
        <v>24.0</v>
      </c>
      <c r="Q526" s="130">
        <v>46033.493159722224</v>
      </c>
      <c r="R526" s="124" t="s">
        <v>107</v>
      </c>
      <c r="S526" s="124" t="s">
        <v>125</v>
      </c>
      <c r="T526" s="124" t="s">
        <v>192</v>
      </c>
      <c r="U526" s="124" t="s">
        <v>609</v>
      </c>
      <c r="V526" s="124" t="s">
        <v>611</v>
      </c>
      <c r="W526" s="124" t="s">
        <v>612</v>
      </c>
      <c r="X526" s="124" t="s">
        <v>120</v>
      </c>
      <c r="Y526" s="128"/>
      <c r="Z526" s="124" t="s">
        <v>120</v>
      </c>
      <c r="AA526" s="128"/>
      <c r="AB526" s="124" t="s">
        <v>120</v>
      </c>
      <c r="AC526" s="128"/>
      <c r="AD526" s="128"/>
      <c r="AE526" s="124" t="s">
        <v>120</v>
      </c>
      <c r="AF526" s="128"/>
      <c r="AG526" s="124" t="s">
        <v>120</v>
      </c>
      <c r="AH526" s="128"/>
      <c r="AI526" s="124" t="s">
        <v>120</v>
      </c>
      <c r="AJ526" s="128"/>
      <c r="AK526" s="124" t="s">
        <v>1325</v>
      </c>
      <c r="AL526" s="124" t="s">
        <v>141</v>
      </c>
      <c r="AM526" s="124" t="s">
        <v>129</v>
      </c>
      <c r="AN526" s="124" t="s">
        <v>124</v>
      </c>
      <c r="AO526" s="124" t="s">
        <v>242</v>
      </c>
      <c r="AP526" s="124"/>
    </row>
    <row r="527">
      <c r="A527" s="124" t="s">
        <v>730</v>
      </c>
      <c r="B527" s="124" t="s">
        <v>731</v>
      </c>
      <c r="C527" s="124" t="s">
        <v>732</v>
      </c>
      <c r="D527" s="127">
        <v>40176.0</v>
      </c>
      <c r="E527" s="124" t="s">
        <v>98</v>
      </c>
      <c r="F527" s="124">
        <v>5.517239803E9</v>
      </c>
      <c r="G527" s="124" t="s">
        <v>733</v>
      </c>
      <c r="H527" s="124" t="s">
        <v>382</v>
      </c>
      <c r="I527" s="128"/>
      <c r="J527" s="124" t="s">
        <v>734</v>
      </c>
      <c r="K527" s="124" t="s">
        <v>735</v>
      </c>
      <c r="L527" s="124">
        <v>5.626411034E9</v>
      </c>
      <c r="M527" s="128"/>
      <c r="N527" s="128"/>
      <c r="O527" s="128"/>
      <c r="P527" s="129">
        <v>16.0</v>
      </c>
      <c r="Q527" s="130">
        <v>46039.44241898148</v>
      </c>
      <c r="R527" s="124" t="s">
        <v>107</v>
      </c>
      <c r="S527" s="124" t="s">
        <v>109</v>
      </c>
      <c r="T527" s="124" t="s">
        <v>204</v>
      </c>
      <c r="U527" s="124" t="s">
        <v>295</v>
      </c>
      <c r="V527" s="124" t="s">
        <v>298</v>
      </c>
      <c r="W527" s="124" t="s">
        <v>299</v>
      </c>
      <c r="X527" s="124" t="s">
        <v>117</v>
      </c>
      <c r="Y527" s="128"/>
      <c r="Z527" s="124" t="s">
        <v>120</v>
      </c>
      <c r="AA527" s="128"/>
      <c r="AB527" s="124" t="s">
        <v>120</v>
      </c>
      <c r="AC527" s="128"/>
      <c r="AD527" s="128"/>
      <c r="AE527" s="124" t="s">
        <v>120</v>
      </c>
      <c r="AF527" s="128"/>
      <c r="AG527" s="124" t="s">
        <v>120</v>
      </c>
      <c r="AH527" s="128"/>
      <c r="AI527" s="124" t="s">
        <v>120</v>
      </c>
      <c r="AJ527" s="128"/>
      <c r="AK527" s="128"/>
      <c r="AL527" s="124" t="s">
        <v>129</v>
      </c>
      <c r="AM527" s="124" t="s">
        <v>156</v>
      </c>
      <c r="AN527" s="124" t="s">
        <v>216</v>
      </c>
      <c r="AO527" s="124" t="s">
        <v>124</v>
      </c>
      <c r="AP527" s="124"/>
    </row>
    <row r="528">
      <c r="A528" s="124" t="s">
        <v>2073</v>
      </c>
      <c r="B528" s="124" t="s">
        <v>4469</v>
      </c>
      <c r="C528" s="124" t="s">
        <v>4470</v>
      </c>
      <c r="D528" s="127">
        <v>39962.0</v>
      </c>
      <c r="E528" s="124" t="s">
        <v>177</v>
      </c>
      <c r="F528" s="124">
        <v>5.647337598E9</v>
      </c>
      <c r="G528" s="124" t="s">
        <v>4471</v>
      </c>
      <c r="H528" s="124" t="s">
        <v>101</v>
      </c>
      <c r="I528" s="124" t="s">
        <v>4472</v>
      </c>
      <c r="J528" s="124" t="s">
        <v>4473</v>
      </c>
      <c r="K528" s="124" t="s">
        <v>4474</v>
      </c>
      <c r="L528" s="124">
        <v>5.621209358E9</v>
      </c>
      <c r="M528" s="128"/>
      <c r="N528" s="128"/>
      <c r="O528" s="128"/>
      <c r="P528" s="129">
        <v>16.0</v>
      </c>
      <c r="Q528" s="130">
        <v>46033.631736111114</v>
      </c>
      <c r="R528" s="124" t="s">
        <v>107</v>
      </c>
      <c r="S528" s="124" t="s">
        <v>109</v>
      </c>
      <c r="T528" s="124" t="s">
        <v>160</v>
      </c>
      <c r="U528" s="124" t="s">
        <v>1265</v>
      </c>
      <c r="V528" s="124" t="s">
        <v>1267</v>
      </c>
      <c r="W528" s="124" t="s">
        <v>1268</v>
      </c>
      <c r="X528" s="124" t="s">
        <v>120</v>
      </c>
      <c r="Y528" s="128"/>
      <c r="Z528" s="124" t="s">
        <v>120</v>
      </c>
      <c r="AA528" s="128"/>
      <c r="AB528" s="124" t="s">
        <v>120</v>
      </c>
      <c r="AC528" s="128"/>
      <c r="AD528" s="128"/>
      <c r="AE528" s="124" t="s">
        <v>120</v>
      </c>
      <c r="AF528" s="128"/>
      <c r="AG528" s="124" t="s">
        <v>120</v>
      </c>
      <c r="AH528" s="128"/>
      <c r="AI528" s="124" t="s">
        <v>120</v>
      </c>
      <c r="AJ528" s="128"/>
      <c r="AK528" s="128"/>
      <c r="AL528" s="124" t="s">
        <v>141</v>
      </c>
      <c r="AM528" s="124" t="s">
        <v>129</v>
      </c>
      <c r="AN528" s="124" t="s">
        <v>240</v>
      </c>
      <c r="AO528" s="124" t="s">
        <v>138</v>
      </c>
      <c r="AP528" s="124"/>
    </row>
    <row r="529">
      <c r="A529" s="124" t="s">
        <v>4475</v>
      </c>
      <c r="B529" s="124" t="s">
        <v>4476</v>
      </c>
      <c r="C529" s="124" t="s">
        <v>4477</v>
      </c>
      <c r="D529" s="127">
        <v>40435.0</v>
      </c>
      <c r="E529" s="124" t="s">
        <v>98</v>
      </c>
      <c r="F529" s="124">
        <v>5.633326967E9</v>
      </c>
      <c r="G529" s="124" t="s">
        <v>4478</v>
      </c>
      <c r="H529" s="124" t="s">
        <v>101</v>
      </c>
      <c r="I529" s="124" t="s">
        <v>584</v>
      </c>
      <c r="J529" s="124" t="s">
        <v>4479</v>
      </c>
      <c r="K529" s="124" t="s">
        <v>4480</v>
      </c>
      <c r="L529" s="124">
        <v>5.528566882E9</v>
      </c>
      <c r="M529" s="124" t="s">
        <v>4481</v>
      </c>
      <c r="N529" s="124" t="s">
        <v>4482</v>
      </c>
      <c r="O529" s="124">
        <v>5.611722513E9</v>
      </c>
      <c r="P529" s="129">
        <v>15.0</v>
      </c>
      <c r="Q529" s="130">
        <v>46021.50252314815</v>
      </c>
      <c r="R529" s="124" t="s">
        <v>107</v>
      </c>
      <c r="S529" s="124" t="s">
        <v>109</v>
      </c>
      <c r="T529" s="124" t="s">
        <v>204</v>
      </c>
      <c r="U529" s="124" t="s">
        <v>311</v>
      </c>
      <c r="V529" s="124" t="s">
        <v>312</v>
      </c>
      <c r="W529" s="124" t="s">
        <v>313</v>
      </c>
      <c r="X529" s="124" t="s">
        <v>120</v>
      </c>
      <c r="Y529" s="128"/>
      <c r="Z529" s="124" t="s">
        <v>120</v>
      </c>
      <c r="AA529" s="128"/>
      <c r="AB529" s="124" t="s">
        <v>120</v>
      </c>
      <c r="AC529" s="128"/>
      <c r="AD529" s="128"/>
      <c r="AE529" s="124" t="s">
        <v>120</v>
      </c>
      <c r="AF529" s="128"/>
      <c r="AG529" s="124" t="s">
        <v>120</v>
      </c>
      <c r="AH529" s="128"/>
      <c r="AI529" s="124" t="s">
        <v>120</v>
      </c>
      <c r="AJ529" s="128"/>
      <c r="AK529" s="128"/>
      <c r="AL529" s="124" t="s">
        <v>185</v>
      </c>
      <c r="AM529" s="124" t="s">
        <v>124</v>
      </c>
      <c r="AN529" s="124" t="s">
        <v>129</v>
      </c>
      <c r="AO529" s="124" t="s">
        <v>156</v>
      </c>
      <c r="AP529" s="124"/>
    </row>
    <row r="530">
      <c r="A530" s="124" t="s">
        <v>2200</v>
      </c>
      <c r="B530" s="124" t="s">
        <v>2202</v>
      </c>
      <c r="C530" s="124" t="s">
        <v>2203</v>
      </c>
      <c r="D530" s="127">
        <v>41267.0</v>
      </c>
      <c r="E530" s="124" t="s">
        <v>98</v>
      </c>
      <c r="F530" s="124" t="s">
        <v>2204</v>
      </c>
      <c r="G530" s="124" t="s">
        <v>2205</v>
      </c>
      <c r="H530" s="124" t="s">
        <v>140</v>
      </c>
      <c r="I530" s="128"/>
      <c r="J530" s="124" t="s">
        <v>2206</v>
      </c>
      <c r="K530" s="124" t="s">
        <v>2207</v>
      </c>
      <c r="L530" s="124" t="s">
        <v>2208</v>
      </c>
      <c r="M530" s="128"/>
      <c r="N530" s="128"/>
      <c r="O530" s="128"/>
      <c r="P530" s="129">
        <v>13.0</v>
      </c>
      <c r="Q530" s="130">
        <v>46019.73133101852</v>
      </c>
      <c r="R530" s="124" t="s">
        <v>107</v>
      </c>
      <c r="S530" s="124" t="s">
        <v>109</v>
      </c>
      <c r="T530" s="124" t="s">
        <v>127</v>
      </c>
      <c r="U530" s="124" t="s">
        <v>531</v>
      </c>
      <c r="V530" s="124" t="s">
        <v>532</v>
      </c>
      <c r="W530" s="124" t="s">
        <v>534</v>
      </c>
      <c r="X530" s="124" t="s">
        <v>120</v>
      </c>
      <c r="Y530" s="124" t="s">
        <v>135</v>
      </c>
      <c r="Z530" s="124" t="s">
        <v>120</v>
      </c>
      <c r="AA530" s="124" t="s">
        <v>135</v>
      </c>
      <c r="AB530" s="124" t="s">
        <v>117</v>
      </c>
      <c r="AC530" s="124" t="s">
        <v>117</v>
      </c>
      <c r="AD530" s="124" t="s">
        <v>334</v>
      </c>
      <c r="AE530" s="124" t="s">
        <v>120</v>
      </c>
      <c r="AF530" s="124" t="s">
        <v>2222</v>
      </c>
      <c r="AG530" s="124" t="s">
        <v>120</v>
      </c>
      <c r="AH530" s="124" t="s">
        <v>2222</v>
      </c>
      <c r="AI530" s="124" t="s">
        <v>120</v>
      </c>
      <c r="AJ530" s="124" t="s">
        <v>2222</v>
      </c>
      <c r="AK530" s="124" t="s">
        <v>2222</v>
      </c>
      <c r="AL530" s="124" t="s">
        <v>124</v>
      </c>
      <c r="AM530" s="124" t="s">
        <v>185</v>
      </c>
      <c r="AN530" s="124" t="s">
        <v>242</v>
      </c>
      <c r="AO530" s="124" t="s">
        <v>138</v>
      </c>
      <c r="AP530" s="124"/>
    </row>
    <row r="531">
      <c r="A531" s="124" t="s">
        <v>4483</v>
      </c>
      <c r="B531" s="124" t="s">
        <v>4484</v>
      </c>
      <c r="C531" s="124" t="s">
        <v>4485</v>
      </c>
      <c r="D531" s="127">
        <v>39680.0</v>
      </c>
      <c r="E531" s="124" t="s">
        <v>98</v>
      </c>
      <c r="F531" s="124">
        <v>5.588096278E9</v>
      </c>
      <c r="G531" s="124" t="s">
        <v>4486</v>
      </c>
      <c r="H531" s="124" t="s">
        <v>101</v>
      </c>
      <c r="I531" s="128"/>
      <c r="J531" s="124" t="s">
        <v>4487</v>
      </c>
      <c r="K531" s="124" t="s">
        <v>4486</v>
      </c>
      <c r="L531" s="124">
        <v>5.588096278E9</v>
      </c>
      <c r="M531" s="128"/>
      <c r="N531" s="128"/>
      <c r="O531" s="128"/>
      <c r="P531" s="129">
        <v>17.0</v>
      </c>
      <c r="Q531" s="130">
        <v>46036.8015625</v>
      </c>
      <c r="R531" s="124" t="s">
        <v>107</v>
      </c>
      <c r="S531" s="124" t="s">
        <v>109</v>
      </c>
      <c r="T531" s="124" t="s">
        <v>171</v>
      </c>
      <c r="U531" s="124" t="s">
        <v>2149</v>
      </c>
      <c r="V531" s="124" t="s">
        <v>2141</v>
      </c>
      <c r="W531" s="124" t="s">
        <v>2151</v>
      </c>
      <c r="X531" s="124" t="s">
        <v>120</v>
      </c>
      <c r="Y531" s="128"/>
      <c r="Z531" s="124" t="s">
        <v>120</v>
      </c>
      <c r="AA531" s="128"/>
      <c r="AB531" s="124" t="s">
        <v>120</v>
      </c>
      <c r="AC531" s="124" t="s">
        <v>120</v>
      </c>
      <c r="AD531" s="128"/>
      <c r="AE531" s="124" t="s">
        <v>120</v>
      </c>
      <c r="AF531" s="128"/>
      <c r="AG531" s="124" t="s">
        <v>120</v>
      </c>
      <c r="AH531" s="128"/>
      <c r="AI531" s="124" t="s">
        <v>120</v>
      </c>
      <c r="AJ531" s="128"/>
      <c r="AK531" s="128"/>
      <c r="AL531" s="124" t="s">
        <v>124</v>
      </c>
      <c r="AM531" s="124" t="s">
        <v>128</v>
      </c>
      <c r="AN531" s="124" t="s">
        <v>129</v>
      </c>
      <c r="AO531" s="124" t="s">
        <v>141</v>
      </c>
      <c r="AP531" s="124"/>
    </row>
    <row r="532">
      <c r="A532" s="124" t="s">
        <v>2856</v>
      </c>
      <c r="B532" s="124" t="s">
        <v>2857</v>
      </c>
      <c r="C532" s="124" t="s">
        <v>2858</v>
      </c>
      <c r="D532" s="127">
        <v>33744.0</v>
      </c>
      <c r="E532" s="124" t="s">
        <v>98</v>
      </c>
      <c r="F532" s="124">
        <v>2.461391555E9</v>
      </c>
      <c r="G532" s="124" t="s">
        <v>2859</v>
      </c>
      <c r="H532" s="124" t="s">
        <v>150</v>
      </c>
      <c r="I532" s="128"/>
      <c r="J532" s="124" t="s">
        <v>2860</v>
      </c>
      <c r="K532" s="124" t="s">
        <v>2861</v>
      </c>
      <c r="L532" s="124">
        <v>2.462247006E9</v>
      </c>
      <c r="M532" s="128"/>
      <c r="N532" s="128"/>
      <c r="O532" s="128"/>
      <c r="P532" s="129">
        <v>33.0</v>
      </c>
      <c r="Q532" s="130">
        <v>46040.55253472222</v>
      </c>
      <c r="R532" s="124" t="s">
        <v>546</v>
      </c>
      <c r="S532" s="124" t="s">
        <v>125</v>
      </c>
      <c r="T532" s="124" t="s">
        <v>2862</v>
      </c>
      <c r="U532" s="124" t="s">
        <v>2863</v>
      </c>
      <c r="V532" s="124" t="s">
        <v>2864</v>
      </c>
      <c r="W532" s="124" t="s">
        <v>2865</v>
      </c>
      <c r="X532" s="124" t="s">
        <v>120</v>
      </c>
      <c r="Y532" s="128"/>
      <c r="Z532" s="124" t="s">
        <v>120</v>
      </c>
      <c r="AA532" s="128"/>
      <c r="AB532" s="124" t="s">
        <v>120</v>
      </c>
      <c r="AC532" s="124" t="s">
        <v>120</v>
      </c>
      <c r="AD532" s="128"/>
      <c r="AE532" s="124" t="s">
        <v>120</v>
      </c>
      <c r="AF532" s="128"/>
      <c r="AG532" s="124" t="s">
        <v>120</v>
      </c>
      <c r="AH532" s="128"/>
      <c r="AI532" s="124" t="s">
        <v>120</v>
      </c>
      <c r="AJ532" s="128"/>
      <c r="AK532" s="128"/>
      <c r="AL532" s="124" t="s">
        <v>216</v>
      </c>
      <c r="AM532" s="124" t="s">
        <v>129</v>
      </c>
      <c r="AN532" s="124" t="s">
        <v>138</v>
      </c>
      <c r="AO532" s="124" t="s">
        <v>124</v>
      </c>
      <c r="AP532" s="124"/>
    </row>
    <row r="533">
      <c r="A533" s="124" t="s">
        <v>2087</v>
      </c>
      <c r="B533" s="124" t="s">
        <v>2088</v>
      </c>
      <c r="C533" s="124" t="s">
        <v>2089</v>
      </c>
      <c r="D533" s="127">
        <v>40998.0</v>
      </c>
      <c r="E533" s="124" t="s">
        <v>98</v>
      </c>
      <c r="F533" s="124">
        <v>5.662465364E9</v>
      </c>
      <c r="G533" s="124" t="s">
        <v>2091</v>
      </c>
      <c r="H533" s="124" t="s">
        <v>101</v>
      </c>
      <c r="I533" s="124" t="s">
        <v>2093</v>
      </c>
      <c r="J533" s="124" t="s">
        <v>2094</v>
      </c>
      <c r="K533" s="124" t="s">
        <v>2095</v>
      </c>
      <c r="L533" s="124">
        <v>5.623849054E9</v>
      </c>
      <c r="M533" s="128"/>
      <c r="N533" s="128"/>
      <c r="O533" s="128"/>
      <c r="P533" s="129">
        <v>13.0</v>
      </c>
      <c r="Q533" s="130">
        <v>46038.745787037034</v>
      </c>
      <c r="R533" s="124" t="s">
        <v>107</v>
      </c>
      <c r="S533" s="124" t="s">
        <v>109</v>
      </c>
      <c r="T533" s="124" t="s">
        <v>111</v>
      </c>
      <c r="U533" s="124" t="s">
        <v>1979</v>
      </c>
      <c r="V533" s="124" t="s">
        <v>1980</v>
      </c>
      <c r="W533" s="124" t="s">
        <v>1981</v>
      </c>
      <c r="X533" s="124" t="s">
        <v>120</v>
      </c>
      <c r="Y533" s="128"/>
      <c r="Z533" s="124" t="s">
        <v>120</v>
      </c>
      <c r="AA533" s="128"/>
      <c r="AB533" s="124" t="s">
        <v>120</v>
      </c>
      <c r="AC533" s="128"/>
      <c r="AD533" s="128"/>
      <c r="AE533" s="124" t="s">
        <v>120</v>
      </c>
      <c r="AF533" s="128"/>
      <c r="AG533" s="124" t="s">
        <v>120</v>
      </c>
      <c r="AH533" s="128"/>
      <c r="AI533" s="124" t="s">
        <v>117</v>
      </c>
      <c r="AJ533" s="124" t="s">
        <v>807</v>
      </c>
      <c r="AK533" s="128"/>
      <c r="AL533" s="124" t="s">
        <v>126</v>
      </c>
      <c r="AM533" s="124" t="s">
        <v>124</v>
      </c>
      <c r="AN533" s="124" t="s">
        <v>156</v>
      </c>
      <c r="AO533" s="124" t="s">
        <v>138</v>
      </c>
      <c r="AP533" s="124"/>
    </row>
    <row r="534">
      <c r="A534" s="124" t="s">
        <v>4488</v>
      </c>
      <c r="B534" s="124" t="s">
        <v>4489</v>
      </c>
      <c r="C534" s="124" t="s">
        <v>4490</v>
      </c>
      <c r="D534" s="127">
        <v>41249.0</v>
      </c>
      <c r="E534" s="124" t="s">
        <v>177</v>
      </c>
      <c r="F534" s="124">
        <v>5.661486434E9</v>
      </c>
      <c r="G534" s="124" t="s">
        <v>4491</v>
      </c>
      <c r="H534" s="124" t="s">
        <v>140</v>
      </c>
      <c r="I534" s="128"/>
      <c r="J534" s="124" t="s">
        <v>4492</v>
      </c>
      <c r="K534" s="124" t="s">
        <v>4493</v>
      </c>
      <c r="L534" s="124">
        <v>5.578562571E9</v>
      </c>
      <c r="M534" s="124" t="s">
        <v>4494</v>
      </c>
      <c r="N534" s="124" t="s">
        <v>4495</v>
      </c>
      <c r="O534" s="124">
        <v>5.529601348E9</v>
      </c>
      <c r="P534" s="129">
        <v>13.0</v>
      </c>
      <c r="Q534" s="130">
        <v>46047.61119212963</v>
      </c>
      <c r="R534" s="124" t="s">
        <v>107</v>
      </c>
      <c r="S534" s="124" t="s">
        <v>109</v>
      </c>
      <c r="T534" s="124" t="s">
        <v>127</v>
      </c>
      <c r="U534" s="124" t="s">
        <v>672</v>
      </c>
      <c r="V534" s="124" t="s">
        <v>673</v>
      </c>
      <c r="W534" s="124" t="s">
        <v>674</v>
      </c>
      <c r="X534" s="124" t="s">
        <v>120</v>
      </c>
      <c r="Y534" s="128"/>
      <c r="Z534" s="124" t="s">
        <v>120</v>
      </c>
      <c r="AA534" s="128"/>
      <c r="AB534" s="124" t="s">
        <v>120</v>
      </c>
      <c r="AC534" s="128"/>
      <c r="AD534" s="128"/>
      <c r="AE534" s="124" t="s">
        <v>120</v>
      </c>
      <c r="AF534" s="128"/>
      <c r="AG534" s="124" t="s">
        <v>120</v>
      </c>
      <c r="AH534" s="128"/>
      <c r="AI534" s="124" t="s">
        <v>120</v>
      </c>
      <c r="AJ534" s="128"/>
      <c r="AK534" s="128"/>
      <c r="AL534" s="124" t="s">
        <v>141</v>
      </c>
      <c r="AM534" s="124" t="s">
        <v>156</v>
      </c>
      <c r="AN534" s="124" t="s">
        <v>242</v>
      </c>
      <c r="AO534" s="124" t="s">
        <v>129</v>
      </c>
      <c r="AP534" s="124"/>
    </row>
    <row r="535">
      <c r="A535" s="124" t="s">
        <v>4496</v>
      </c>
      <c r="B535" s="124" t="s">
        <v>4497</v>
      </c>
      <c r="C535" s="124" t="s">
        <v>4498</v>
      </c>
      <c r="D535" s="127">
        <v>40988.0</v>
      </c>
      <c r="E535" s="124" t="s">
        <v>98</v>
      </c>
      <c r="F535" s="124">
        <v>5.583935011E9</v>
      </c>
      <c r="G535" s="124" t="s">
        <v>4499</v>
      </c>
      <c r="H535" s="124" t="s">
        <v>101</v>
      </c>
      <c r="I535" s="128"/>
      <c r="J535" s="124" t="s">
        <v>446</v>
      </c>
      <c r="K535" s="124" t="s">
        <v>4499</v>
      </c>
      <c r="L535" s="124">
        <v>5.583935011E9</v>
      </c>
      <c r="M535" s="124" t="s">
        <v>4500</v>
      </c>
      <c r="N535" s="124" t="s">
        <v>4501</v>
      </c>
      <c r="O535" s="124">
        <v>5.561798717E9</v>
      </c>
      <c r="P535" s="129">
        <v>13.0</v>
      </c>
      <c r="Q535" s="130">
        <v>46039.94981481481</v>
      </c>
      <c r="R535" s="124" t="s">
        <v>107</v>
      </c>
      <c r="S535" s="124" t="s">
        <v>109</v>
      </c>
      <c r="T535" s="124" t="s">
        <v>171</v>
      </c>
      <c r="U535" s="124" t="s">
        <v>444</v>
      </c>
      <c r="V535" s="124" t="s">
        <v>445</v>
      </c>
      <c r="W535" s="124" t="s">
        <v>446</v>
      </c>
      <c r="X535" s="124" t="s">
        <v>120</v>
      </c>
      <c r="Y535" s="128"/>
      <c r="Z535" s="124" t="s">
        <v>120</v>
      </c>
      <c r="AA535" s="128"/>
      <c r="AB535" s="124" t="s">
        <v>120</v>
      </c>
      <c r="AC535" s="128"/>
      <c r="AD535" s="128"/>
      <c r="AE535" s="124" t="s">
        <v>120</v>
      </c>
      <c r="AF535" s="128"/>
      <c r="AG535" s="124" t="s">
        <v>120</v>
      </c>
      <c r="AH535" s="128"/>
      <c r="AI535" s="124" t="s">
        <v>120</v>
      </c>
      <c r="AJ535" s="128"/>
      <c r="AK535" s="128"/>
      <c r="AL535" s="124" t="s">
        <v>185</v>
      </c>
      <c r="AM535" s="124" t="s">
        <v>240</v>
      </c>
      <c r="AN535" s="124" t="s">
        <v>156</v>
      </c>
      <c r="AO535" s="124" t="s">
        <v>138</v>
      </c>
      <c r="AP535" s="124"/>
    </row>
    <row r="536">
      <c r="A536" s="124" t="s">
        <v>660</v>
      </c>
      <c r="B536" s="124" t="s">
        <v>663</v>
      </c>
      <c r="C536" s="124" t="s">
        <v>665</v>
      </c>
      <c r="D536" s="127">
        <v>39569.0</v>
      </c>
      <c r="E536" s="124" t="s">
        <v>177</v>
      </c>
      <c r="F536" s="124">
        <v>5.512167565E9</v>
      </c>
      <c r="G536" s="124" t="s">
        <v>668</v>
      </c>
      <c r="H536" s="124" t="s">
        <v>150</v>
      </c>
      <c r="I536" s="124" t="s">
        <v>135</v>
      </c>
      <c r="J536" s="124" t="s">
        <v>669</v>
      </c>
      <c r="K536" s="124" t="s">
        <v>670</v>
      </c>
      <c r="L536" s="124">
        <v>5.523287678E9</v>
      </c>
      <c r="M536" s="128"/>
      <c r="N536" s="128"/>
      <c r="O536" s="128"/>
      <c r="P536" s="129">
        <v>17.0</v>
      </c>
      <c r="Q536" s="130">
        <v>46024.72972222222</v>
      </c>
      <c r="R536" s="124" t="s">
        <v>107</v>
      </c>
      <c r="S536" s="124" t="s">
        <v>109</v>
      </c>
      <c r="T536" s="124" t="s">
        <v>127</v>
      </c>
      <c r="U536" s="124" t="s">
        <v>672</v>
      </c>
      <c r="V536" s="124" t="s">
        <v>673</v>
      </c>
      <c r="W536" s="124" t="s">
        <v>674</v>
      </c>
      <c r="X536" s="124" t="s">
        <v>117</v>
      </c>
      <c r="Y536" s="128"/>
      <c r="Z536" s="124" t="s">
        <v>117</v>
      </c>
      <c r="AA536" s="128"/>
      <c r="AB536" s="124" t="s">
        <v>117</v>
      </c>
      <c r="AC536" s="124" t="s">
        <v>117</v>
      </c>
      <c r="AD536" s="128"/>
      <c r="AE536" s="124" t="s">
        <v>117</v>
      </c>
      <c r="AF536" s="128"/>
      <c r="AG536" s="124" t="s">
        <v>117</v>
      </c>
      <c r="AH536" s="128"/>
      <c r="AI536" s="124" t="s">
        <v>117</v>
      </c>
      <c r="AJ536" s="128"/>
      <c r="AK536" s="128"/>
      <c r="AL536" s="124" t="s">
        <v>129</v>
      </c>
      <c r="AM536" s="124" t="s">
        <v>129</v>
      </c>
      <c r="AN536" s="124" t="s">
        <v>138</v>
      </c>
      <c r="AO536" s="124" t="s">
        <v>156</v>
      </c>
      <c r="AP536" s="124"/>
    </row>
    <row r="537">
      <c r="A537" s="124" t="s">
        <v>4502</v>
      </c>
      <c r="B537" s="124" t="s">
        <v>4503</v>
      </c>
      <c r="C537" s="128"/>
      <c r="D537" s="127">
        <v>40841.0</v>
      </c>
      <c r="E537" s="124" t="s">
        <v>98</v>
      </c>
      <c r="F537" s="124">
        <v>5.564195753E9</v>
      </c>
      <c r="G537" s="124" t="s">
        <v>789</v>
      </c>
      <c r="H537" s="124" t="s">
        <v>101</v>
      </c>
      <c r="I537" s="124" t="s">
        <v>135</v>
      </c>
      <c r="J537" s="124" t="s">
        <v>4504</v>
      </c>
      <c r="K537" s="124" t="s">
        <v>4505</v>
      </c>
      <c r="L537" s="124">
        <v>9.98492326E9</v>
      </c>
      <c r="M537" s="128"/>
      <c r="N537" s="128"/>
      <c r="O537" s="128"/>
      <c r="P537" s="129">
        <v>14.0</v>
      </c>
      <c r="Q537" s="130">
        <v>46039.798472222225</v>
      </c>
      <c r="R537" s="124" t="s">
        <v>107</v>
      </c>
      <c r="S537" s="124" t="s">
        <v>109</v>
      </c>
      <c r="T537" s="124" t="s">
        <v>208</v>
      </c>
      <c r="U537" s="124" t="s">
        <v>788</v>
      </c>
      <c r="V537" s="124" t="s">
        <v>789</v>
      </c>
      <c r="W537" s="124" t="s">
        <v>790</v>
      </c>
      <c r="X537" s="124" t="s">
        <v>120</v>
      </c>
      <c r="Y537" s="128"/>
      <c r="Z537" s="124" t="s">
        <v>120</v>
      </c>
      <c r="AA537" s="128"/>
      <c r="AB537" s="124" t="s">
        <v>120</v>
      </c>
      <c r="AC537" s="124" t="s">
        <v>120</v>
      </c>
      <c r="AD537" s="128"/>
      <c r="AE537" s="124" t="s">
        <v>120</v>
      </c>
      <c r="AF537" s="128"/>
      <c r="AG537" s="124" t="s">
        <v>120</v>
      </c>
      <c r="AH537" s="128"/>
      <c r="AI537" s="124" t="s">
        <v>120</v>
      </c>
      <c r="AJ537" s="128"/>
      <c r="AK537" s="128"/>
      <c r="AL537" s="124" t="s">
        <v>156</v>
      </c>
      <c r="AM537" s="124" t="s">
        <v>138</v>
      </c>
      <c r="AN537" s="124" t="s">
        <v>126</v>
      </c>
      <c r="AO537" s="124" t="s">
        <v>128</v>
      </c>
      <c r="AP537" s="124"/>
    </row>
    <row r="538">
      <c r="A538" s="124" t="s">
        <v>4506</v>
      </c>
      <c r="B538" s="124" t="s">
        <v>4507</v>
      </c>
      <c r="C538" s="124" t="s">
        <v>4508</v>
      </c>
      <c r="D538" s="127">
        <v>40597.0</v>
      </c>
      <c r="E538" s="124" t="s">
        <v>177</v>
      </c>
      <c r="F538" s="124">
        <v>5.559409752E9</v>
      </c>
      <c r="G538" s="124" t="s">
        <v>4509</v>
      </c>
      <c r="H538" s="124" t="s">
        <v>150</v>
      </c>
      <c r="I538" s="124" t="s">
        <v>135</v>
      </c>
      <c r="J538" s="124" t="s">
        <v>4510</v>
      </c>
      <c r="K538" s="124" t="s">
        <v>4509</v>
      </c>
      <c r="L538" s="124">
        <v>5.559409752E9</v>
      </c>
      <c r="M538" s="124" t="s">
        <v>4511</v>
      </c>
      <c r="N538" s="124" t="s">
        <v>4512</v>
      </c>
      <c r="O538" s="124">
        <v>5.528900445E9</v>
      </c>
      <c r="P538" s="129">
        <v>15.0</v>
      </c>
      <c r="Q538" s="130">
        <v>46024.73274305555</v>
      </c>
      <c r="R538" s="124" t="s">
        <v>107</v>
      </c>
      <c r="S538" s="124" t="s">
        <v>109</v>
      </c>
      <c r="T538" s="124" t="s">
        <v>127</v>
      </c>
      <c r="U538" s="124" t="s">
        <v>672</v>
      </c>
      <c r="V538" s="124" t="s">
        <v>673</v>
      </c>
      <c r="W538" s="124" t="s">
        <v>674</v>
      </c>
      <c r="X538" s="124" t="s">
        <v>120</v>
      </c>
      <c r="Y538" s="124" t="s">
        <v>4513</v>
      </c>
      <c r="Z538" s="124" t="s">
        <v>120</v>
      </c>
      <c r="AA538" s="128"/>
      <c r="AB538" s="124" t="s">
        <v>120</v>
      </c>
      <c r="AC538" s="124" t="s">
        <v>120</v>
      </c>
      <c r="AD538" s="128"/>
      <c r="AE538" s="124" t="s">
        <v>120</v>
      </c>
      <c r="AF538" s="128"/>
      <c r="AG538" s="124" t="s">
        <v>120</v>
      </c>
      <c r="AH538" s="128"/>
      <c r="AI538" s="124" t="s">
        <v>120</v>
      </c>
      <c r="AJ538" s="128"/>
      <c r="AK538" s="128"/>
      <c r="AL538" s="124" t="s">
        <v>156</v>
      </c>
      <c r="AM538" s="124" t="s">
        <v>185</v>
      </c>
      <c r="AN538" s="124" t="s">
        <v>124</v>
      </c>
      <c r="AO538" s="124" t="s">
        <v>129</v>
      </c>
      <c r="AP538" s="124"/>
    </row>
    <row r="539">
      <c r="A539" s="124" t="s">
        <v>2743</v>
      </c>
      <c r="B539" s="124" t="s">
        <v>2746</v>
      </c>
      <c r="C539" s="124" t="s">
        <v>2748</v>
      </c>
      <c r="D539" s="127">
        <v>40003.0</v>
      </c>
      <c r="E539" s="124" t="s">
        <v>98</v>
      </c>
      <c r="F539" s="124" t="s">
        <v>2754</v>
      </c>
      <c r="G539" s="124" t="s">
        <v>2755</v>
      </c>
      <c r="H539" s="124" t="s">
        <v>101</v>
      </c>
      <c r="I539" s="128"/>
      <c r="J539" s="124" t="s">
        <v>2756</v>
      </c>
      <c r="K539" s="124" t="s">
        <v>2757</v>
      </c>
      <c r="L539" s="124">
        <v>5.520777186E9</v>
      </c>
      <c r="M539" s="128"/>
      <c r="N539" s="128"/>
      <c r="O539" s="128"/>
      <c r="P539" s="129">
        <v>16.0</v>
      </c>
      <c r="Q539" s="130">
        <v>46022.605462962965</v>
      </c>
      <c r="R539" s="124" t="s">
        <v>107</v>
      </c>
      <c r="S539" s="124" t="s">
        <v>109</v>
      </c>
      <c r="T539" s="124" t="s">
        <v>192</v>
      </c>
      <c r="U539" s="124" t="s">
        <v>749</v>
      </c>
      <c r="V539" s="124" t="s">
        <v>750</v>
      </c>
      <c r="W539" s="124" t="s">
        <v>751</v>
      </c>
      <c r="X539" s="124" t="s">
        <v>120</v>
      </c>
      <c r="Y539" s="128"/>
      <c r="Z539" s="124" t="s">
        <v>120</v>
      </c>
      <c r="AA539" s="128"/>
      <c r="AB539" s="124" t="s">
        <v>120</v>
      </c>
      <c r="AC539" s="128"/>
      <c r="AD539" s="128"/>
      <c r="AE539" s="124" t="s">
        <v>120</v>
      </c>
      <c r="AF539" s="128"/>
      <c r="AG539" s="124" t="s">
        <v>117</v>
      </c>
      <c r="AH539" s="124" t="s">
        <v>2762</v>
      </c>
      <c r="AI539" s="124" t="s">
        <v>120</v>
      </c>
      <c r="AJ539" s="128"/>
      <c r="AK539" s="128"/>
      <c r="AL539" s="124" t="s">
        <v>156</v>
      </c>
      <c r="AM539" s="124" t="s">
        <v>185</v>
      </c>
      <c r="AN539" s="124" t="s">
        <v>138</v>
      </c>
      <c r="AO539" s="124" t="s">
        <v>126</v>
      </c>
      <c r="AP539" s="124"/>
    </row>
    <row r="540">
      <c r="A540" s="124" t="s">
        <v>1061</v>
      </c>
      <c r="B540" s="124" t="s">
        <v>1063</v>
      </c>
      <c r="C540" s="124" t="s">
        <v>1065</v>
      </c>
      <c r="D540" s="127">
        <v>39817.0</v>
      </c>
      <c r="E540" s="124" t="s">
        <v>177</v>
      </c>
      <c r="F540" s="124">
        <v>5.566664013E9</v>
      </c>
      <c r="G540" s="124" t="s">
        <v>1072</v>
      </c>
      <c r="H540" s="124" t="s">
        <v>101</v>
      </c>
      <c r="I540" s="124" t="s">
        <v>1074</v>
      </c>
      <c r="J540" s="124" t="s">
        <v>1076</v>
      </c>
      <c r="K540" s="124" t="s">
        <v>1072</v>
      </c>
      <c r="L540" s="124">
        <v>5.566664013E9</v>
      </c>
      <c r="M540" s="124" t="s">
        <v>1078</v>
      </c>
      <c r="N540" s="124" t="s">
        <v>1079</v>
      </c>
      <c r="O540" s="124">
        <v>5.576102705E9</v>
      </c>
      <c r="P540" s="129">
        <v>17.0</v>
      </c>
      <c r="Q540" s="130">
        <v>46018.91241898148</v>
      </c>
      <c r="R540" s="124" t="s">
        <v>107</v>
      </c>
      <c r="S540" s="124" t="s">
        <v>109</v>
      </c>
      <c r="T540" s="124" t="s">
        <v>127</v>
      </c>
      <c r="U540" s="124" t="s">
        <v>672</v>
      </c>
      <c r="V540" s="124" t="s">
        <v>673</v>
      </c>
      <c r="W540" s="124" t="s">
        <v>674</v>
      </c>
      <c r="X540" s="124" t="s">
        <v>120</v>
      </c>
      <c r="Y540" s="128"/>
      <c r="Z540" s="124" t="s">
        <v>117</v>
      </c>
      <c r="AA540" s="124" t="s">
        <v>1090</v>
      </c>
      <c r="AB540" s="124" t="s">
        <v>120</v>
      </c>
      <c r="AC540" s="128"/>
      <c r="AD540" s="128"/>
      <c r="AE540" s="124" t="s">
        <v>120</v>
      </c>
      <c r="AF540" s="128"/>
      <c r="AG540" s="124" t="s">
        <v>120</v>
      </c>
      <c r="AH540" s="128"/>
      <c r="AI540" s="124" t="s">
        <v>117</v>
      </c>
      <c r="AJ540" s="124" t="s">
        <v>1096</v>
      </c>
      <c r="AK540" s="124" t="s">
        <v>1098</v>
      </c>
      <c r="AL540" s="124" t="s">
        <v>185</v>
      </c>
      <c r="AM540" s="124" t="s">
        <v>240</v>
      </c>
      <c r="AN540" s="124" t="s">
        <v>138</v>
      </c>
      <c r="AO540" s="124" t="s">
        <v>242</v>
      </c>
      <c r="AP540" s="124"/>
    </row>
    <row r="541">
      <c r="A541" s="124" t="s">
        <v>4514</v>
      </c>
      <c r="B541" s="124" t="s">
        <v>2643</v>
      </c>
      <c r="C541" s="124" t="s">
        <v>4515</v>
      </c>
      <c r="D541" s="127">
        <v>39715.0</v>
      </c>
      <c r="E541" s="124" t="s">
        <v>177</v>
      </c>
      <c r="F541" s="124">
        <v>5.545993258E9</v>
      </c>
      <c r="G541" s="124" t="s">
        <v>4516</v>
      </c>
      <c r="H541" s="124" t="s">
        <v>101</v>
      </c>
      <c r="I541" s="128"/>
      <c r="J541" s="124" t="s">
        <v>2652</v>
      </c>
      <c r="K541" s="124" t="s">
        <v>2653</v>
      </c>
      <c r="L541" s="124">
        <v>5.545993258E9</v>
      </c>
      <c r="M541" s="128"/>
      <c r="N541" s="128"/>
      <c r="O541" s="128"/>
      <c r="P541" s="129">
        <v>17.0</v>
      </c>
      <c r="Q541" s="130">
        <v>46040.63799768518</v>
      </c>
      <c r="R541" s="124" t="s">
        <v>107</v>
      </c>
      <c r="S541" s="124" t="s">
        <v>109</v>
      </c>
      <c r="T541" s="124" t="s">
        <v>192</v>
      </c>
      <c r="U541" s="124" t="s">
        <v>485</v>
      </c>
      <c r="V541" s="124" t="s">
        <v>486</v>
      </c>
      <c r="W541" s="124" t="s">
        <v>487</v>
      </c>
      <c r="X541" s="124" t="s">
        <v>120</v>
      </c>
      <c r="Y541" s="128"/>
      <c r="Z541" s="124" t="s">
        <v>120</v>
      </c>
      <c r="AA541" s="128"/>
      <c r="AB541" s="124" t="s">
        <v>120</v>
      </c>
      <c r="AC541" s="128"/>
      <c r="AD541" s="128"/>
      <c r="AE541" s="124" t="s">
        <v>120</v>
      </c>
      <c r="AF541" s="128"/>
      <c r="AG541" s="124" t="s">
        <v>120</v>
      </c>
      <c r="AH541" s="128"/>
      <c r="AI541" s="124" t="s">
        <v>120</v>
      </c>
      <c r="AJ541" s="128"/>
      <c r="AK541" s="128"/>
      <c r="AL541" s="124" t="s">
        <v>242</v>
      </c>
      <c r="AM541" s="124" t="s">
        <v>138</v>
      </c>
      <c r="AN541" s="124" t="s">
        <v>129</v>
      </c>
      <c r="AO541" s="124" t="s">
        <v>216</v>
      </c>
      <c r="AP541" s="124"/>
    </row>
    <row r="542">
      <c r="A542" s="124" t="s">
        <v>1376</v>
      </c>
      <c r="B542" s="124" t="s">
        <v>1378</v>
      </c>
      <c r="C542" s="124" t="s">
        <v>1381</v>
      </c>
      <c r="D542" s="127">
        <v>40081.0</v>
      </c>
      <c r="E542" s="124" t="s">
        <v>177</v>
      </c>
      <c r="F542" s="124">
        <v>5.563186578E9</v>
      </c>
      <c r="G542" s="124" t="s">
        <v>1385</v>
      </c>
      <c r="H542" s="124" t="s">
        <v>150</v>
      </c>
      <c r="I542" s="124" t="s">
        <v>1387</v>
      </c>
      <c r="J542" s="124" t="s">
        <v>1389</v>
      </c>
      <c r="K542" s="124" t="s">
        <v>1390</v>
      </c>
      <c r="L542" s="124">
        <v>5.530415126E9</v>
      </c>
      <c r="M542" s="128"/>
      <c r="N542" s="128"/>
      <c r="O542" s="128"/>
      <c r="P542" s="129">
        <v>16.0</v>
      </c>
      <c r="Q542" s="130">
        <v>46033.92826388889</v>
      </c>
      <c r="R542" s="124" t="s">
        <v>107</v>
      </c>
      <c r="S542" s="124" t="s">
        <v>109</v>
      </c>
      <c r="T542" s="124" t="s">
        <v>171</v>
      </c>
      <c r="U542" s="124" t="s">
        <v>1048</v>
      </c>
      <c r="V542" s="124" t="s">
        <v>1050</v>
      </c>
      <c r="W542" s="124" t="s">
        <v>1051</v>
      </c>
      <c r="X542" s="124" t="s">
        <v>120</v>
      </c>
      <c r="Y542" s="128"/>
      <c r="Z542" s="124" t="s">
        <v>117</v>
      </c>
      <c r="AA542" s="124" t="s">
        <v>1396</v>
      </c>
      <c r="AB542" s="124" t="s">
        <v>117</v>
      </c>
      <c r="AC542" s="124" t="s">
        <v>117</v>
      </c>
      <c r="AD542" s="124" t="s">
        <v>1399</v>
      </c>
      <c r="AE542" s="124" t="s">
        <v>120</v>
      </c>
      <c r="AF542" s="128"/>
      <c r="AG542" s="124" t="s">
        <v>120</v>
      </c>
      <c r="AH542" s="128"/>
      <c r="AI542" s="124" t="s">
        <v>120</v>
      </c>
      <c r="AJ542" s="128"/>
      <c r="AK542" s="124" t="s">
        <v>1325</v>
      </c>
      <c r="AL542" s="124" t="s">
        <v>129</v>
      </c>
      <c r="AM542" s="124" t="s">
        <v>185</v>
      </c>
      <c r="AN542" s="124" t="s">
        <v>124</v>
      </c>
      <c r="AO542" s="124" t="s">
        <v>138</v>
      </c>
      <c r="AP542" s="124"/>
    </row>
    <row r="543">
      <c r="A543" s="124" t="s">
        <v>2866</v>
      </c>
      <c r="B543" s="124" t="s">
        <v>2867</v>
      </c>
      <c r="C543" s="124" t="s">
        <v>2868</v>
      </c>
      <c r="D543" s="127">
        <v>37050.0</v>
      </c>
      <c r="E543" s="124" t="s">
        <v>98</v>
      </c>
      <c r="F543" s="124">
        <v>5.617839247E9</v>
      </c>
      <c r="G543" s="124" t="s">
        <v>2869</v>
      </c>
      <c r="H543" s="124" t="s">
        <v>150</v>
      </c>
      <c r="I543" s="128"/>
      <c r="J543" s="124" t="s">
        <v>2871</v>
      </c>
      <c r="K543" s="124" t="s">
        <v>2872</v>
      </c>
      <c r="L543" s="124" t="s">
        <v>2873</v>
      </c>
      <c r="M543" s="128"/>
      <c r="N543" s="128"/>
      <c r="O543" s="128"/>
      <c r="P543" s="129">
        <v>24.0</v>
      </c>
      <c r="Q543" s="130">
        <v>46026.317407407405</v>
      </c>
      <c r="R543" s="124" t="s">
        <v>107</v>
      </c>
      <c r="S543" s="124" t="s">
        <v>125</v>
      </c>
      <c r="T543" s="124" t="s">
        <v>204</v>
      </c>
      <c r="U543" s="124" t="s">
        <v>367</v>
      </c>
      <c r="V543" s="124" t="s">
        <v>368</v>
      </c>
      <c r="W543" s="124" t="s">
        <v>369</v>
      </c>
      <c r="X543" s="124" t="s">
        <v>120</v>
      </c>
      <c r="Y543" s="128"/>
      <c r="Z543" s="124" t="s">
        <v>120</v>
      </c>
      <c r="AA543" s="128"/>
      <c r="AB543" s="124" t="s">
        <v>120</v>
      </c>
      <c r="AC543" s="128"/>
      <c r="AD543" s="128"/>
      <c r="AE543" s="124" t="s">
        <v>120</v>
      </c>
      <c r="AF543" s="128"/>
      <c r="AG543" s="124" t="s">
        <v>120</v>
      </c>
      <c r="AH543" s="128"/>
      <c r="AI543" s="124" t="s">
        <v>120</v>
      </c>
      <c r="AJ543" s="128"/>
      <c r="AK543" s="128"/>
      <c r="AL543" s="124" t="s">
        <v>156</v>
      </c>
      <c r="AM543" s="124" t="s">
        <v>216</v>
      </c>
      <c r="AN543" s="124" t="s">
        <v>124</v>
      </c>
      <c r="AO543" s="124" t="s">
        <v>138</v>
      </c>
      <c r="AP543" s="124"/>
    </row>
    <row r="544">
      <c r="A544" s="124" t="s">
        <v>4517</v>
      </c>
      <c r="B544" s="124" t="s">
        <v>4518</v>
      </c>
      <c r="C544" s="128"/>
      <c r="D544" s="127">
        <v>39658.0</v>
      </c>
      <c r="E544" s="124" t="s">
        <v>98</v>
      </c>
      <c r="F544" s="124">
        <v>5.581603029E9</v>
      </c>
      <c r="G544" s="124" t="s">
        <v>4519</v>
      </c>
      <c r="H544" s="124" t="s">
        <v>140</v>
      </c>
      <c r="I544" s="128"/>
      <c r="J544" s="124" t="s">
        <v>4520</v>
      </c>
      <c r="K544" s="124" t="s">
        <v>4521</v>
      </c>
      <c r="L544" s="124">
        <v>5.564152314E9</v>
      </c>
      <c r="M544" s="124" t="s">
        <v>4522</v>
      </c>
      <c r="N544" s="124" t="s">
        <v>4523</v>
      </c>
      <c r="O544" s="124">
        <v>5.612974702E9</v>
      </c>
      <c r="P544" s="129">
        <v>17.0</v>
      </c>
      <c r="Q544" s="130">
        <v>46035.733449074076</v>
      </c>
      <c r="R544" s="124" t="s">
        <v>107</v>
      </c>
      <c r="S544" s="124" t="s">
        <v>109</v>
      </c>
      <c r="T544" s="124" t="s">
        <v>208</v>
      </c>
      <c r="U544" s="124" t="s">
        <v>209</v>
      </c>
      <c r="V544" s="124" t="s">
        <v>210</v>
      </c>
      <c r="W544" s="124" t="s">
        <v>211</v>
      </c>
      <c r="X544" s="124" t="s">
        <v>120</v>
      </c>
      <c r="Y544" s="128"/>
      <c r="Z544" s="124" t="s">
        <v>117</v>
      </c>
      <c r="AA544" s="124" t="s">
        <v>4524</v>
      </c>
      <c r="AB544" s="124" t="s">
        <v>120</v>
      </c>
      <c r="AC544" s="128"/>
      <c r="AD544" s="128"/>
      <c r="AE544" s="124" t="s">
        <v>120</v>
      </c>
      <c r="AF544" s="128"/>
      <c r="AG544" s="124" t="s">
        <v>120</v>
      </c>
      <c r="AH544" s="128"/>
      <c r="AI544" s="124" t="s">
        <v>120</v>
      </c>
      <c r="AJ544" s="128"/>
      <c r="AK544" s="128"/>
      <c r="AL544" s="124" t="s">
        <v>141</v>
      </c>
      <c r="AM544" s="124" t="s">
        <v>185</v>
      </c>
      <c r="AN544" s="124" t="s">
        <v>124</v>
      </c>
      <c r="AO544" s="124" t="s">
        <v>126</v>
      </c>
      <c r="AP544" s="124"/>
    </row>
    <row r="545">
      <c r="A545" s="124" t="s">
        <v>4525</v>
      </c>
      <c r="B545" s="124" t="s">
        <v>4526</v>
      </c>
      <c r="C545" s="124" t="s">
        <v>4527</v>
      </c>
      <c r="D545" s="127">
        <v>40859.0</v>
      </c>
      <c r="E545" s="124" t="s">
        <v>98</v>
      </c>
      <c r="F545" s="124">
        <v>5.571769419E9</v>
      </c>
      <c r="G545" s="124" t="s">
        <v>4528</v>
      </c>
      <c r="H545" s="124" t="s">
        <v>140</v>
      </c>
      <c r="I545" s="128"/>
      <c r="J545" s="124" t="s">
        <v>3932</v>
      </c>
      <c r="K545" s="124" t="s">
        <v>3933</v>
      </c>
      <c r="L545" s="124">
        <v>5.515373729E9</v>
      </c>
      <c r="M545" s="128"/>
      <c r="N545" s="128"/>
      <c r="O545" s="128"/>
      <c r="P545" s="129">
        <v>14.0</v>
      </c>
      <c r="Q545" s="130">
        <v>46026.498703703706</v>
      </c>
      <c r="R545" s="124" t="s">
        <v>107</v>
      </c>
      <c r="S545" s="124" t="s">
        <v>109</v>
      </c>
      <c r="T545" s="124" t="s">
        <v>160</v>
      </c>
      <c r="U545" s="124" t="s">
        <v>308</v>
      </c>
      <c r="V545" s="124" t="s">
        <v>309</v>
      </c>
      <c r="W545" s="124" t="s">
        <v>310</v>
      </c>
      <c r="X545" s="124" t="s">
        <v>120</v>
      </c>
      <c r="Y545" s="128"/>
      <c r="Z545" s="124" t="s">
        <v>120</v>
      </c>
      <c r="AA545" s="128"/>
      <c r="AB545" s="124" t="s">
        <v>120</v>
      </c>
      <c r="AC545" s="128"/>
      <c r="AD545" s="128"/>
      <c r="AE545" s="124" t="s">
        <v>120</v>
      </c>
      <c r="AF545" s="128"/>
      <c r="AG545" s="124" t="s">
        <v>120</v>
      </c>
      <c r="AH545" s="128"/>
      <c r="AI545" s="124" t="s">
        <v>120</v>
      </c>
      <c r="AJ545" s="128"/>
      <c r="AK545" s="128"/>
      <c r="AL545" s="124" t="s">
        <v>156</v>
      </c>
      <c r="AM545" s="124" t="s">
        <v>138</v>
      </c>
      <c r="AN545" s="124" t="s">
        <v>242</v>
      </c>
      <c r="AO545" s="124" t="s">
        <v>141</v>
      </c>
      <c r="AP545" s="124"/>
    </row>
    <row r="546">
      <c r="A546" s="124" t="s">
        <v>2107</v>
      </c>
      <c r="B546" s="124" t="s">
        <v>2109</v>
      </c>
      <c r="C546" s="124" t="s">
        <v>2110</v>
      </c>
      <c r="D546" s="127">
        <v>39501.0</v>
      </c>
      <c r="E546" s="124" t="s">
        <v>177</v>
      </c>
      <c r="F546" s="124">
        <v>5.647514006E9</v>
      </c>
      <c r="G546" s="124" t="s">
        <v>2111</v>
      </c>
      <c r="H546" s="124" t="s">
        <v>101</v>
      </c>
      <c r="I546" s="128"/>
      <c r="J546" s="124" t="s">
        <v>2113</v>
      </c>
      <c r="K546" s="124" t="s">
        <v>2114</v>
      </c>
      <c r="L546" s="124">
        <v>5.531576762E9</v>
      </c>
      <c r="M546" s="128"/>
      <c r="N546" s="128"/>
      <c r="O546" s="128"/>
      <c r="P546" s="129">
        <v>18.0</v>
      </c>
      <c r="Q546" s="130">
        <v>46033.43136574074</v>
      </c>
      <c r="R546" s="124" t="s">
        <v>107</v>
      </c>
      <c r="S546" s="124" t="s">
        <v>109</v>
      </c>
      <c r="T546" s="124" t="s">
        <v>127</v>
      </c>
      <c r="U546" s="124" t="s">
        <v>130</v>
      </c>
      <c r="V546" s="124" t="s">
        <v>131</v>
      </c>
      <c r="W546" s="124" t="s">
        <v>132</v>
      </c>
      <c r="X546" s="124" t="s">
        <v>120</v>
      </c>
      <c r="Y546" s="128"/>
      <c r="Z546" s="124" t="s">
        <v>120</v>
      </c>
      <c r="AA546" s="128"/>
      <c r="AB546" s="124" t="s">
        <v>120</v>
      </c>
      <c r="AC546" s="124" t="s">
        <v>120</v>
      </c>
      <c r="AD546" s="128"/>
      <c r="AE546" s="124" t="s">
        <v>120</v>
      </c>
      <c r="AF546" s="128"/>
      <c r="AG546" s="124" t="s">
        <v>120</v>
      </c>
      <c r="AH546" s="128"/>
      <c r="AI546" s="124" t="s">
        <v>117</v>
      </c>
      <c r="AJ546" s="124" t="s">
        <v>1282</v>
      </c>
      <c r="AK546" s="128"/>
      <c r="AL546" s="124" t="s">
        <v>141</v>
      </c>
      <c r="AM546" s="124" t="s">
        <v>242</v>
      </c>
      <c r="AN546" s="124" t="s">
        <v>128</v>
      </c>
      <c r="AO546" s="124" t="s">
        <v>185</v>
      </c>
      <c r="AP546" s="124"/>
    </row>
    <row r="547">
      <c r="A547" s="124" t="s">
        <v>4529</v>
      </c>
      <c r="B547" s="124" t="s">
        <v>4530</v>
      </c>
      <c r="C547" s="128"/>
      <c r="D547" s="127">
        <v>40865.0</v>
      </c>
      <c r="E547" s="124" t="s">
        <v>177</v>
      </c>
      <c r="F547" s="124">
        <v>5.53916441E9</v>
      </c>
      <c r="G547" s="124" t="s">
        <v>4531</v>
      </c>
      <c r="H547" s="124" t="s">
        <v>150</v>
      </c>
      <c r="I547" s="128"/>
      <c r="J547" s="124" t="s">
        <v>4532</v>
      </c>
      <c r="K547" s="124" t="s">
        <v>4533</v>
      </c>
      <c r="L547" s="124">
        <v>5.576888923E9</v>
      </c>
      <c r="M547" s="128"/>
      <c r="N547" s="128"/>
      <c r="O547" s="128"/>
      <c r="P547" s="129">
        <v>14.0</v>
      </c>
      <c r="Q547" s="130">
        <v>46039.43934027778</v>
      </c>
      <c r="R547" s="124" t="s">
        <v>107</v>
      </c>
      <c r="S547" s="124" t="s">
        <v>109</v>
      </c>
      <c r="T547" s="124" t="s">
        <v>160</v>
      </c>
      <c r="U547" s="124" t="s">
        <v>308</v>
      </c>
      <c r="V547" s="124" t="s">
        <v>309</v>
      </c>
      <c r="W547" s="124" t="s">
        <v>310</v>
      </c>
      <c r="X547" s="124" t="s">
        <v>120</v>
      </c>
      <c r="Y547" s="128"/>
      <c r="Z547" s="124" t="s">
        <v>120</v>
      </c>
      <c r="AA547" s="128"/>
      <c r="AB547" s="124" t="s">
        <v>120</v>
      </c>
      <c r="AC547" s="124" t="s">
        <v>120</v>
      </c>
      <c r="AD547" s="128"/>
      <c r="AE547" s="124" t="s">
        <v>120</v>
      </c>
      <c r="AF547" s="128"/>
      <c r="AG547" s="124" t="s">
        <v>120</v>
      </c>
      <c r="AH547" s="128"/>
      <c r="AI547" s="124" t="s">
        <v>120</v>
      </c>
      <c r="AJ547" s="128"/>
      <c r="AK547" s="128"/>
      <c r="AL547" s="124" t="s">
        <v>138</v>
      </c>
      <c r="AM547" s="124" t="s">
        <v>185</v>
      </c>
      <c r="AN547" s="124" t="s">
        <v>124</v>
      </c>
      <c r="AO547" s="124" t="s">
        <v>128</v>
      </c>
      <c r="AP547" s="124"/>
    </row>
    <row r="548">
      <c r="A548" s="124" t="s">
        <v>2130</v>
      </c>
      <c r="B548" s="124" t="s">
        <v>2132</v>
      </c>
      <c r="C548" s="124" t="s">
        <v>2135</v>
      </c>
      <c r="D548" s="127">
        <v>41174.0</v>
      </c>
      <c r="E548" s="124" t="s">
        <v>177</v>
      </c>
      <c r="F548" s="124">
        <v>5.543910301E9</v>
      </c>
      <c r="G548" s="124" t="s">
        <v>2138</v>
      </c>
      <c r="H548" s="124" t="s">
        <v>101</v>
      </c>
      <c r="I548" s="124" t="s">
        <v>2140</v>
      </c>
      <c r="J548" s="124" t="s">
        <v>2142</v>
      </c>
      <c r="K548" s="124" t="s">
        <v>2143</v>
      </c>
      <c r="L548" s="124">
        <v>5.616811205E9</v>
      </c>
      <c r="M548" s="124" t="s">
        <v>2144</v>
      </c>
      <c r="N548" s="124" t="s">
        <v>2146</v>
      </c>
      <c r="O548" s="124">
        <v>5.543910301E9</v>
      </c>
      <c r="P548" s="129">
        <v>13.0</v>
      </c>
      <c r="Q548" s="130">
        <v>46034.67327546296</v>
      </c>
      <c r="R548" s="124" t="s">
        <v>107</v>
      </c>
      <c r="S548" s="124" t="s">
        <v>109</v>
      </c>
      <c r="T548" s="124" t="s">
        <v>204</v>
      </c>
      <c r="U548" s="124" t="s">
        <v>357</v>
      </c>
      <c r="V548" s="124" t="s">
        <v>359</v>
      </c>
      <c r="W548" s="124" t="s">
        <v>362</v>
      </c>
      <c r="X548" s="124" t="s">
        <v>120</v>
      </c>
      <c r="Y548" s="124" t="s">
        <v>1325</v>
      </c>
      <c r="Z548" s="124" t="s">
        <v>117</v>
      </c>
      <c r="AA548" s="124" t="s">
        <v>2153</v>
      </c>
      <c r="AB548" s="124" t="s">
        <v>120</v>
      </c>
      <c r="AC548" s="124" t="s">
        <v>120</v>
      </c>
      <c r="AD548" s="124" t="s">
        <v>1325</v>
      </c>
      <c r="AE548" s="124" t="s">
        <v>120</v>
      </c>
      <c r="AF548" s="124" t="s">
        <v>1325</v>
      </c>
      <c r="AG548" s="124" t="s">
        <v>120</v>
      </c>
      <c r="AH548" s="124" t="s">
        <v>1325</v>
      </c>
      <c r="AI548" s="124" t="s">
        <v>117</v>
      </c>
      <c r="AJ548" s="124" t="s">
        <v>1282</v>
      </c>
      <c r="AK548" s="124" t="s">
        <v>1325</v>
      </c>
      <c r="AL548" s="124" t="s">
        <v>129</v>
      </c>
      <c r="AM548" s="124" t="s">
        <v>126</v>
      </c>
      <c r="AN548" s="124" t="s">
        <v>156</v>
      </c>
      <c r="AO548" s="124" t="s">
        <v>124</v>
      </c>
      <c r="AP548" s="124"/>
    </row>
    <row r="549">
      <c r="A549" s="124" t="s">
        <v>4534</v>
      </c>
      <c r="B549" s="124" t="s">
        <v>4535</v>
      </c>
      <c r="C549" s="124" t="s">
        <v>4536</v>
      </c>
      <c r="D549" s="127">
        <v>39821.0</v>
      </c>
      <c r="E549" s="124" t="s">
        <v>177</v>
      </c>
      <c r="F549" s="124">
        <v>5.624788862E9</v>
      </c>
      <c r="G549" s="124" t="s">
        <v>4537</v>
      </c>
      <c r="H549" s="124" t="s">
        <v>140</v>
      </c>
      <c r="I549" s="128"/>
      <c r="J549" s="124" t="s">
        <v>4538</v>
      </c>
      <c r="K549" s="124" t="s">
        <v>4539</v>
      </c>
      <c r="L549" s="124">
        <v>5.576694444E9</v>
      </c>
      <c r="M549" s="124" t="s">
        <v>4540</v>
      </c>
      <c r="N549" s="124" t="s">
        <v>4541</v>
      </c>
      <c r="O549" s="124">
        <v>5.611241581E9</v>
      </c>
      <c r="P549" s="129">
        <v>17.0</v>
      </c>
      <c r="Q549" s="130">
        <v>46027.524513888886</v>
      </c>
      <c r="R549" s="124" t="s">
        <v>107</v>
      </c>
      <c r="S549" s="124" t="s">
        <v>109</v>
      </c>
      <c r="T549" s="124" t="s">
        <v>192</v>
      </c>
      <c r="U549" s="124" t="s">
        <v>505</v>
      </c>
      <c r="V549" s="124" t="s">
        <v>506</v>
      </c>
      <c r="W549" s="124" t="s">
        <v>507</v>
      </c>
      <c r="X549" s="124" t="s">
        <v>120</v>
      </c>
      <c r="Y549" s="128"/>
      <c r="Z549" s="124" t="s">
        <v>120</v>
      </c>
      <c r="AA549" s="128"/>
      <c r="AB549" s="124" t="s">
        <v>120</v>
      </c>
      <c r="AC549" s="128"/>
      <c r="AD549" s="128"/>
      <c r="AE549" s="124" t="s">
        <v>120</v>
      </c>
      <c r="AF549" s="128"/>
      <c r="AG549" s="124" t="s">
        <v>120</v>
      </c>
      <c r="AH549" s="128"/>
      <c r="AI549" s="124" t="s">
        <v>120</v>
      </c>
      <c r="AJ549" s="128"/>
      <c r="AK549" s="124" t="s">
        <v>4542</v>
      </c>
      <c r="AL549" s="124" t="s">
        <v>242</v>
      </c>
      <c r="AM549" s="124" t="s">
        <v>124</v>
      </c>
      <c r="AN549" s="124" t="s">
        <v>126</v>
      </c>
      <c r="AO549" s="124" t="s">
        <v>216</v>
      </c>
      <c r="AP549" s="124"/>
    </row>
    <row r="550">
      <c r="A550" s="124" t="s">
        <v>4543</v>
      </c>
      <c r="B550" s="124" t="s">
        <v>2876</v>
      </c>
      <c r="C550" s="124" t="s">
        <v>4544</v>
      </c>
      <c r="D550" s="127">
        <v>41056.0</v>
      </c>
      <c r="E550" s="124" t="s">
        <v>177</v>
      </c>
      <c r="F550" s="124">
        <v>5.517260354E9</v>
      </c>
      <c r="G550" s="124" t="s">
        <v>4545</v>
      </c>
      <c r="H550" s="124" t="s">
        <v>140</v>
      </c>
      <c r="I550" s="124" t="s">
        <v>2878</v>
      </c>
      <c r="J550" s="124" t="s">
        <v>4546</v>
      </c>
      <c r="K550" s="124" t="s">
        <v>312</v>
      </c>
      <c r="L550" s="124">
        <v>5.517260354E9</v>
      </c>
      <c r="M550" s="128"/>
      <c r="N550" s="128"/>
      <c r="O550" s="128"/>
      <c r="P550" s="129">
        <v>13.0</v>
      </c>
      <c r="Q550" s="130">
        <v>46036.76274305556</v>
      </c>
      <c r="R550" s="124" t="s">
        <v>107</v>
      </c>
      <c r="S550" s="124" t="s">
        <v>109</v>
      </c>
      <c r="T550" s="124" t="s">
        <v>204</v>
      </c>
      <c r="U550" s="124" t="s">
        <v>311</v>
      </c>
      <c r="V550" s="124" t="s">
        <v>312</v>
      </c>
      <c r="W550" s="124" t="s">
        <v>313</v>
      </c>
      <c r="X550" s="124" t="s">
        <v>120</v>
      </c>
      <c r="Y550" s="128"/>
      <c r="Z550" s="124" t="s">
        <v>120</v>
      </c>
      <c r="AA550" s="128"/>
      <c r="AB550" s="124" t="s">
        <v>120</v>
      </c>
      <c r="AC550" s="124" t="s">
        <v>120</v>
      </c>
      <c r="AD550" s="128"/>
      <c r="AE550" s="124" t="s">
        <v>120</v>
      </c>
      <c r="AF550" s="128"/>
      <c r="AG550" s="124" t="s">
        <v>120</v>
      </c>
      <c r="AH550" s="128"/>
      <c r="AI550" s="124" t="s">
        <v>120</v>
      </c>
      <c r="AJ550" s="128"/>
      <c r="AK550" s="128"/>
      <c r="AL550" s="124" t="s">
        <v>141</v>
      </c>
      <c r="AM550" s="124" t="s">
        <v>129</v>
      </c>
      <c r="AN550" s="124" t="s">
        <v>240</v>
      </c>
      <c r="AO550" s="124" t="s">
        <v>138</v>
      </c>
      <c r="AP550" s="124"/>
    </row>
    <row r="551">
      <c r="A551" s="124" t="s">
        <v>2881</v>
      </c>
      <c r="B551" s="124" t="s">
        <v>2882</v>
      </c>
      <c r="C551" s="124" t="s">
        <v>2883</v>
      </c>
      <c r="D551" s="127">
        <v>38076.0</v>
      </c>
      <c r="E551" s="124" t="s">
        <v>177</v>
      </c>
      <c r="F551" s="124" t="s">
        <v>2885</v>
      </c>
      <c r="G551" s="124" t="s">
        <v>2887</v>
      </c>
      <c r="H551" s="124" t="s">
        <v>101</v>
      </c>
      <c r="I551" s="128"/>
      <c r="J551" s="124" t="s">
        <v>2888</v>
      </c>
      <c r="K551" s="124" t="s">
        <v>2890</v>
      </c>
      <c r="L551" s="124" t="s">
        <v>2885</v>
      </c>
      <c r="M551" s="128"/>
      <c r="N551" s="128"/>
      <c r="O551" s="128"/>
      <c r="P551" s="129">
        <v>21.0</v>
      </c>
      <c r="Q551" s="130">
        <v>46037.933287037034</v>
      </c>
      <c r="R551" s="124" t="s">
        <v>107</v>
      </c>
      <c r="S551" s="124" t="s">
        <v>125</v>
      </c>
      <c r="T551" s="124" t="s">
        <v>2309</v>
      </c>
      <c r="U551" s="124" t="s">
        <v>2310</v>
      </c>
      <c r="V551" s="124" t="s">
        <v>2311</v>
      </c>
      <c r="W551" s="124" t="s">
        <v>2312</v>
      </c>
      <c r="X551" s="124" t="s">
        <v>120</v>
      </c>
      <c r="Y551" s="128"/>
      <c r="Z551" s="124" t="s">
        <v>120</v>
      </c>
      <c r="AA551" s="128"/>
      <c r="AB551" s="124" t="s">
        <v>120</v>
      </c>
      <c r="AC551" s="124" t="s">
        <v>120</v>
      </c>
      <c r="AD551" s="128"/>
      <c r="AE551" s="124" t="s">
        <v>120</v>
      </c>
      <c r="AF551" s="128"/>
      <c r="AG551" s="124" t="s">
        <v>120</v>
      </c>
      <c r="AH551" s="128"/>
      <c r="AI551" s="124" t="s">
        <v>120</v>
      </c>
      <c r="AJ551" s="128"/>
      <c r="AK551" s="128"/>
      <c r="AL551" s="124" t="s">
        <v>141</v>
      </c>
      <c r="AM551" s="124" t="s">
        <v>129</v>
      </c>
      <c r="AN551" s="124" t="s">
        <v>240</v>
      </c>
      <c r="AO551" s="124" t="s">
        <v>242</v>
      </c>
      <c r="AP551" s="124"/>
    </row>
    <row r="552">
      <c r="A552" s="124" t="s">
        <v>3103</v>
      </c>
      <c r="B552" s="124" t="s">
        <v>3105</v>
      </c>
      <c r="C552" s="124" t="s">
        <v>3106</v>
      </c>
      <c r="D552" s="127">
        <v>39123.0</v>
      </c>
      <c r="E552" s="124" t="s">
        <v>98</v>
      </c>
      <c r="F552" s="124" t="s">
        <v>3109</v>
      </c>
      <c r="G552" s="124" t="s">
        <v>3110</v>
      </c>
      <c r="H552" s="124" t="s">
        <v>101</v>
      </c>
      <c r="I552" s="124" t="s">
        <v>3115</v>
      </c>
      <c r="J552" s="124" t="s">
        <v>3117</v>
      </c>
      <c r="K552" s="124" t="s">
        <v>3119</v>
      </c>
      <c r="L552" s="124">
        <v>5.552526051E9</v>
      </c>
      <c r="M552" s="128"/>
      <c r="N552" s="128"/>
      <c r="O552" s="128"/>
      <c r="P552" s="129">
        <v>19.0</v>
      </c>
      <c r="Q552" s="130">
        <v>46040.90724537037</v>
      </c>
      <c r="R552" s="124" t="s">
        <v>231</v>
      </c>
      <c r="S552" s="124" t="s">
        <v>125</v>
      </c>
      <c r="T552" s="124" t="s">
        <v>208</v>
      </c>
      <c r="U552" s="124" t="s">
        <v>478</v>
      </c>
      <c r="V552" s="124" t="s">
        <v>480</v>
      </c>
      <c r="W552" s="124" t="s">
        <v>481</v>
      </c>
      <c r="X552" s="124" t="s">
        <v>120</v>
      </c>
      <c r="Y552" s="128"/>
      <c r="Z552" s="124" t="s">
        <v>117</v>
      </c>
      <c r="AA552" s="128"/>
      <c r="AB552" s="124" t="s">
        <v>117</v>
      </c>
      <c r="AC552" s="128"/>
      <c r="AD552" s="128"/>
      <c r="AE552" s="124" t="s">
        <v>117</v>
      </c>
      <c r="AF552" s="128"/>
      <c r="AG552" s="124" t="s">
        <v>117</v>
      </c>
      <c r="AH552" s="128"/>
      <c r="AI552" s="124" t="s">
        <v>117</v>
      </c>
      <c r="AJ552" s="128"/>
      <c r="AK552" s="128"/>
      <c r="AL552" s="124" t="s">
        <v>156</v>
      </c>
      <c r="AM552" s="124" t="s">
        <v>124</v>
      </c>
      <c r="AN552" s="124" t="s">
        <v>128</v>
      </c>
      <c r="AO552" s="124" t="s">
        <v>138</v>
      </c>
      <c r="AP552" s="124"/>
    </row>
    <row r="553">
      <c r="A553" s="124" t="s">
        <v>4547</v>
      </c>
      <c r="B553" s="124" t="s">
        <v>1489</v>
      </c>
      <c r="C553" s="124" t="s">
        <v>4548</v>
      </c>
      <c r="D553" s="127">
        <v>39759.0</v>
      </c>
      <c r="E553" s="124" t="s">
        <v>98</v>
      </c>
      <c r="F553" s="124">
        <v>5.531199341E9</v>
      </c>
      <c r="G553" s="124" t="s">
        <v>4549</v>
      </c>
      <c r="H553" s="124" t="s">
        <v>140</v>
      </c>
      <c r="I553" s="128"/>
      <c r="J553" s="124" t="s">
        <v>4550</v>
      </c>
      <c r="K553" s="124" t="s">
        <v>4551</v>
      </c>
      <c r="L553" s="124">
        <v>5.633678799E9</v>
      </c>
      <c r="M553" s="124" t="s">
        <v>4552</v>
      </c>
      <c r="N553" s="124" t="s">
        <v>4553</v>
      </c>
      <c r="O553" s="124">
        <v>5.614596054E9</v>
      </c>
      <c r="P553" s="129">
        <v>17.0</v>
      </c>
      <c r="Q553" s="130">
        <v>46029.85907407408</v>
      </c>
      <c r="R553" s="124" t="s">
        <v>107</v>
      </c>
      <c r="S553" s="124" t="s">
        <v>109</v>
      </c>
      <c r="T553" s="124" t="s">
        <v>111</v>
      </c>
      <c r="U553" s="124" t="s">
        <v>112</v>
      </c>
      <c r="V553" s="124" t="s">
        <v>114</v>
      </c>
      <c r="W553" s="124" t="s">
        <v>115</v>
      </c>
      <c r="X553" s="124" t="s">
        <v>120</v>
      </c>
      <c r="Y553" s="128"/>
      <c r="Z553" s="124" t="s">
        <v>120</v>
      </c>
      <c r="AA553" s="128"/>
      <c r="AB553" s="124" t="s">
        <v>120</v>
      </c>
      <c r="AC553" s="128"/>
      <c r="AD553" s="128"/>
      <c r="AE553" s="124" t="s">
        <v>120</v>
      </c>
      <c r="AF553" s="128"/>
      <c r="AG553" s="124" t="s">
        <v>120</v>
      </c>
      <c r="AH553" s="128"/>
      <c r="AI553" s="124" t="s">
        <v>120</v>
      </c>
      <c r="AJ553" s="128"/>
      <c r="AK553" s="128"/>
      <c r="AL553" s="124" t="s">
        <v>129</v>
      </c>
      <c r="AM553" s="124" t="s">
        <v>126</v>
      </c>
      <c r="AN553" s="124" t="s">
        <v>185</v>
      </c>
      <c r="AO553" s="124" t="s">
        <v>216</v>
      </c>
      <c r="AP553" s="124"/>
    </row>
    <row r="554">
      <c r="A554" s="124" t="s">
        <v>4554</v>
      </c>
      <c r="B554" s="124" t="s">
        <v>4555</v>
      </c>
      <c r="C554" s="124" t="s">
        <v>4556</v>
      </c>
      <c r="D554" s="127">
        <v>39686.0</v>
      </c>
      <c r="E554" s="124" t="s">
        <v>177</v>
      </c>
      <c r="F554" s="124">
        <v>5.61608017E9</v>
      </c>
      <c r="G554" s="124" t="s">
        <v>4557</v>
      </c>
      <c r="H554" s="124" t="s">
        <v>101</v>
      </c>
      <c r="I554" s="128"/>
      <c r="J554" s="124" t="s">
        <v>4558</v>
      </c>
      <c r="K554" s="124" t="s">
        <v>4559</v>
      </c>
      <c r="L554" s="124">
        <v>5.515893665E9</v>
      </c>
      <c r="M554" s="124" t="s">
        <v>4560</v>
      </c>
      <c r="N554" s="124" t="s">
        <v>4561</v>
      </c>
      <c r="O554" s="124">
        <v>5.548188814E9</v>
      </c>
      <c r="P554" s="129">
        <v>17.0</v>
      </c>
      <c r="Q554" s="130">
        <v>46025.64208333333</v>
      </c>
      <c r="R554" s="124" t="s">
        <v>107</v>
      </c>
      <c r="S554" s="124" t="s">
        <v>109</v>
      </c>
      <c r="T554" s="124" t="s">
        <v>160</v>
      </c>
      <c r="U554" s="124" t="s">
        <v>279</v>
      </c>
      <c r="V554" s="124" t="s">
        <v>280</v>
      </c>
      <c r="W554" s="124" t="s">
        <v>282</v>
      </c>
      <c r="X554" s="124" t="s">
        <v>120</v>
      </c>
      <c r="Y554" s="128"/>
      <c r="Z554" s="124" t="s">
        <v>120</v>
      </c>
      <c r="AA554" s="128"/>
      <c r="AB554" s="124" t="s">
        <v>120</v>
      </c>
      <c r="AC554" s="128"/>
      <c r="AD554" s="128"/>
      <c r="AE554" s="124" t="s">
        <v>120</v>
      </c>
      <c r="AF554" s="128"/>
      <c r="AG554" s="124" t="s">
        <v>120</v>
      </c>
      <c r="AH554" s="128"/>
      <c r="AI554" s="124" t="s">
        <v>120</v>
      </c>
      <c r="AJ554" s="128"/>
      <c r="AK554" s="128"/>
      <c r="AL554" s="124" t="s">
        <v>185</v>
      </c>
      <c r="AM554" s="124" t="s">
        <v>138</v>
      </c>
      <c r="AN554" s="124" t="s">
        <v>124</v>
      </c>
      <c r="AO554" s="124" t="s">
        <v>216</v>
      </c>
      <c r="AP554" s="124"/>
    </row>
    <row r="555">
      <c r="A555" s="124" t="s">
        <v>2892</v>
      </c>
      <c r="B555" s="124" t="s">
        <v>2895</v>
      </c>
      <c r="C555" s="124" t="s">
        <v>2896</v>
      </c>
      <c r="D555" s="127">
        <v>35389.0</v>
      </c>
      <c r="E555" s="124" t="s">
        <v>177</v>
      </c>
      <c r="F555" s="124">
        <v>7.752346355E9</v>
      </c>
      <c r="G555" s="124" t="s">
        <v>2897</v>
      </c>
      <c r="H555" s="124" t="s">
        <v>101</v>
      </c>
      <c r="I555" s="128"/>
      <c r="J555" s="124" t="s">
        <v>2899</v>
      </c>
      <c r="K555" s="124" t="s">
        <v>2901</v>
      </c>
      <c r="L555" s="124">
        <v>7.757068707E9</v>
      </c>
      <c r="M555" s="128"/>
      <c r="N555" s="128"/>
      <c r="O555" s="128"/>
      <c r="P555" s="129">
        <v>29.0</v>
      </c>
      <c r="Q555" s="130">
        <v>46036.90677083333</v>
      </c>
      <c r="R555" s="124" t="s">
        <v>107</v>
      </c>
      <c r="S555" s="124" t="s">
        <v>125</v>
      </c>
      <c r="T555" s="124" t="s">
        <v>192</v>
      </c>
      <c r="U555" s="124" t="s">
        <v>485</v>
      </c>
      <c r="V555" s="124" t="s">
        <v>486</v>
      </c>
      <c r="W555" s="124" t="s">
        <v>487</v>
      </c>
      <c r="X555" s="124" t="s">
        <v>120</v>
      </c>
      <c r="Y555" s="128"/>
      <c r="Z555" s="124" t="s">
        <v>120</v>
      </c>
      <c r="AA555" s="128"/>
      <c r="AB555" s="124" t="s">
        <v>120</v>
      </c>
      <c r="AC555" s="128"/>
      <c r="AD555" s="128"/>
      <c r="AE555" s="124" t="s">
        <v>120</v>
      </c>
      <c r="AF555" s="128"/>
      <c r="AG555" s="124" t="s">
        <v>120</v>
      </c>
      <c r="AH555" s="128"/>
      <c r="AI555" s="124" t="s">
        <v>120</v>
      </c>
      <c r="AJ555" s="128"/>
      <c r="AK555" s="128"/>
      <c r="AL555" s="124" t="s">
        <v>129</v>
      </c>
      <c r="AM555" s="124" t="s">
        <v>242</v>
      </c>
      <c r="AN555" s="124" t="s">
        <v>126</v>
      </c>
      <c r="AO555" s="124" t="s">
        <v>128</v>
      </c>
      <c r="AP555" s="124"/>
    </row>
    <row r="556">
      <c r="A556" s="124" t="s">
        <v>4562</v>
      </c>
      <c r="B556" s="124" t="s">
        <v>2621</v>
      </c>
      <c r="C556" s="124" t="s">
        <v>4563</v>
      </c>
      <c r="D556" s="127">
        <v>41017.0</v>
      </c>
      <c r="E556" s="124" t="s">
        <v>177</v>
      </c>
      <c r="F556" s="124">
        <v>5.571776934E9</v>
      </c>
      <c r="G556" s="124" t="s">
        <v>4564</v>
      </c>
      <c r="H556" s="124" t="s">
        <v>101</v>
      </c>
      <c r="I556" s="128"/>
      <c r="J556" s="124" t="s">
        <v>2631</v>
      </c>
      <c r="K556" s="124" t="s">
        <v>2632</v>
      </c>
      <c r="L556" s="124">
        <v>5.53569494E9</v>
      </c>
      <c r="M556" s="128"/>
      <c r="N556" s="128"/>
      <c r="O556" s="128"/>
      <c r="P556" s="129">
        <v>13.0</v>
      </c>
      <c r="Q556" s="130">
        <v>46022.65587962963</v>
      </c>
      <c r="R556" s="124" t="s">
        <v>107</v>
      </c>
      <c r="S556" s="124" t="s">
        <v>109</v>
      </c>
      <c r="T556" s="124" t="s">
        <v>111</v>
      </c>
      <c r="U556" s="124" t="s">
        <v>112</v>
      </c>
      <c r="V556" s="124" t="s">
        <v>114</v>
      </c>
      <c r="W556" s="124" t="s">
        <v>115</v>
      </c>
      <c r="X556" s="124" t="s">
        <v>120</v>
      </c>
      <c r="Y556" s="128"/>
      <c r="Z556" s="124" t="s">
        <v>120</v>
      </c>
      <c r="AA556" s="128"/>
      <c r="AB556" s="124" t="s">
        <v>120</v>
      </c>
      <c r="AC556" s="124" t="s">
        <v>120</v>
      </c>
      <c r="AD556" s="128"/>
      <c r="AE556" s="124" t="s">
        <v>120</v>
      </c>
      <c r="AF556" s="128"/>
      <c r="AG556" s="124" t="s">
        <v>120</v>
      </c>
      <c r="AH556" s="128"/>
      <c r="AI556" s="124" t="s">
        <v>120</v>
      </c>
      <c r="AJ556" s="128"/>
      <c r="AK556" s="128"/>
      <c r="AL556" s="124" t="s">
        <v>138</v>
      </c>
      <c r="AM556" s="124" t="s">
        <v>242</v>
      </c>
      <c r="AN556" s="124" t="s">
        <v>129</v>
      </c>
      <c r="AO556" s="124" t="s">
        <v>185</v>
      </c>
      <c r="AP556" s="124"/>
    </row>
    <row r="557">
      <c r="A557" s="124" t="s">
        <v>4565</v>
      </c>
      <c r="B557" s="124" t="s">
        <v>4566</v>
      </c>
      <c r="C557" s="124" t="s">
        <v>4567</v>
      </c>
      <c r="D557" s="127">
        <v>40656.0</v>
      </c>
      <c r="E557" s="124" t="s">
        <v>98</v>
      </c>
      <c r="F557" s="124">
        <v>5.529282814E9</v>
      </c>
      <c r="G557" s="124" t="s">
        <v>4568</v>
      </c>
      <c r="H557" s="124" t="s">
        <v>150</v>
      </c>
      <c r="I557" s="128"/>
      <c r="J557" s="124" t="s">
        <v>4569</v>
      </c>
      <c r="K557" s="124" t="s">
        <v>4568</v>
      </c>
      <c r="L557" s="124">
        <v>5.529282814E9</v>
      </c>
      <c r="M557" s="128"/>
      <c r="N557" s="128"/>
      <c r="O557" s="128"/>
      <c r="P557" s="129">
        <v>14.0</v>
      </c>
      <c r="Q557" s="130">
        <v>46033.63523148148</v>
      </c>
      <c r="R557" s="124" t="s">
        <v>107</v>
      </c>
      <c r="S557" s="124" t="s">
        <v>109</v>
      </c>
      <c r="T557" s="124" t="s">
        <v>160</v>
      </c>
      <c r="U557" s="124" t="s">
        <v>1739</v>
      </c>
      <c r="V557" s="124" t="s">
        <v>1740</v>
      </c>
      <c r="W557" s="124" t="s">
        <v>1741</v>
      </c>
      <c r="X557" s="124" t="s">
        <v>120</v>
      </c>
      <c r="Y557" s="128"/>
      <c r="Z557" s="124" t="s">
        <v>120</v>
      </c>
      <c r="AA557" s="128"/>
      <c r="AB557" s="124" t="s">
        <v>120</v>
      </c>
      <c r="AC557" s="124" t="s">
        <v>117</v>
      </c>
      <c r="AD557" s="128"/>
      <c r="AE557" s="124" t="s">
        <v>120</v>
      </c>
      <c r="AF557" s="128"/>
      <c r="AG557" s="124" t="s">
        <v>120</v>
      </c>
      <c r="AH557" s="128"/>
      <c r="AI557" s="124" t="s">
        <v>120</v>
      </c>
      <c r="AJ557" s="128"/>
      <c r="AK557" s="128"/>
      <c r="AL557" s="124" t="s">
        <v>138</v>
      </c>
      <c r="AM557" s="124" t="s">
        <v>185</v>
      </c>
      <c r="AN557" s="124" t="s">
        <v>141</v>
      </c>
      <c r="AO557" s="124" t="s">
        <v>240</v>
      </c>
      <c r="AP557" s="124"/>
    </row>
    <row r="558">
      <c r="A558" s="124" t="s">
        <v>4570</v>
      </c>
      <c r="B558" s="124" t="s">
        <v>4571</v>
      </c>
      <c r="C558" s="124" t="s">
        <v>4572</v>
      </c>
      <c r="D558" s="127">
        <v>36259.0</v>
      </c>
      <c r="E558" s="124" t="s">
        <v>177</v>
      </c>
      <c r="F558" s="124">
        <v>5.521013632E9</v>
      </c>
      <c r="G558" s="124" t="s">
        <v>4573</v>
      </c>
      <c r="H558" s="124" t="s">
        <v>101</v>
      </c>
      <c r="I558" s="128"/>
      <c r="J558" s="124" t="s">
        <v>2392</v>
      </c>
      <c r="K558" s="124" t="s">
        <v>1600</v>
      </c>
      <c r="L558" s="124">
        <v>5.626696557E9</v>
      </c>
      <c r="M558" s="128"/>
      <c r="N558" s="128"/>
      <c r="O558" s="128"/>
      <c r="P558" s="129">
        <v>26.0</v>
      </c>
      <c r="Q558" s="130">
        <v>46040.96011574074</v>
      </c>
      <c r="R558" s="124" t="s">
        <v>107</v>
      </c>
      <c r="S558" s="124" t="s">
        <v>125</v>
      </c>
      <c r="T558" s="124" t="s">
        <v>208</v>
      </c>
      <c r="U558" s="124" t="s">
        <v>1599</v>
      </c>
      <c r="V558" s="124" t="s">
        <v>1600</v>
      </c>
      <c r="W558" s="124" t="s">
        <v>1602</v>
      </c>
      <c r="X558" s="124" t="s">
        <v>120</v>
      </c>
      <c r="Y558" s="128"/>
      <c r="Z558" s="124" t="s">
        <v>120</v>
      </c>
      <c r="AA558" s="128"/>
      <c r="AB558" s="124" t="s">
        <v>120</v>
      </c>
      <c r="AC558" s="124" t="s">
        <v>120</v>
      </c>
      <c r="AD558" s="128"/>
      <c r="AE558" s="124" t="s">
        <v>120</v>
      </c>
      <c r="AF558" s="128"/>
      <c r="AG558" s="124" t="s">
        <v>120</v>
      </c>
      <c r="AH558" s="128"/>
      <c r="AI558" s="124" t="s">
        <v>120</v>
      </c>
      <c r="AJ558" s="128"/>
      <c r="AK558" s="128"/>
      <c r="AL558" s="124" t="s">
        <v>141</v>
      </c>
      <c r="AM558" s="124" t="s">
        <v>128</v>
      </c>
      <c r="AN558" s="124" t="s">
        <v>185</v>
      </c>
      <c r="AO558" s="124" t="s">
        <v>242</v>
      </c>
      <c r="AP558" s="124"/>
    </row>
    <row r="559">
      <c r="A559" s="124" t="s">
        <v>189</v>
      </c>
      <c r="B559" s="124" t="s">
        <v>190</v>
      </c>
      <c r="C559" s="128"/>
      <c r="D559" s="127">
        <v>39867.0</v>
      </c>
      <c r="E559" s="124" t="s">
        <v>98</v>
      </c>
      <c r="F559" s="124">
        <v>5.534329297E9</v>
      </c>
      <c r="G559" s="124" t="s">
        <v>193</v>
      </c>
      <c r="H559" s="124" t="s">
        <v>101</v>
      </c>
      <c r="I559" s="124" t="s">
        <v>196</v>
      </c>
      <c r="J559" s="124" t="s">
        <v>197</v>
      </c>
      <c r="K559" s="124" t="s">
        <v>193</v>
      </c>
      <c r="L559" s="124" t="s">
        <v>201</v>
      </c>
      <c r="M559" s="128"/>
      <c r="N559" s="128"/>
      <c r="O559" s="128"/>
      <c r="P559" s="129">
        <v>17.0</v>
      </c>
      <c r="Q559" s="130">
        <v>46040.83146990741</v>
      </c>
      <c r="R559" s="124" t="s">
        <v>107</v>
      </c>
      <c r="S559" s="124" t="s">
        <v>109</v>
      </c>
      <c r="T559" s="124" t="s">
        <v>204</v>
      </c>
      <c r="U559" s="124" t="s">
        <v>205</v>
      </c>
      <c r="V559" s="124" t="s">
        <v>206</v>
      </c>
      <c r="W559" s="124" t="s">
        <v>207</v>
      </c>
      <c r="X559" s="124" t="s">
        <v>117</v>
      </c>
      <c r="Y559" s="124" t="s">
        <v>196</v>
      </c>
      <c r="Z559" s="124" t="s">
        <v>120</v>
      </c>
      <c r="AA559" s="128"/>
      <c r="AB559" s="124" t="s">
        <v>120</v>
      </c>
      <c r="AC559" s="128"/>
      <c r="AD559" s="128"/>
      <c r="AE559" s="124" t="s">
        <v>120</v>
      </c>
      <c r="AF559" s="128"/>
      <c r="AG559" s="124" t="s">
        <v>120</v>
      </c>
      <c r="AH559" s="128"/>
      <c r="AI559" s="124" t="s">
        <v>120</v>
      </c>
      <c r="AJ559" s="128"/>
      <c r="AK559" s="128"/>
      <c r="AL559" s="124" t="s">
        <v>129</v>
      </c>
      <c r="AM559" s="124" t="s">
        <v>138</v>
      </c>
      <c r="AN559" s="124" t="s">
        <v>126</v>
      </c>
      <c r="AO559" s="124" t="s">
        <v>128</v>
      </c>
      <c r="AP559" s="124"/>
    </row>
    <row r="560">
      <c r="A560" s="124" t="s">
        <v>4574</v>
      </c>
      <c r="B560" s="124" t="s">
        <v>4575</v>
      </c>
      <c r="C560" s="124" t="s">
        <v>4576</v>
      </c>
      <c r="D560" s="127">
        <v>37667.0</v>
      </c>
      <c r="E560" s="124" t="s">
        <v>98</v>
      </c>
      <c r="F560" s="124">
        <v>5.538866534E9</v>
      </c>
      <c r="G560" s="124" t="s">
        <v>4577</v>
      </c>
      <c r="H560" s="124" t="s">
        <v>140</v>
      </c>
      <c r="I560" s="128"/>
      <c r="J560" s="124" t="s">
        <v>4578</v>
      </c>
      <c r="K560" s="124" t="s">
        <v>4579</v>
      </c>
      <c r="L560" s="124">
        <v>7.352132782E9</v>
      </c>
      <c r="M560" s="128"/>
      <c r="N560" s="128"/>
      <c r="O560" s="128"/>
      <c r="P560" s="129">
        <v>23.0</v>
      </c>
      <c r="Q560" s="130">
        <v>46027.8915162037</v>
      </c>
      <c r="R560" s="124" t="s">
        <v>107</v>
      </c>
      <c r="S560" s="124" t="s">
        <v>125</v>
      </c>
      <c r="T560" s="124" t="s">
        <v>171</v>
      </c>
      <c r="U560" s="124" t="s">
        <v>1048</v>
      </c>
      <c r="V560" s="124" t="s">
        <v>1050</v>
      </c>
      <c r="W560" s="124" t="s">
        <v>1051</v>
      </c>
      <c r="X560" s="124" t="s">
        <v>120</v>
      </c>
      <c r="Y560" s="128"/>
      <c r="Z560" s="124" t="s">
        <v>120</v>
      </c>
      <c r="AA560" s="128"/>
      <c r="AB560" s="124" t="s">
        <v>120</v>
      </c>
      <c r="AC560" s="128"/>
      <c r="AD560" s="128"/>
      <c r="AE560" s="124" t="s">
        <v>120</v>
      </c>
      <c r="AF560" s="128"/>
      <c r="AG560" s="124" t="s">
        <v>120</v>
      </c>
      <c r="AH560" s="128"/>
      <c r="AI560" s="124" t="s">
        <v>120</v>
      </c>
      <c r="AJ560" s="128"/>
      <c r="AK560" s="128"/>
      <c r="AL560" s="124" t="s">
        <v>129</v>
      </c>
      <c r="AM560" s="124" t="s">
        <v>156</v>
      </c>
      <c r="AN560" s="124" t="s">
        <v>138</v>
      </c>
      <c r="AO560" s="124" t="s">
        <v>242</v>
      </c>
      <c r="AP560" s="124"/>
    </row>
    <row r="561">
      <c r="A561" s="124" t="s">
        <v>4580</v>
      </c>
      <c r="B561" s="124" t="s">
        <v>4581</v>
      </c>
      <c r="C561" s="124" t="s">
        <v>4582</v>
      </c>
      <c r="D561" s="127">
        <v>38706.0</v>
      </c>
      <c r="E561" s="124" t="s">
        <v>98</v>
      </c>
      <c r="F561" s="124">
        <v>5.540216155E9</v>
      </c>
      <c r="G561" s="124" t="s">
        <v>4583</v>
      </c>
      <c r="H561" s="124" t="s">
        <v>140</v>
      </c>
      <c r="I561" s="128"/>
      <c r="J561" s="124" t="s">
        <v>4584</v>
      </c>
      <c r="K561" s="124" t="s">
        <v>4585</v>
      </c>
      <c r="L561" s="124">
        <v>5.540300525E9</v>
      </c>
      <c r="M561" s="128"/>
      <c r="N561" s="128"/>
      <c r="O561" s="128"/>
      <c r="P561" s="129">
        <v>20.0</v>
      </c>
      <c r="Q561" s="130">
        <v>46045.952673611115</v>
      </c>
      <c r="R561" s="124" t="s">
        <v>107</v>
      </c>
      <c r="S561" s="124" t="s">
        <v>125</v>
      </c>
      <c r="T561" s="124" t="s">
        <v>208</v>
      </c>
      <c r="U561" s="124" t="s">
        <v>209</v>
      </c>
      <c r="V561" s="124" t="s">
        <v>210</v>
      </c>
      <c r="W561" s="124" t="s">
        <v>211</v>
      </c>
      <c r="X561" s="124" t="s">
        <v>120</v>
      </c>
      <c r="Y561" s="128"/>
      <c r="Z561" s="124" t="s">
        <v>120</v>
      </c>
      <c r="AA561" s="128"/>
      <c r="AB561" s="124" t="s">
        <v>120</v>
      </c>
      <c r="AC561" s="124" t="s">
        <v>120</v>
      </c>
      <c r="AD561" s="128"/>
      <c r="AE561" s="124" t="s">
        <v>120</v>
      </c>
      <c r="AF561" s="128"/>
      <c r="AG561" s="124" t="s">
        <v>120</v>
      </c>
      <c r="AH561" s="128"/>
      <c r="AI561" s="124" t="s">
        <v>120</v>
      </c>
      <c r="AJ561" s="128"/>
      <c r="AK561" s="128"/>
      <c r="AL561" s="124" t="s">
        <v>138</v>
      </c>
      <c r="AM561" s="124" t="s">
        <v>156</v>
      </c>
      <c r="AN561" s="124" t="s">
        <v>216</v>
      </c>
      <c r="AO561" s="124" t="s">
        <v>129</v>
      </c>
      <c r="AP561" s="124"/>
    </row>
    <row r="562">
      <c r="A562" s="124" t="s">
        <v>4586</v>
      </c>
      <c r="B562" s="124" t="s">
        <v>4587</v>
      </c>
      <c r="C562" s="128"/>
      <c r="D562" s="127">
        <v>40947.0</v>
      </c>
      <c r="E562" s="124" t="s">
        <v>98</v>
      </c>
      <c r="F562" s="124">
        <v>5.569673436E9</v>
      </c>
      <c r="G562" s="124" t="s">
        <v>4588</v>
      </c>
      <c r="H562" s="124" t="s">
        <v>150</v>
      </c>
      <c r="I562" s="128"/>
      <c r="J562" s="124" t="s">
        <v>4589</v>
      </c>
      <c r="K562" s="124" t="s">
        <v>4590</v>
      </c>
      <c r="L562" s="124">
        <v>5.648418954E9</v>
      </c>
      <c r="M562" s="128"/>
      <c r="N562" s="128"/>
      <c r="O562" s="128"/>
      <c r="P562" s="129">
        <v>14.0</v>
      </c>
      <c r="Q562" s="130">
        <v>46040.93951388889</v>
      </c>
      <c r="R562" s="124" t="s">
        <v>107</v>
      </c>
      <c r="S562" s="124" t="s">
        <v>109</v>
      </c>
      <c r="T562" s="124" t="s">
        <v>208</v>
      </c>
      <c r="U562" s="124" t="s">
        <v>1599</v>
      </c>
      <c r="V562" s="124" t="s">
        <v>1600</v>
      </c>
      <c r="W562" s="124" t="s">
        <v>1602</v>
      </c>
      <c r="X562" s="124" t="s">
        <v>120</v>
      </c>
      <c r="Y562" s="128"/>
      <c r="Z562" s="124" t="s">
        <v>120</v>
      </c>
      <c r="AA562" s="128"/>
      <c r="AB562" s="124" t="s">
        <v>120</v>
      </c>
      <c r="AC562" s="124" t="s">
        <v>120</v>
      </c>
      <c r="AD562" s="128"/>
      <c r="AE562" s="124" t="s">
        <v>120</v>
      </c>
      <c r="AF562" s="128"/>
      <c r="AG562" s="124" t="s">
        <v>120</v>
      </c>
      <c r="AH562" s="128"/>
      <c r="AI562" s="124" t="s">
        <v>120</v>
      </c>
      <c r="AJ562" s="128"/>
      <c r="AK562" s="128"/>
      <c r="AL562" s="124" t="s">
        <v>156</v>
      </c>
      <c r="AM562" s="124" t="s">
        <v>240</v>
      </c>
      <c r="AN562" s="124" t="s">
        <v>242</v>
      </c>
      <c r="AO562" s="124" t="s">
        <v>216</v>
      </c>
      <c r="AP562" s="124"/>
    </row>
    <row r="563">
      <c r="A563" s="124" t="s">
        <v>4591</v>
      </c>
      <c r="B563" s="124" t="s">
        <v>4592</v>
      </c>
      <c r="C563" s="124" t="s">
        <v>4593</v>
      </c>
      <c r="D563" s="127">
        <v>40929.0</v>
      </c>
      <c r="E563" s="124" t="s">
        <v>177</v>
      </c>
      <c r="F563" s="124">
        <v>5.56160539E9</v>
      </c>
      <c r="G563" s="124" t="s">
        <v>4594</v>
      </c>
      <c r="H563" s="124" t="s">
        <v>140</v>
      </c>
      <c r="I563" s="128"/>
      <c r="J563" s="124" t="s">
        <v>4595</v>
      </c>
      <c r="K563" s="124" t="s">
        <v>4596</v>
      </c>
      <c r="L563" s="124">
        <v>7.711561612E9</v>
      </c>
      <c r="M563" s="128"/>
      <c r="N563" s="128"/>
      <c r="O563" s="128"/>
      <c r="P563" s="129">
        <v>14.0</v>
      </c>
      <c r="Q563" s="130">
        <v>46019.49998842592</v>
      </c>
      <c r="R563" s="124" t="s">
        <v>107</v>
      </c>
      <c r="S563" s="124" t="s">
        <v>109</v>
      </c>
      <c r="T563" s="124" t="s">
        <v>171</v>
      </c>
      <c r="U563" s="124" t="s">
        <v>388</v>
      </c>
      <c r="V563" s="124" t="s">
        <v>389</v>
      </c>
      <c r="W563" s="124" t="s">
        <v>392</v>
      </c>
      <c r="X563" s="124" t="s">
        <v>120</v>
      </c>
      <c r="Y563" s="128"/>
      <c r="Z563" s="124" t="s">
        <v>120</v>
      </c>
      <c r="AA563" s="128"/>
      <c r="AB563" s="124" t="s">
        <v>120</v>
      </c>
      <c r="AC563" s="128"/>
      <c r="AD563" s="128"/>
      <c r="AE563" s="124" t="s">
        <v>120</v>
      </c>
      <c r="AF563" s="128"/>
      <c r="AG563" s="124" t="s">
        <v>120</v>
      </c>
      <c r="AH563" s="128"/>
      <c r="AI563" s="124" t="s">
        <v>120</v>
      </c>
      <c r="AJ563" s="128"/>
      <c r="AK563" s="128"/>
      <c r="AL563" s="124" t="s">
        <v>126</v>
      </c>
      <c r="AM563" s="124" t="s">
        <v>141</v>
      </c>
      <c r="AN563" s="124" t="s">
        <v>129</v>
      </c>
      <c r="AO563" s="124" t="s">
        <v>129</v>
      </c>
      <c r="AP563" s="124"/>
    </row>
    <row r="564">
      <c r="A564" s="124" t="s">
        <v>2905</v>
      </c>
      <c r="B564" s="124" t="s">
        <v>2906</v>
      </c>
      <c r="C564" s="124" t="s">
        <v>2907</v>
      </c>
      <c r="D564" s="127">
        <v>36244.0</v>
      </c>
      <c r="E564" s="124" t="s">
        <v>98</v>
      </c>
      <c r="F564" s="124">
        <v>5.525023705E9</v>
      </c>
      <c r="G564" s="124" t="s">
        <v>2909</v>
      </c>
      <c r="H564" s="124" t="s">
        <v>150</v>
      </c>
      <c r="I564" s="128"/>
      <c r="J564" s="124" t="s">
        <v>2911</v>
      </c>
      <c r="K564" s="124" t="s">
        <v>2912</v>
      </c>
      <c r="L564" s="124">
        <v>5.578806992E9</v>
      </c>
      <c r="M564" s="128"/>
      <c r="N564" s="128"/>
      <c r="O564" s="128"/>
      <c r="P564" s="129">
        <v>26.0</v>
      </c>
      <c r="Q564" s="130">
        <v>46047.68114583333</v>
      </c>
      <c r="R564" s="124" t="s">
        <v>231</v>
      </c>
      <c r="S564" s="124" t="s">
        <v>125</v>
      </c>
      <c r="T564" s="124" t="s">
        <v>127</v>
      </c>
      <c r="U564" s="124" t="s">
        <v>672</v>
      </c>
      <c r="V564" s="124" t="s">
        <v>673</v>
      </c>
      <c r="W564" s="124" t="s">
        <v>674</v>
      </c>
      <c r="X564" s="124" t="s">
        <v>120</v>
      </c>
      <c r="Y564" s="128"/>
      <c r="Z564" s="124" t="s">
        <v>120</v>
      </c>
      <c r="AA564" s="128"/>
      <c r="AB564" s="124" t="s">
        <v>120</v>
      </c>
      <c r="AC564" s="124" t="s">
        <v>120</v>
      </c>
      <c r="AD564" s="128"/>
      <c r="AE564" s="124" t="s">
        <v>120</v>
      </c>
      <c r="AF564" s="128"/>
      <c r="AG564" s="124" t="s">
        <v>120</v>
      </c>
      <c r="AH564" s="128"/>
      <c r="AI564" s="124" t="s">
        <v>120</v>
      </c>
      <c r="AJ564" s="128"/>
      <c r="AK564" s="128"/>
      <c r="AL564" s="124" t="s">
        <v>129</v>
      </c>
      <c r="AM564" s="124" t="s">
        <v>138</v>
      </c>
      <c r="AN564" s="124" t="s">
        <v>156</v>
      </c>
      <c r="AO564" s="124" t="s">
        <v>141</v>
      </c>
      <c r="AP564" s="124"/>
    </row>
    <row r="565">
      <c r="A565" s="124" t="s">
        <v>4597</v>
      </c>
      <c r="B565" s="124" t="s">
        <v>4598</v>
      </c>
      <c r="C565" s="124" t="s">
        <v>4599</v>
      </c>
      <c r="D565" s="127">
        <v>40414.0</v>
      </c>
      <c r="E565" s="124" t="s">
        <v>98</v>
      </c>
      <c r="F565" s="124">
        <v>5.659792337E9</v>
      </c>
      <c r="G565" s="124" t="s">
        <v>4600</v>
      </c>
      <c r="H565" s="124" t="s">
        <v>101</v>
      </c>
      <c r="I565" s="128"/>
      <c r="J565" s="124" t="s">
        <v>4601</v>
      </c>
      <c r="K565" s="124" t="s">
        <v>4600</v>
      </c>
      <c r="L565" s="124">
        <v>5.545334945E9</v>
      </c>
      <c r="M565" s="124" t="s">
        <v>4602</v>
      </c>
      <c r="N565" s="124" t="s">
        <v>4603</v>
      </c>
      <c r="O565" s="124">
        <v>5.528820703E9</v>
      </c>
      <c r="P565" s="129">
        <v>15.0</v>
      </c>
      <c r="Q565" s="130">
        <v>46029.909479166665</v>
      </c>
      <c r="R565" s="124" t="s">
        <v>107</v>
      </c>
      <c r="S565" s="124" t="s">
        <v>109</v>
      </c>
      <c r="T565" s="124" t="s">
        <v>204</v>
      </c>
      <c r="U565" s="124" t="s">
        <v>367</v>
      </c>
      <c r="V565" s="124" t="s">
        <v>368</v>
      </c>
      <c r="W565" s="124" t="s">
        <v>369</v>
      </c>
      <c r="X565" s="124" t="s">
        <v>120</v>
      </c>
      <c r="Y565" s="128"/>
      <c r="Z565" s="124" t="s">
        <v>120</v>
      </c>
      <c r="AA565" s="128"/>
      <c r="AB565" s="124" t="s">
        <v>120</v>
      </c>
      <c r="AC565" s="124" t="s">
        <v>120</v>
      </c>
      <c r="AD565" s="128"/>
      <c r="AE565" s="124" t="s">
        <v>120</v>
      </c>
      <c r="AF565" s="128"/>
      <c r="AG565" s="124" t="s">
        <v>120</v>
      </c>
      <c r="AH565" s="128"/>
      <c r="AI565" s="124" t="s">
        <v>120</v>
      </c>
      <c r="AJ565" s="128"/>
      <c r="AK565" s="128"/>
      <c r="AL565" s="124" t="s">
        <v>156</v>
      </c>
      <c r="AM565" s="124" t="s">
        <v>216</v>
      </c>
      <c r="AN565" s="124" t="s">
        <v>185</v>
      </c>
      <c r="AO565" s="124" t="s">
        <v>124</v>
      </c>
      <c r="AP565" s="124"/>
    </row>
    <row r="566">
      <c r="A566" s="124" t="s">
        <v>4604</v>
      </c>
      <c r="B566" s="124" t="s">
        <v>2104</v>
      </c>
      <c r="C566" s="124" t="s">
        <v>4605</v>
      </c>
      <c r="D566" s="127">
        <v>40645.0</v>
      </c>
      <c r="E566" s="124" t="s">
        <v>98</v>
      </c>
      <c r="F566" s="124">
        <v>5.658496912E9</v>
      </c>
      <c r="G566" s="124" t="s">
        <v>2106</v>
      </c>
      <c r="H566" s="124" t="s">
        <v>140</v>
      </c>
      <c r="I566" s="128"/>
      <c r="J566" s="124" t="s">
        <v>4606</v>
      </c>
      <c r="K566" s="124" t="s">
        <v>2106</v>
      </c>
      <c r="L566" s="124">
        <v>5.540329002E9</v>
      </c>
      <c r="M566" s="128"/>
      <c r="N566" s="128"/>
      <c r="O566" s="128"/>
      <c r="P566" s="129">
        <v>14.0</v>
      </c>
      <c r="Q566" s="130">
        <v>46030.88364583333</v>
      </c>
      <c r="R566" s="124" t="s">
        <v>107</v>
      </c>
      <c r="S566" s="124" t="s">
        <v>109</v>
      </c>
      <c r="T566" s="124" t="s">
        <v>208</v>
      </c>
      <c r="U566" s="124" t="s">
        <v>478</v>
      </c>
      <c r="V566" s="124" t="s">
        <v>480</v>
      </c>
      <c r="W566" s="124" t="s">
        <v>481</v>
      </c>
      <c r="X566" s="124" t="s">
        <v>120</v>
      </c>
      <c r="Y566" s="128"/>
      <c r="Z566" s="124" t="s">
        <v>117</v>
      </c>
      <c r="AA566" s="124" t="s">
        <v>4607</v>
      </c>
      <c r="AB566" s="124" t="s">
        <v>120</v>
      </c>
      <c r="AC566" s="124" t="s">
        <v>120</v>
      </c>
      <c r="AD566" s="128"/>
      <c r="AE566" s="124" t="s">
        <v>120</v>
      </c>
      <c r="AF566" s="128"/>
      <c r="AG566" s="124" t="s">
        <v>120</v>
      </c>
      <c r="AH566" s="128"/>
      <c r="AI566" s="124" t="s">
        <v>120</v>
      </c>
      <c r="AJ566" s="128"/>
      <c r="AK566" s="128"/>
      <c r="AL566" s="124" t="s">
        <v>126</v>
      </c>
      <c r="AM566" s="124" t="s">
        <v>138</v>
      </c>
      <c r="AN566" s="124" t="s">
        <v>185</v>
      </c>
      <c r="AO566" s="124" t="s">
        <v>216</v>
      </c>
      <c r="AP566" s="124"/>
    </row>
    <row r="567">
      <c r="A567" s="124" t="s">
        <v>1712</v>
      </c>
      <c r="B567" s="124" t="s">
        <v>1713</v>
      </c>
      <c r="C567" s="124" t="s">
        <v>1714</v>
      </c>
      <c r="D567" s="127">
        <v>40400.0</v>
      </c>
      <c r="E567" s="124" t="s">
        <v>98</v>
      </c>
      <c r="F567" s="124">
        <v>5.6475387E9</v>
      </c>
      <c r="G567" s="124" t="s">
        <v>1716</v>
      </c>
      <c r="H567" s="124" t="s">
        <v>101</v>
      </c>
      <c r="I567" s="124" t="s">
        <v>1717</v>
      </c>
      <c r="J567" s="124" t="s">
        <v>1719</v>
      </c>
      <c r="K567" s="124" t="s">
        <v>1720</v>
      </c>
      <c r="L567" s="124">
        <v>4.731807245E9</v>
      </c>
      <c r="M567" s="128"/>
      <c r="N567" s="128"/>
      <c r="O567" s="128"/>
      <c r="P567" s="129">
        <v>15.0</v>
      </c>
      <c r="Q567" s="130">
        <v>46029.74306712963</v>
      </c>
      <c r="R567" s="124" t="s">
        <v>107</v>
      </c>
      <c r="S567" s="124" t="s">
        <v>109</v>
      </c>
      <c r="T567" s="124" t="s">
        <v>127</v>
      </c>
      <c r="U567" s="124" t="s">
        <v>531</v>
      </c>
      <c r="V567" s="124" t="s">
        <v>532</v>
      </c>
      <c r="W567" s="124" t="s">
        <v>534</v>
      </c>
      <c r="X567" s="124" t="s">
        <v>120</v>
      </c>
      <c r="Y567" s="128"/>
      <c r="Z567" s="124" t="s">
        <v>117</v>
      </c>
      <c r="AA567" s="124" t="s">
        <v>1729</v>
      </c>
      <c r="AB567" s="124" t="s">
        <v>120</v>
      </c>
      <c r="AC567" s="128"/>
      <c r="AD567" s="128"/>
      <c r="AE567" s="124" t="s">
        <v>120</v>
      </c>
      <c r="AF567" s="128"/>
      <c r="AG567" s="124" t="s">
        <v>120</v>
      </c>
      <c r="AH567" s="128"/>
      <c r="AI567" s="124" t="s">
        <v>120</v>
      </c>
      <c r="AJ567" s="128"/>
      <c r="AK567" s="128"/>
      <c r="AL567" s="124" t="s">
        <v>156</v>
      </c>
      <c r="AM567" s="124" t="s">
        <v>216</v>
      </c>
      <c r="AN567" s="124" t="s">
        <v>128</v>
      </c>
      <c r="AO567" s="124" t="s">
        <v>185</v>
      </c>
      <c r="AP567" s="124"/>
    </row>
    <row r="568">
      <c r="A568" s="124" t="s">
        <v>4608</v>
      </c>
      <c r="B568" s="124" t="s">
        <v>4609</v>
      </c>
      <c r="C568" s="124" t="s">
        <v>4610</v>
      </c>
      <c r="D568" s="127">
        <v>40765.0</v>
      </c>
      <c r="E568" s="124" t="s">
        <v>177</v>
      </c>
      <c r="F568" s="124">
        <v>5.643092809E9</v>
      </c>
      <c r="G568" s="124" t="s">
        <v>4611</v>
      </c>
      <c r="H568" s="124" t="s">
        <v>101</v>
      </c>
      <c r="I568" s="128"/>
      <c r="J568" s="124" t="s">
        <v>4612</v>
      </c>
      <c r="K568" s="124" t="s">
        <v>4613</v>
      </c>
      <c r="L568" s="124">
        <v>5.532336556E9</v>
      </c>
      <c r="M568" s="128"/>
      <c r="N568" s="128"/>
      <c r="O568" s="128"/>
      <c r="P568" s="129">
        <v>14.0</v>
      </c>
      <c r="Q568" s="130">
        <v>46040.91380787037</v>
      </c>
      <c r="R568" s="124" t="s">
        <v>107</v>
      </c>
      <c r="S568" s="124" t="s">
        <v>109</v>
      </c>
      <c r="T568" s="124" t="s">
        <v>111</v>
      </c>
      <c r="U568" s="124" t="s">
        <v>1979</v>
      </c>
      <c r="V568" s="124" t="s">
        <v>1980</v>
      </c>
      <c r="W568" s="124" t="s">
        <v>1981</v>
      </c>
      <c r="X568" s="124" t="s">
        <v>120</v>
      </c>
      <c r="Y568" s="128"/>
      <c r="Z568" s="124" t="s">
        <v>120</v>
      </c>
      <c r="AA568" s="128"/>
      <c r="AB568" s="124" t="s">
        <v>120</v>
      </c>
      <c r="AC568" s="128"/>
      <c r="AD568" s="128"/>
      <c r="AE568" s="124" t="s">
        <v>120</v>
      </c>
      <c r="AF568" s="128"/>
      <c r="AG568" s="124" t="s">
        <v>120</v>
      </c>
      <c r="AH568" s="128"/>
      <c r="AI568" s="124" t="s">
        <v>120</v>
      </c>
      <c r="AJ568" s="128"/>
      <c r="AK568" s="128"/>
      <c r="AL568" s="124" t="s">
        <v>129</v>
      </c>
      <c r="AM568" s="124" t="s">
        <v>240</v>
      </c>
      <c r="AN568" s="124" t="s">
        <v>141</v>
      </c>
      <c r="AO568" s="124" t="s">
        <v>138</v>
      </c>
      <c r="AP568" s="124"/>
    </row>
    <row r="569">
      <c r="A569" s="124" t="s">
        <v>2913</v>
      </c>
      <c r="B569" s="124" t="s">
        <v>2914</v>
      </c>
      <c r="C569" s="124" t="s">
        <v>2915</v>
      </c>
      <c r="D569" s="127">
        <v>38142.0</v>
      </c>
      <c r="E569" s="124" t="s">
        <v>98</v>
      </c>
      <c r="F569" s="124">
        <v>5.616545998E9</v>
      </c>
      <c r="G569" s="124" t="s">
        <v>2916</v>
      </c>
      <c r="H569" s="124" t="s">
        <v>101</v>
      </c>
      <c r="I569" s="124" t="s">
        <v>1325</v>
      </c>
      <c r="J569" s="124" t="s">
        <v>2917</v>
      </c>
      <c r="K569" s="124" t="s">
        <v>2918</v>
      </c>
      <c r="L569" s="124">
        <v>5.516267037E9</v>
      </c>
      <c r="M569" s="128"/>
      <c r="N569" s="128"/>
      <c r="O569" s="128"/>
      <c r="P569" s="129">
        <v>21.0</v>
      </c>
      <c r="Q569" s="130">
        <v>46032.62351851852</v>
      </c>
      <c r="R569" s="124" t="s">
        <v>107</v>
      </c>
      <c r="S569" s="124" t="s">
        <v>125</v>
      </c>
      <c r="T569" s="124" t="s">
        <v>171</v>
      </c>
      <c r="U569" s="124" t="s">
        <v>2149</v>
      </c>
      <c r="V569" s="124" t="s">
        <v>2141</v>
      </c>
      <c r="W569" s="124" t="s">
        <v>2151</v>
      </c>
      <c r="X569" s="124" t="s">
        <v>120</v>
      </c>
      <c r="Y569" s="124" t="s">
        <v>2332</v>
      </c>
      <c r="Z569" s="124" t="s">
        <v>120</v>
      </c>
      <c r="AA569" s="124" t="s">
        <v>2332</v>
      </c>
      <c r="AB569" s="124" t="s">
        <v>120</v>
      </c>
      <c r="AC569" s="124" t="s">
        <v>120</v>
      </c>
      <c r="AD569" s="124" t="s">
        <v>2332</v>
      </c>
      <c r="AE569" s="124" t="s">
        <v>120</v>
      </c>
      <c r="AF569" s="124" t="s">
        <v>2332</v>
      </c>
      <c r="AG569" s="124" t="s">
        <v>120</v>
      </c>
      <c r="AH569" s="124" t="s">
        <v>2332</v>
      </c>
      <c r="AI569" s="124" t="s">
        <v>120</v>
      </c>
      <c r="AJ569" s="124" t="s">
        <v>2332</v>
      </c>
      <c r="AK569" s="124" t="s">
        <v>2332</v>
      </c>
      <c r="AL569" s="124" t="s">
        <v>216</v>
      </c>
      <c r="AM569" s="124" t="s">
        <v>138</v>
      </c>
      <c r="AN569" s="124" t="s">
        <v>126</v>
      </c>
      <c r="AO569" s="124" t="s">
        <v>185</v>
      </c>
      <c r="AP569" s="124"/>
    </row>
    <row r="570">
      <c r="A570" s="124" t="s">
        <v>2502</v>
      </c>
      <c r="B570" s="124" t="s">
        <v>2503</v>
      </c>
      <c r="C570" s="124" t="s">
        <v>2504</v>
      </c>
      <c r="D570" s="127">
        <v>39661.0</v>
      </c>
      <c r="E570" s="124" t="s">
        <v>98</v>
      </c>
      <c r="F570" s="124">
        <v>5.574823712E9</v>
      </c>
      <c r="G570" s="124" t="s">
        <v>2505</v>
      </c>
      <c r="H570" s="124" t="s">
        <v>101</v>
      </c>
      <c r="I570" s="124" t="s">
        <v>2506</v>
      </c>
      <c r="J570" s="124" t="s">
        <v>2507</v>
      </c>
      <c r="K570" s="124" t="s">
        <v>2509</v>
      </c>
      <c r="L570" s="124">
        <v>5.547865572E9</v>
      </c>
      <c r="M570" s="128"/>
      <c r="N570" s="128"/>
      <c r="O570" s="128"/>
      <c r="P570" s="129">
        <v>17.0</v>
      </c>
      <c r="Q570" s="130">
        <v>46040.57517361111</v>
      </c>
      <c r="R570" s="124" t="s">
        <v>107</v>
      </c>
      <c r="S570" s="124" t="s">
        <v>109</v>
      </c>
      <c r="T570" s="124" t="s">
        <v>127</v>
      </c>
      <c r="U570" s="124" t="s">
        <v>234</v>
      </c>
      <c r="V570" s="124" t="s">
        <v>227</v>
      </c>
      <c r="W570" s="124" t="s">
        <v>236</v>
      </c>
      <c r="X570" s="124" t="s">
        <v>120</v>
      </c>
      <c r="Y570" s="128"/>
      <c r="Z570" s="124" t="s">
        <v>120</v>
      </c>
      <c r="AA570" s="128"/>
      <c r="AB570" s="124" t="s">
        <v>120</v>
      </c>
      <c r="AC570" s="128"/>
      <c r="AD570" s="128"/>
      <c r="AE570" s="124" t="s">
        <v>117</v>
      </c>
      <c r="AF570" s="124" t="s">
        <v>2419</v>
      </c>
      <c r="AG570" s="124" t="s">
        <v>120</v>
      </c>
      <c r="AH570" s="128"/>
      <c r="AI570" s="124" t="s">
        <v>120</v>
      </c>
      <c r="AJ570" s="128"/>
      <c r="AK570" s="128"/>
      <c r="AL570" s="124" t="s">
        <v>156</v>
      </c>
      <c r="AM570" s="124" t="s">
        <v>185</v>
      </c>
      <c r="AN570" s="124" t="s">
        <v>138</v>
      </c>
      <c r="AO570" s="124" t="s">
        <v>126</v>
      </c>
      <c r="AP570" s="124"/>
    </row>
    <row r="571">
      <c r="A571" s="124" t="s">
        <v>4614</v>
      </c>
      <c r="B571" s="124" t="s">
        <v>4114</v>
      </c>
      <c r="C571" s="124" t="s">
        <v>4615</v>
      </c>
      <c r="D571" s="127">
        <v>40436.0</v>
      </c>
      <c r="E571" s="124" t="s">
        <v>177</v>
      </c>
      <c r="F571" s="124">
        <v>5.53084821E9</v>
      </c>
      <c r="G571" s="124" t="s">
        <v>4616</v>
      </c>
      <c r="H571" s="124" t="s">
        <v>150</v>
      </c>
      <c r="I571" s="128"/>
      <c r="J571" s="124" t="s">
        <v>4117</v>
      </c>
      <c r="K571" s="124" t="s">
        <v>4118</v>
      </c>
      <c r="L571" s="124">
        <v>5.53084821E9</v>
      </c>
      <c r="M571" s="128"/>
      <c r="N571" s="128"/>
      <c r="O571" s="128"/>
      <c r="P571" s="129">
        <v>15.0</v>
      </c>
      <c r="Q571" s="130">
        <v>46037.93922453704</v>
      </c>
      <c r="R571" s="124" t="s">
        <v>107</v>
      </c>
      <c r="S571" s="124" t="s">
        <v>109</v>
      </c>
      <c r="T571" s="124" t="s">
        <v>111</v>
      </c>
      <c r="U571" s="124" t="s">
        <v>657</v>
      </c>
      <c r="V571" s="124" t="s">
        <v>659</v>
      </c>
      <c r="W571" s="124" t="s">
        <v>662</v>
      </c>
      <c r="X571" s="124" t="s">
        <v>120</v>
      </c>
      <c r="Y571" s="128"/>
      <c r="Z571" s="124" t="s">
        <v>117</v>
      </c>
      <c r="AA571" s="124" t="s">
        <v>1340</v>
      </c>
      <c r="AB571" s="124" t="s">
        <v>120</v>
      </c>
      <c r="AC571" s="124" t="s">
        <v>120</v>
      </c>
      <c r="AD571" s="128"/>
      <c r="AE571" s="124" t="s">
        <v>120</v>
      </c>
      <c r="AF571" s="128"/>
      <c r="AG571" s="124" t="s">
        <v>120</v>
      </c>
      <c r="AH571" s="128"/>
      <c r="AI571" s="124" t="s">
        <v>120</v>
      </c>
      <c r="AJ571" s="128"/>
      <c r="AK571" s="128"/>
      <c r="AL571" s="124" t="s">
        <v>156</v>
      </c>
      <c r="AM571" s="124" t="s">
        <v>128</v>
      </c>
      <c r="AN571" s="124" t="s">
        <v>240</v>
      </c>
      <c r="AO571" s="124" t="s">
        <v>138</v>
      </c>
      <c r="AP571" s="124"/>
    </row>
    <row r="572">
      <c r="A572" s="124" t="s">
        <v>4617</v>
      </c>
      <c r="B572" s="124" t="s">
        <v>4618</v>
      </c>
      <c r="C572" s="124" t="s">
        <v>4619</v>
      </c>
      <c r="D572" s="127">
        <v>40825.0</v>
      </c>
      <c r="E572" s="124" t="s">
        <v>177</v>
      </c>
      <c r="F572" s="124">
        <v>5.577549295E9</v>
      </c>
      <c r="G572" s="124" t="s">
        <v>4620</v>
      </c>
      <c r="H572" s="124" t="s">
        <v>150</v>
      </c>
      <c r="I572" s="128"/>
      <c r="J572" s="124" t="s">
        <v>4621</v>
      </c>
      <c r="K572" s="124" t="s">
        <v>4622</v>
      </c>
      <c r="L572" s="124">
        <v>5.56208794E9</v>
      </c>
      <c r="M572" s="124" t="s">
        <v>4623</v>
      </c>
      <c r="N572" s="124" t="s">
        <v>4624</v>
      </c>
      <c r="O572" s="124">
        <v>5.538462831E9</v>
      </c>
      <c r="P572" s="129">
        <v>14.0</v>
      </c>
      <c r="Q572" s="130">
        <v>46037.76263888889</v>
      </c>
      <c r="R572" s="124" t="s">
        <v>107</v>
      </c>
      <c r="S572" s="124" t="s">
        <v>109</v>
      </c>
      <c r="T572" s="124" t="s">
        <v>111</v>
      </c>
      <c r="U572" s="124" t="s">
        <v>1979</v>
      </c>
      <c r="V572" s="124" t="s">
        <v>1980</v>
      </c>
      <c r="W572" s="124" t="s">
        <v>1981</v>
      </c>
      <c r="X572" s="124" t="s">
        <v>120</v>
      </c>
      <c r="Y572" s="128"/>
      <c r="Z572" s="124" t="s">
        <v>120</v>
      </c>
      <c r="AA572" s="128"/>
      <c r="AB572" s="124" t="s">
        <v>120</v>
      </c>
      <c r="AC572" s="128"/>
      <c r="AD572" s="128"/>
      <c r="AE572" s="124" t="s">
        <v>120</v>
      </c>
      <c r="AF572" s="128"/>
      <c r="AG572" s="124" t="s">
        <v>120</v>
      </c>
      <c r="AH572" s="128"/>
      <c r="AI572" s="124" t="s">
        <v>120</v>
      </c>
      <c r="AJ572" s="128"/>
      <c r="AK572" s="128"/>
      <c r="AL572" s="124" t="s">
        <v>185</v>
      </c>
      <c r="AM572" s="124" t="s">
        <v>128</v>
      </c>
      <c r="AN572" s="124" t="s">
        <v>141</v>
      </c>
      <c r="AO572" s="124" t="s">
        <v>156</v>
      </c>
      <c r="AP572" s="124"/>
    </row>
    <row r="573">
      <c r="A573" s="124" t="s">
        <v>1621</v>
      </c>
      <c r="B573" s="124" t="s">
        <v>1622</v>
      </c>
      <c r="C573" s="124" t="s">
        <v>1623</v>
      </c>
      <c r="D573" s="127">
        <v>39723.0</v>
      </c>
      <c r="E573" s="124" t="s">
        <v>177</v>
      </c>
      <c r="F573" s="124">
        <v>5.535482797E9</v>
      </c>
      <c r="G573" s="124" t="s">
        <v>1625</v>
      </c>
      <c r="H573" s="124" t="s">
        <v>150</v>
      </c>
      <c r="I573" s="124" t="s">
        <v>458</v>
      </c>
      <c r="J573" s="124" t="s">
        <v>1626</v>
      </c>
      <c r="K573" s="124" t="s">
        <v>1628</v>
      </c>
      <c r="L573" s="124">
        <v>5.535489729E9</v>
      </c>
      <c r="M573" s="128"/>
      <c r="N573" s="128"/>
      <c r="O573" s="128"/>
      <c r="P573" s="129">
        <v>17.0</v>
      </c>
      <c r="Q573" s="130">
        <v>46033.48231481481</v>
      </c>
      <c r="R573" s="124" t="s">
        <v>260</v>
      </c>
      <c r="S573" s="124" t="s">
        <v>109</v>
      </c>
      <c r="T573" s="124" t="s">
        <v>171</v>
      </c>
      <c r="U573" s="124" t="s">
        <v>1048</v>
      </c>
      <c r="V573" s="124" t="s">
        <v>1050</v>
      </c>
      <c r="W573" s="124" t="s">
        <v>1051</v>
      </c>
      <c r="X573" s="124" t="s">
        <v>120</v>
      </c>
      <c r="Y573" s="128"/>
      <c r="Z573" s="124" t="s">
        <v>120</v>
      </c>
      <c r="AA573" s="128"/>
      <c r="AB573" s="124" t="s">
        <v>120</v>
      </c>
      <c r="AC573" s="124" t="s">
        <v>120</v>
      </c>
      <c r="AD573" s="128"/>
      <c r="AE573" s="124" t="s">
        <v>120</v>
      </c>
      <c r="AF573" s="128"/>
      <c r="AG573" s="124" t="s">
        <v>120</v>
      </c>
      <c r="AH573" s="128"/>
      <c r="AI573" s="124" t="s">
        <v>120</v>
      </c>
      <c r="AJ573" s="128"/>
      <c r="AK573" s="128"/>
      <c r="AL573" s="124" t="s">
        <v>156</v>
      </c>
      <c r="AM573" s="124" t="s">
        <v>138</v>
      </c>
      <c r="AN573" s="124" t="s">
        <v>242</v>
      </c>
      <c r="AO573" s="124" t="s">
        <v>185</v>
      </c>
      <c r="AP573" s="124"/>
    </row>
    <row r="574">
      <c r="A574" s="124" t="s">
        <v>4625</v>
      </c>
      <c r="B574" s="124" t="s">
        <v>4626</v>
      </c>
      <c r="C574" s="124" t="s">
        <v>4627</v>
      </c>
      <c r="D574" s="127">
        <v>39902.0</v>
      </c>
      <c r="E574" s="124" t="s">
        <v>98</v>
      </c>
      <c r="F574" s="124">
        <v>5.63648085E9</v>
      </c>
      <c r="G574" s="124" t="s">
        <v>4628</v>
      </c>
      <c r="H574" s="124" t="s">
        <v>150</v>
      </c>
      <c r="I574" s="128"/>
      <c r="J574" s="124" t="s">
        <v>4629</v>
      </c>
      <c r="K574" s="124" t="s">
        <v>4630</v>
      </c>
      <c r="L574" s="124">
        <v>5.566343985E9</v>
      </c>
      <c r="M574" s="124" t="s">
        <v>4631</v>
      </c>
      <c r="N574" s="124" t="s">
        <v>4632</v>
      </c>
      <c r="O574" s="124">
        <v>5.614541283E9</v>
      </c>
      <c r="P574" s="129">
        <v>16.0</v>
      </c>
      <c r="Q574" s="130">
        <v>46033.45927083334</v>
      </c>
      <c r="R574" s="124" t="s">
        <v>107</v>
      </c>
      <c r="S574" s="124" t="s">
        <v>109</v>
      </c>
      <c r="T574" s="124" t="s">
        <v>111</v>
      </c>
      <c r="U574" s="124" t="s">
        <v>1979</v>
      </c>
      <c r="V574" s="124" t="s">
        <v>1980</v>
      </c>
      <c r="W574" s="124" t="s">
        <v>1981</v>
      </c>
      <c r="X574" s="124" t="s">
        <v>120</v>
      </c>
      <c r="Y574" s="128"/>
      <c r="Z574" s="124" t="s">
        <v>120</v>
      </c>
      <c r="AA574" s="128"/>
      <c r="AB574" s="124" t="s">
        <v>120</v>
      </c>
      <c r="AC574" s="128"/>
      <c r="AD574" s="128"/>
      <c r="AE574" s="124" t="s">
        <v>120</v>
      </c>
      <c r="AF574" s="128"/>
      <c r="AG574" s="124" t="s">
        <v>120</v>
      </c>
      <c r="AH574" s="128"/>
      <c r="AI574" s="124" t="s">
        <v>120</v>
      </c>
      <c r="AJ574" s="128"/>
      <c r="AK574" s="128"/>
      <c r="AL574" s="124" t="s">
        <v>216</v>
      </c>
      <c r="AM574" s="124" t="s">
        <v>242</v>
      </c>
      <c r="AN574" s="124" t="s">
        <v>141</v>
      </c>
      <c r="AO574" s="124" t="s">
        <v>126</v>
      </c>
      <c r="AP574" s="124"/>
    </row>
    <row r="575">
      <c r="A575" s="124" t="s">
        <v>3870</v>
      </c>
      <c r="B575" s="124" t="s">
        <v>1713</v>
      </c>
      <c r="C575" s="124" t="s">
        <v>4633</v>
      </c>
      <c r="D575" s="127">
        <v>39898.0</v>
      </c>
      <c r="E575" s="124" t="s">
        <v>177</v>
      </c>
      <c r="F575" s="124" t="s">
        <v>4634</v>
      </c>
      <c r="G575" s="124" t="s">
        <v>4635</v>
      </c>
      <c r="H575" s="124" t="s">
        <v>150</v>
      </c>
      <c r="I575" s="128"/>
      <c r="J575" s="124" t="s">
        <v>1719</v>
      </c>
      <c r="K575" s="124" t="s">
        <v>1720</v>
      </c>
      <c r="L575" s="124">
        <v>4.731807245E9</v>
      </c>
      <c r="M575" s="128"/>
      <c r="N575" s="128"/>
      <c r="O575" s="128"/>
      <c r="P575" s="129">
        <v>16.0</v>
      </c>
      <c r="Q575" s="130">
        <v>46029.737280092595</v>
      </c>
      <c r="R575" s="124" t="s">
        <v>107</v>
      </c>
      <c r="S575" s="124" t="s">
        <v>109</v>
      </c>
      <c r="T575" s="124" t="s">
        <v>127</v>
      </c>
      <c r="U575" s="124" t="s">
        <v>531</v>
      </c>
      <c r="V575" s="124" t="s">
        <v>532</v>
      </c>
      <c r="W575" s="124" t="s">
        <v>534</v>
      </c>
      <c r="X575" s="124" t="s">
        <v>120</v>
      </c>
      <c r="Y575" s="128"/>
      <c r="Z575" s="124" t="s">
        <v>117</v>
      </c>
      <c r="AA575" s="124" t="s">
        <v>1729</v>
      </c>
      <c r="AB575" s="124" t="s">
        <v>120</v>
      </c>
      <c r="AC575" s="124" t="s">
        <v>120</v>
      </c>
      <c r="AD575" s="128"/>
      <c r="AE575" s="124" t="s">
        <v>120</v>
      </c>
      <c r="AF575" s="128"/>
      <c r="AG575" s="124" t="s">
        <v>120</v>
      </c>
      <c r="AH575" s="128"/>
      <c r="AI575" s="124" t="s">
        <v>120</v>
      </c>
      <c r="AJ575" s="128"/>
      <c r="AK575" s="128"/>
      <c r="AL575" s="124" t="s">
        <v>185</v>
      </c>
      <c r="AM575" s="124" t="s">
        <v>124</v>
      </c>
      <c r="AN575" s="124" t="s">
        <v>129</v>
      </c>
      <c r="AO575" s="124" t="s">
        <v>128</v>
      </c>
      <c r="AP575" s="124"/>
    </row>
    <row r="576">
      <c r="A576" s="124" t="s">
        <v>1940</v>
      </c>
      <c r="B576" s="124" t="s">
        <v>1942</v>
      </c>
      <c r="C576" s="124" t="s">
        <v>1944</v>
      </c>
      <c r="D576" s="127">
        <v>40958.0</v>
      </c>
      <c r="E576" s="124" t="s">
        <v>98</v>
      </c>
      <c r="F576" s="124">
        <v>5.633346063E9</v>
      </c>
      <c r="G576" s="124" t="s">
        <v>1948</v>
      </c>
      <c r="H576" s="124" t="s">
        <v>101</v>
      </c>
      <c r="I576" s="124" t="s">
        <v>1951</v>
      </c>
      <c r="J576" s="124" t="s">
        <v>1954</v>
      </c>
      <c r="K576" s="124" t="s">
        <v>1956</v>
      </c>
      <c r="L576" s="124">
        <v>5.516866304E9</v>
      </c>
      <c r="M576" s="124" t="s">
        <v>1960</v>
      </c>
      <c r="N576" s="124" t="s">
        <v>1961</v>
      </c>
      <c r="O576" s="124">
        <v>5.548769639E9</v>
      </c>
      <c r="P576" s="129">
        <v>14.0</v>
      </c>
      <c r="Q576" s="130">
        <v>46026.873611111114</v>
      </c>
      <c r="R576" s="124" t="s">
        <v>107</v>
      </c>
      <c r="S576" s="124" t="s">
        <v>109</v>
      </c>
      <c r="T576" s="124" t="s">
        <v>171</v>
      </c>
      <c r="U576" s="124" t="s">
        <v>638</v>
      </c>
      <c r="V576" s="124" t="s">
        <v>639</v>
      </c>
      <c r="W576" s="124" t="s">
        <v>641</v>
      </c>
      <c r="X576" s="124" t="s">
        <v>120</v>
      </c>
      <c r="Y576" s="128"/>
      <c r="Z576" s="124" t="s">
        <v>120</v>
      </c>
      <c r="AA576" s="128"/>
      <c r="AB576" s="124" t="s">
        <v>120</v>
      </c>
      <c r="AC576" s="128"/>
      <c r="AD576" s="128"/>
      <c r="AE576" s="124" t="s">
        <v>120</v>
      </c>
      <c r="AF576" s="128"/>
      <c r="AG576" s="124" t="s">
        <v>120</v>
      </c>
      <c r="AH576" s="128"/>
      <c r="AI576" s="124" t="s">
        <v>120</v>
      </c>
      <c r="AJ576" s="128"/>
      <c r="AK576" s="128"/>
      <c r="AL576" s="124" t="s">
        <v>138</v>
      </c>
      <c r="AM576" s="124" t="s">
        <v>156</v>
      </c>
      <c r="AN576" s="124" t="s">
        <v>240</v>
      </c>
      <c r="AO576" s="124" t="s">
        <v>124</v>
      </c>
      <c r="AP576" s="124"/>
    </row>
    <row r="577">
      <c r="A577" s="124" t="s">
        <v>4636</v>
      </c>
      <c r="B577" s="124" t="s">
        <v>4637</v>
      </c>
      <c r="C577" s="124" t="s">
        <v>4638</v>
      </c>
      <c r="D577" s="127">
        <v>40515.0</v>
      </c>
      <c r="E577" s="124" t="s">
        <v>177</v>
      </c>
      <c r="F577" s="124">
        <v>5.520814176E9</v>
      </c>
      <c r="G577" s="124" t="s">
        <v>4639</v>
      </c>
      <c r="H577" s="124" t="s">
        <v>101</v>
      </c>
      <c r="I577" s="128"/>
      <c r="J577" s="124" t="s">
        <v>4640</v>
      </c>
      <c r="K577" s="124" t="s">
        <v>4641</v>
      </c>
      <c r="L577" s="124">
        <v>5.535120159E9</v>
      </c>
      <c r="M577" s="128"/>
      <c r="N577" s="128"/>
      <c r="O577" s="128"/>
      <c r="P577" s="129">
        <v>15.0</v>
      </c>
      <c r="Q577" s="130">
        <v>46026.7800462963</v>
      </c>
      <c r="R577" s="124" t="s">
        <v>107</v>
      </c>
      <c r="S577" s="124" t="s">
        <v>109</v>
      </c>
      <c r="T577" s="124" t="s">
        <v>208</v>
      </c>
      <c r="U577" s="124" t="s">
        <v>228</v>
      </c>
      <c r="V577" s="124" t="s">
        <v>229</v>
      </c>
      <c r="W577" s="124" t="s">
        <v>230</v>
      </c>
      <c r="X577" s="124" t="s">
        <v>120</v>
      </c>
      <c r="Y577" s="128"/>
      <c r="Z577" s="124" t="s">
        <v>120</v>
      </c>
      <c r="AA577" s="128"/>
      <c r="AB577" s="124" t="s">
        <v>120</v>
      </c>
      <c r="AC577" s="124" t="s">
        <v>120</v>
      </c>
      <c r="AD577" s="128"/>
      <c r="AE577" s="124" t="s">
        <v>120</v>
      </c>
      <c r="AF577" s="128"/>
      <c r="AG577" s="124" t="s">
        <v>120</v>
      </c>
      <c r="AH577" s="128"/>
      <c r="AI577" s="124" t="s">
        <v>120</v>
      </c>
      <c r="AJ577" s="128"/>
      <c r="AK577" s="128"/>
      <c r="AL577" s="124" t="s">
        <v>138</v>
      </c>
      <c r="AM577" s="124" t="s">
        <v>242</v>
      </c>
      <c r="AN577" s="124" t="s">
        <v>156</v>
      </c>
      <c r="AO577" s="124" t="s">
        <v>141</v>
      </c>
      <c r="AP577" s="124"/>
    </row>
    <row r="578">
      <c r="A578" s="124" t="s">
        <v>730</v>
      </c>
      <c r="B578" s="124" t="s">
        <v>4642</v>
      </c>
      <c r="C578" s="124" t="s">
        <v>84</v>
      </c>
      <c r="D578" s="127">
        <v>41107.0</v>
      </c>
      <c r="E578" s="124" t="s">
        <v>98</v>
      </c>
      <c r="F578" s="124">
        <v>5.526983786E9</v>
      </c>
      <c r="G578" s="124" t="s">
        <v>4643</v>
      </c>
      <c r="H578" s="124" t="s">
        <v>101</v>
      </c>
      <c r="I578" s="128"/>
      <c r="J578" s="124" t="s">
        <v>4644</v>
      </c>
      <c r="K578" s="124" t="s">
        <v>4645</v>
      </c>
      <c r="L578" s="124">
        <v>5.535930523E9</v>
      </c>
      <c r="M578" s="124" t="s">
        <v>4646</v>
      </c>
      <c r="N578" s="124" t="s">
        <v>4647</v>
      </c>
      <c r="O578" s="124">
        <v>5.554685549E9</v>
      </c>
      <c r="P578" s="129">
        <v>13.0</v>
      </c>
      <c r="Q578" s="130">
        <v>46038.877337962964</v>
      </c>
      <c r="R578" s="124" t="s">
        <v>107</v>
      </c>
      <c r="S578" s="124" t="s">
        <v>109</v>
      </c>
      <c r="T578" s="124" t="s">
        <v>208</v>
      </c>
      <c r="U578" s="124" t="s">
        <v>228</v>
      </c>
      <c r="V578" s="124" t="s">
        <v>229</v>
      </c>
      <c r="W578" s="124" t="s">
        <v>230</v>
      </c>
      <c r="X578" s="124" t="s">
        <v>120</v>
      </c>
      <c r="Y578" s="128"/>
      <c r="Z578" s="124" t="s">
        <v>120</v>
      </c>
      <c r="AA578" s="128"/>
      <c r="AB578" s="124" t="s">
        <v>120</v>
      </c>
      <c r="AC578" s="128"/>
      <c r="AD578" s="128"/>
      <c r="AE578" s="124" t="s">
        <v>120</v>
      </c>
      <c r="AF578" s="128"/>
      <c r="AG578" s="124" t="s">
        <v>120</v>
      </c>
      <c r="AH578" s="128"/>
      <c r="AI578" s="124" t="s">
        <v>120</v>
      </c>
      <c r="AJ578" s="128"/>
      <c r="AK578" s="128"/>
      <c r="AL578" s="124" t="s">
        <v>242</v>
      </c>
      <c r="AM578" s="124" t="s">
        <v>156</v>
      </c>
      <c r="AN578" s="124" t="s">
        <v>185</v>
      </c>
      <c r="AO578" s="124" t="s">
        <v>124</v>
      </c>
      <c r="AP578" s="124"/>
    </row>
    <row r="579">
      <c r="A579" s="124" t="s">
        <v>1285</v>
      </c>
      <c r="B579" s="124" t="s">
        <v>1575</v>
      </c>
      <c r="C579" s="128"/>
      <c r="D579" s="127">
        <v>39727.0</v>
      </c>
      <c r="E579" s="124" t="s">
        <v>98</v>
      </c>
      <c r="F579" s="124">
        <v>5.548718075E9</v>
      </c>
      <c r="G579" s="124" t="s">
        <v>1584</v>
      </c>
      <c r="H579" s="124" t="s">
        <v>110</v>
      </c>
      <c r="I579" s="128"/>
      <c r="J579" s="124" t="s">
        <v>1586</v>
      </c>
      <c r="K579" s="124" t="s">
        <v>2165</v>
      </c>
      <c r="L579" s="124">
        <v>5.564927995E9</v>
      </c>
      <c r="M579" s="128"/>
      <c r="N579" s="128"/>
      <c r="O579" s="128"/>
      <c r="P579" s="129">
        <v>17.0</v>
      </c>
      <c r="Q579" s="130">
        <v>46033.430555555555</v>
      </c>
      <c r="R579" s="124" t="s">
        <v>107</v>
      </c>
      <c r="S579" s="124" t="s">
        <v>109</v>
      </c>
      <c r="T579" s="124" t="s">
        <v>160</v>
      </c>
      <c r="U579" s="124" t="s">
        <v>308</v>
      </c>
      <c r="V579" s="124" t="s">
        <v>309</v>
      </c>
      <c r="W579" s="124" t="s">
        <v>310</v>
      </c>
      <c r="X579" s="124" t="s">
        <v>120</v>
      </c>
      <c r="Y579" s="128"/>
      <c r="Z579" s="124" t="s">
        <v>120</v>
      </c>
      <c r="AA579" s="128"/>
      <c r="AB579" s="124" t="s">
        <v>120</v>
      </c>
      <c r="AC579" s="124" t="s">
        <v>120</v>
      </c>
      <c r="AD579" s="128"/>
      <c r="AE579" s="124" t="s">
        <v>120</v>
      </c>
      <c r="AF579" s="128"/>
      <c r="AG579" s="124" t="s">
        <v>120</v>
      </c>
      <c r="AH579" s="128"/>
      <c r="AI579" s="124" t="s">
        <v>117</v>
      </c>
      <c r="AJ579" s="124" t="s">
        <v>178</v>
      </c>
      <c r="AK579" s="128"/>
      <c r="AL579" s="124" t="s">
        <v>138</v>
      </c>
      <c r="AM579" s="124" t="s">
        <v>156</v>
      </c>
      <c r="AN579" s="124" t="s">
        <v>129</v>
      </c>
      <c r="AO579" s="124" t="s">
        <v>242</v>
      </c>
      <c r="AP579" s="124"/>
    </row>
    <row r="580">
      <c r="A580" s="124" t="s">
        <v>4648</v>
      </c>
      <c r="B580" s="124" t="s">
        <v>1718</v>
      </c>
      <c r="C580" s="124" t="s">
        <v>4649</v>
      </c>
      <c r="D580" s="127">
        <v>40342.0</v>
      </c>
      <c r="E580" s="124" t="s">
        <v>177</v>
      </c>
      <c r="F580" s="124">
        <v>5.525235473E9</v>
      </c>
      <c r="G580" s="124" t="s">
        <v>4650</v>
      </c>
      <c r="H580" s="124" t="s">
        <v>101</v>
      </c>
      <c r="I580" s="128"/>
      <c r="J580" s="124" t="s">
        <v>1726</v>
      </c>
      <c r="K580" s="124" t="s">
        <v>1727</v>
      </c>
      <c r="L580" s="124">
        <v>5.565208788E9</v>
      </c>
      <c r="M580" s="128"/>
      <c r="N580" s="128"/>
      <c r="O580" s="128"/>
      <c r="P580" s="129">
        <v>15.0</v>
      </c>
      <c r="Q580" s="130">
        <v>46029.90222222222</v>
      </c>
      <c r="R580" s="124" t="s">
        <v>107</v>
      </c>
      <c r="S580" s="124" t="s">
        <v>109</v>
      </c>
      <c r="T580" s="124" t="s">
        <v>160</v>
      </c>
      <c r="U580" s="124" t="s">
        <v>1739</v>
      </c>
      <c r="V580" s="124" t="s">
        <v>1740</v>
      </c>
      <c r="W580" s="124" t="s">
        <v>1741</v>
      </c>
      <c r="X580" s="124" t="s">
        <v>120</v>
      </c>
      <c r="Y580" s="128"/>
      <c r="Z580" s="124" t="s">
        <v>120</v>
      </c>
      <c r="AA580" s="128"/>
      <c r="AB580" s="124" t="s">
        <v>120</v>
      </c>
      <c r="AC580" s="128"/>
      <c r="AD580" s="128"/>
      <c r="AE580" s="124" t="s">
        <v>120</v>
      </c>
      <c r="AF580" s="128"/>
      <c r="AG580" s="124" t="s">
        <v>120</v>
      </c>
      <c r="AH580" s="128"/>
      <c r="AI580" s="124" t="s">
        <v>120</v>
      </c>
      <c r="AJ580" s="128"/>
      <c r="AK580" s="128"/>
      <c r="AL580" s="124" t="s">
        <v>141</v>
      </c>
      <c r="AM580" s="124" t="s">
        <v>156</v>
      </c>
      <c r="AN580" s="124" t="s">
        <v>216</v>
      </c>
      <c r="AO580" s="124" t="s">
        <v>242</v>
      </c>
      <c r="AP580" s="124"/>
    </row>
    <row r="581">
      <c r="A581" s="124" t="s">
        <v>4651</v>
      </c>
      <c r="B581" s="124" t="s">
        <v>3121</v>
      </c>
      <c r="C581" s="124" t="s">
        <v>4652</v>
      </c>
      <c r="D581" s="127">
        <v>40452.0</v>
      </c>
      <c r="E581" s="124" t="s">
        <v>177</v>
      </c>
      <c r="F581" s="124">
        <v>5.617535447E9</v>
      </c>
      <c r="G581" s="124" t="s">
        <v>4653</v>
      </c>
      <c r="H581" s="124" t="s">
        <v>140</v>
      </c>
      <c r="I581" s="128"/>
      <c r="J581" s="124" t="s">
        <v>4654</v>
      </c>
      <c r="K581" s="124" t="s">
        <v>4655</v>
      </c>
      <c r="L581" s="124">
        <v>5.621406969E9</v>
      </c>
      <c r="M581" s="124" t="s">
        <v>4656</v>
      </c>
      <c r="N581" s="124" t="s">
        <v>4657</v>
      </c>
      <c r="O581" s="124">
        <v>5.554623425E9</v>
      </c>
      <c r="P581" s="129">
        <v>15.0</v>
      </c>
      <c r="Q581" s="130">
        <v>46018.347407407404</v>
      </c>
      <c r="R581" s="124" t="s">
        <v>107</v>
      </c>
      <c r="S581" s="124" t="s">
        <v>109</v>
      </c>
      <c r="T581" s="124" t="s">
        <v>171</v>
      </c>
      <c r="U581" s="124" t="s">
        <v>1048</v>
      </c>
      <c r="V581" s="124" t="s">
        <v>1050</v>
      </c>
      <c r="W581" s="124" t="s">
        <v>1051</v>
      </c>
      <c r="X581" s="124" t="s">
        <v>120</v>
      </c>
      <c r="Y581" s="128"/>
      <c r="Z581" s="124" t="s">
        <v>120</v>
      </c>
      <c r="AA581" s="128"/>
      <c r="AB581" s="124" t="s">
        <v>120</v>
      </c>
      <c r="AC581" s="124" t="s">
        <v>120</v>
      </c>
      <c r="AD581" s="128"/>
      <c r="AE581" s="124" t="s">
        <v>120</v>
      </c>
      <c r="AF581" s="128"/>
      <c r="AG581" s="124" t="s">
        <v>120</v>
      </c>
      <c r="AH581" s="128"/>
      <c r="AI581" s="124" t="s">
        <v>120</v>
      </c>
      <c r="AJ581" s="128"/>
      <c r="AK581" s="128"/>
      <c r="AL581" s="124" t="s">
        <v>129</v>
      </c>
      <c r="AM581" s="124" t="s">
        <v>124</v>
      </c>
      <c r="AN581" s="124" t="s">
        <v>126</v>
      </c>
      <c r="AO581" s="124" t="s">
        <v>138</v>
      </c>
      <c r="AP581" s="124"/>
    </row>
    <row r="582">
      <c r="A582" s="124" t="s">
        <v>2927</v>
      </c>
      <c r="B582" s="124" t="s">
        <v>2928</v>
      </c>
      <c r="C582" s="124" t="s">
        <v>2929</v>
      </c>
      <c r="D582" s="127">
        <v>36174.0</v>
      </c>
      <c r="E582" s="124" t="s">
        <v>98</v>
      </c>
      <c r="F582" s="124">
        <v>2.211482806E9</v>
      </c>
      <c r="G582" s="124" t="s">
        <v>2931</v>
      </c>
      <c r="H582" s="124" t="s">
        <v>101</v>
      </c>
      <c r="I582" s="124" t="s">
        <v>2934</v>
      </c>
      <c r="J582" s="124" t="s">
        <v>2929</v>
      </c>
      <c r="K582" s="124" t="s">
        <v>2935</v>
      </c>
      <c r="L582" s="124">
        <v>2.211482806E9</v>
      </c>
      <c r="M582" s="128"/>
      <c r="N582" s="128"/>
      <c r="O582" s="128"/>
      <c r="P582" s="129">
        <v>27.0</v>
      </c>
      <c r="Q582" s="130">
        <v>46040.35954861111</v>
      </c>
      <c r="R582" s="124" t="s">
        <v>231</v>
      </c>
      <c r="S582" s="124" t="s">
        <v>125</v>
      </c>
      <c r="T582" s="124" t="s">
        <v>2937</v>
      </c>
      <c r="U582" s="124" t="s">
        <v>2938</v>
      </c>
      <c r="V582" s="124" t="s">
        <v>2939</v>
      </c>
      <c r="W582" s="124" t="s">
        <v>2940</v>
      </c>
      <c r="X582" s="124" t="s">
        <v>120</v>
      </c>
      <c r="Y582" s="128"/>
      <c r="Z582" s="124" t="s">
        <v>120</v>
      </c>
      <c r="AA582" s="128"/>
      <c r="AB582" s="124" t="s">
        <v>120</v>
      </c>
      <c r="AC582" s="128"/>
      <c r="AD582" s="128"/>
      <c r="AE582" s="124" t="s">
        <v>120</v>
      </c>
      <c r="AF582" s="128"/>
      <c r="AG582" s="124" t="s">
        <v>120</v>
      </c>
      <c r="AH582" s="128"/>
      <c r="AI582" s="124" t="s">
        <v>120</v>
      </c>
      <c r="AJ582" s="128"/>
      <c r="AK582" s="128"/>
      <c r="AL582" s="124" t="s">
        <v>242</v>
      </c>
      <c r="AM582" s="124" t="s">
        <v>216</v>
      </c>
      <c r="AN582" s="124" t="s">
        <v>129</v>
      </c>
      <c r="AO582" s="124" t="s">
        <v>128</v>
      </c>
      <c r="AP582" s="124"/>
    </row>
    <row r="583">
      <c r="A583" s="124" t="s">
        <v>2941</v>
      </c>
      <c r="B583" s="124" t="s">
        <v>1858</v>
      </c>
      <c r="C583" s="124" t="s">
        <v>2942</v>
      </c>
      <c r="D583" s="127">
        <v>39031.0</v>
      </c>
      <c r="E583" s="124" t="s">
        <v>98</v>
      </c>
      <c r="F583" s="124">
        <v>5.56065791E9</v>
      </c>
      <c r="G583" s="124" t="s">
        <v>2943</v>
      </c>
      <c r="H583" s="124" t="s">
        <v>140</v>
      </c>
      <c r="I583" s="128"/>
      <c r="J583" s="124" t="s">
        <v>2946</v>
      </c>
      <c r="K583" s="124" t="s">
        <v>1869</v>
      </c>
      <c r="L583" s="128" t="str">
        <f>+52 55 4339 0562</f>
        <v>#ERROR!</v>
      </c>
      <c r="M583" s="128"/>
      <c r="N583" s="128"/>
      <c r="O583" s="128"/>
      <c r="P583" s="129">
        <v>19.0</v>
      </c>
      <c r="Q583" s="130">
        <v>46033.52354166667</v>
      </c>
      <c r="R583" s="124" t="s">
        <v>107</v>
      </c>
      <c r="S583" s="124" t="s">
        <v>125</v>
      </c>
      <c r="T583" s="124" t="s">
        <v>208</v>
      </c>
      <c r="U583" s="124" t="s">
        <v>478</v>
      </c>
      <c r="V583" s="124" t="s">
        <v>480</v>
      </c>
      <c r="W583" s="124" t="s">
        <v>481</v>
      </c>
      <c r="X583" s="124" t="s">
        <v>120</v>
      </c>
      <c r="Y583" s="128"/>
      <c r="Z583" s="124" t="s">
        <v>117</v>
      </c>
      <c r="AA583" s="124" t="s">
        <v>2952</v>
      </c>
      <c r="AB583" s="124" t="s">
        <v>120</v>
      </c>
      <c r="AC583" s="124" t="s">
        <v>120</v>
      </c>
      <c r="AD583" s="128"/>
      <c r="AE583" s="124" t="s">
        <v>120</v>
      </c>
      <c r="AF583" s="128"/>
      <c r="AG583" s="124" t="s">
        <v>120</v>
      </c>
      <c r="AH583" s="128"/>
      <c r="AI583" s="124" t="s">
        <v>120</v>
      </c>
      <c r="AJ583" s="128"/>
      <c r="AK583" s="128"/>
      <c r="AL583" s="124" t="s">
        <v>242</v>
      </c>
      <c r="AM583" s="124" t="s">
        <v>129</v>
      </c>
      <c r="AN583" s="124" t="s">
        <v>141</v>
      </c>
      <c r="AO583" s="124" t="s">
        <v>124</v>
      </c>
      <c r="AP583" s="124"/>
    </row>
    <row r="584">
      <c r="A584" s="124" t="s">
        <v>1761</v>
      </c>
      <c r="B584" s="124" t="s">
        <v>1713</v>
      </c>
      <c r="C584" s="124" t="s">
        <v>1763</v>
      </c>
      <c r="D584" s="127">
        <v>41238.0</v>
      </c>
      <c r="E584" s="124" t="s">
        <v>98</v>
      </c>
      <c r="F584" s="124" t="s">
        <v>1765</v>
      </c>
      <c r="G584" s="124" t="s">
        <v>1767</v>
      </c>
      <c r="H584" s="124" t="s">
        <v>150</v>
      </c>
      <c r="I584" s="124" t="s">
        <v>1768</v>
      </c>
      <c r="J584" s="124" t="s">
        <v>1719</v>
      </c>
      <c r="K584" s="124" t="s">
        <v>1720</v>
      </c>
      <c r="L584" s="124">
        <v>4.731807245E9</v>
      </c>
      <c r="M584" s="128"/>
      <c r="N584" s="128"/>
      <c r="O584" s="128"/>
      <c r="P584" s="129">
        <v>13.0</v>
      </c>
      <c r="Q584" s="130">
        <v>46029.10758101852</v>
      </c>
      <c r="R584" s="124" t="s">
        <v>107</v>
      </c>
      <c r="S584" s="124" t="s">
        <v>109</v>
      </c>
      <c r="T584" s="124" t="s">
        <v>127</v>
      </c>
      <c r="U584" s="124" t="s">
        <v>531</v>
      </c>
      <c r="V584" s="124" t="s">
        <v>532</v>
      </c>
      <c r="W584" s="124" t="s">
        <v>534</v>
      </c>
      <c r="X584" s="124" t="s">
        <v>120</v>
      </c>
      <c r="Y584" s="128"/>
      <c r="Z584" s="124" t="s">
        <v>117</v>
      </c>
      <c r="AA584" s="124" t="s">
        <v>1729</v>
      </c>
      <c r="AB584" s="124" t="s">
        <v>120</v>
      </c>
      <c r="AC584" s="124" t="s">
        <v>120</v>
      </c>
      <c r="AD584" s="128"/>
      <c r="AE584" s="124" t="s">
        <v>120</v>
      </c>
      <c r="AF584" s="128"/>
      <c r="AG584" s="124" t="s">
        <v>120</v>
      </c>
      <c r="AH584" s="128"/>
      <c r="AI584" s="124" t="s">
        <v>120</v>
      </c>
      <c r="AJ584" s="128"/>
      <c r="AK584" s="128"/>
      <c r="AL584" s="124" t="s">
        <v>129</v>
      </c>
      <c r="AM584" s="124" t="s">
        <v>216</v>
      </c>
      <c r="AN584" s="124" t="s">
        <v>138</v>
      </c>
      <c r="AO584" s="124" t="s">
        <v>240</v>
      </c>
      <c r="AP584" s="124"/>
    </row>
    <row r="585">
      <c r="A585" s="124" t="s">
        <v>4658</v>
      </c>
      <c r="B585" s="124" t="s">
        <v>4659</v>
      </c>
      <c r="C585" s="124" t="s">
        <v>4660</v>
      </c>
      <c r="D585" s="127">
        <v>39683.0</v>
      </c>
      <c r="E585" s="124" t="s">
        <v>98</v>
      </c>
      <c r="F585" s="124">
        <v>5.519030443E9</v>
      </c>
      <c r="G585" s="124" t="s">
        <v>4661</v>
      </c>
      <c r="H585" s="124" t="s">
        <v>101</v>
      </c>
      <c r="I585" s="124" t="s">
        <v>135</v>
      </c>
      <c r="J585" s="124" t="s">
        <v>4662</v>
      </c>
      <c r="K585" s="124" t="s">
        <v>4663</v>
      </c>
      <c r="L585" s="124">
        <v>5.54653213E9</v>
      </c>
      <c r="M585" s="124" t="s">
        <v>4664</v>
      </c>
      <c r="N585" s="124" t="s">
        <v>4665</v>
      </c>
      <c r="O585" s="124">
        <v>5.536345581E9</v>
      </c>
      <c r="P585" s="129">
        <v>17.0</v>
      </c>
      <c r="Q585" s="130">
        <v>46033.50067129629</v>
      </c>
      <c r="R585" s="124" t="s">
        <v>107</v>
      </c>
      <c r="S585" s="124" t="s">
        <v>109</v>
      </c>
      <c r="T585" s="124" t="s">
        <v>171</v>
      </c>
      <c r="U585" s="124" t="s">
        <v>444</v>
      </c>
      <c r="V585" s="124" t="s">
        <v>445</v>
      </c>
      <c r="W585" s="124" t="s">
        <v>446</v>
      </c>
      <c r="X585" s="124" t="s">
        <v>120</v>
      </c>
      <c r="Y585" s="124" t="s">
        <v>135</v>
      </c>
      <c r="Z585" s="124" t="s">
        <v>120</v>
      </c>
      <c r="AA585" s="124" t="s">
        <v>135</v>
      </c>
      <c r="AB585" s="124" t="s">
        <v>120</v>
      </c>
      <c r="AC585" s="124" t="s">
        <v>120</v>
      </c>
      <c r="AD585" s="124" t="s">
        <v>135</v>
      </c>
      <c r="AE585" s="124" t="s">
        <v>120</v>
      </c>
      <c r="AF585" s="124" t="s">
        <v>135</v>
      </c>
      <c r="AG585" s="124" t="s">
        <v>120</v>
      </c>
      <c r="AH585" s="124" t="s">
        <v>135</v>
      </c>
      <c r="AI585" s="124" t="s">
        <v>120</v>
      </c>
      <c r="AJ585" s="124" t="s">
        <v>135</v>
      </c>
      <c r="AK585" s="124" t="s">
        <v>135</v>
      </c>
      <c r="AL585" s="124" t="s">
        <v>156</v>
      </c>
      <c r="AM585" s="124" t="s">
        <v>138</v>
      </c>
      <c r="AN585" s="124" t="s">
        <v>185</v>
      </c>
      <c r="AO585" s="124" t="s">
        <v>126</v>
      </c>
      <c r="AP585" s="124"/>
    </row>
    <row r="586">
      <c r="A586" s="124" t="s">
        <v>3714</v>
      </c>
      <c r="B586" s="124" t="s">
        <v>2510</v>
      </c>
      <c r="C586" s="124" t="s">
        <v>3715</v>
      </c>
      <c r="D586" s="127">
        <v>40312.0</v>
      </c>
      <c r="E586" s="124" t="s">
        <v>177</v>
      </c>
      <c r="F586" s="124">
        <v>5.563381959E9</v>
      </c>
      <c r="G586" s="124" t="s">
        <v>2515</v>
      </c>
      <c r="H586" s="124" t="s">
        <v>101</v>
      </c>
      <c r="I586" s="124" t="s">
        <v>2513</v>
      </c>
      <c r="J586" s="124" t="s">
        <v>2514</v>
      </c>
      <c r="K586" s="124" t="s">
        <v>2515</v>
      </c>
      <c r="L586" s="124">
        <v>5.527229124E9</v>
      </c>
      <c r="M586" s="128"/>
      <c r="N586" s="128"/>
      <c r="O586" s="128"/>
      <c r="P586" s="129">
        <v>15.0</v>
      </c>
      <c r="Q586" s="130">
        <v>46033.86787037037</v>
      </c>
      <c r="R586" s="124" t="s">
        <v>107</v>
      </c>
      <c r="S586" s="124" t="s">
        <v>109</v>
      </c>
      <c r="T586" s="124" t="s">
        <v>111</v>
      </c>
      <c r="U586" s="124" t="s">
        <v>657</v>
      </c>
      <c r="V586" s="124" t="s">
        <v>659</v>
      </c>
      <c r="W586" s="124" t="s">
        <v>662</v>
      </c>
      <c r="X586" s="124" t="s">
        <v>120</v>
      </c>
      <c r="Y586" s="128"/>
      <c r="Z586" s="124" t="s">
        <v>120</v>
      </c>
      <c r="AA586" s="128"/>
      <c r="AB586" s="124" t="s">
        <v>120</v>
      </c>
      <c r="AC586" s="128"/>
      <c r="AD586" s="128"/>
      <c r="AE586" s="124" t="s">
        <v>120</v>
      </c>
      <c r="AF586" s="128"/>
      <c r="AG586" s="124" t="s">
        <v>120</v>
      </c>
      <c r="AH586" s="128"/>
      <c r="AI586" s="124" t="s">
        <v>120</v>
      </c>
      <c r="AJ586" s="128"/>
      <c r="AK586" s="128"/>
      <c r="AL586" s="124" t="s">
        <v>126</v>
      </c>
      <c r="AM586" s="124" t="s">
        <v>129</v>
      </c>
      <c r="AN586" s="124" t="s">
        <v>185</v>
      </c>
      <c r="AO586" s="124" t="s">
        <v>128</v>
      </c>
      <c r="AP586" s="124"/>
    </row>
    <row r="587">
      <c r="A587" s="124" t="s">
        <v>4666</v>
      </c>
      <c r="B587" s="124" t="s">
        <v>1731</v>
      </c>
      <c r="C587" s="124" t="s">
        <v>4667</v>
      </c>
      <c r="D587" s="127">
        <v>39933.0</v>
      </c>
      <c r="E587" s="124" t="s">
        <v>98</v>
      </c>
      <c r="F587" s="124">
        <v>5.51813172E9</v>
      </c>
      <c r="G587" s="124" t="s">
        <v>4668</v>
      </c>
      <c r="H587" s="124" t="s">
        <v>140</v>
      </c>
      <c r="I587" s="124" t="s">
        <v>135</v>
      </c>
      <c r="J587" s="124" t="s">
        <v>1736</v>
      </c>
      <c r="K587" s="124" t="s">
        <v>1737</v>
      </c>
      <c r="L587" s="124">
        <v>5.522714514E9</v>
      </c>
      <c r="M587" s="128"/>
      <c r="N587" s="128"/>
      <c r="O587" s="128"/>
      <c r="P587" s="129">
        <v>16.0</v>
      </c>
      <c r="Q587" s="130">
        <v>46035.689675925925</v>
      </c>
      <c r="R587" s="124" t="s">
        <v>107</v>
      </c>
      <c r="S587" s="124" t="s">
        <v>109</v>
      </c>
      <c r="T587" s="124" t="s">
        <v>171</v>
      </c>
      <c r="U587" s="124" t="s">
        <v>1048</v>
      </c>
      <c r="V587" s="124" t="s">
        <v>1050</v>
      </c>
      <c r="W587" s="124" t="s">
        <v>1051</v>
      </c>
      <c r="X587" s="124" t="s">
        <v>120</v>
      </c>
      <c r="Y587" s="128"/>
      <c r="Z587" s="124" t="s">
        <v>117</v>
      </c>
      <c r="AA587" s="124" t="s">
        <v>4669</v>
      </c>
      <c r="AB587" s="124" t="s">
        <v>117</v>
      </c>
      <c r="AC587" s="124" t="s">
        <v>117</v>
      </c>
      <c r="AD587" s="124" t="s">
        <v>4670</v>
      </c>
      <c r="AE587" s="124" t="s">
        <v>117</v>
      </c>
      <c r="AF587" s="124" t="s">
        <v>4671</v>
      </c>
      <c r="AG587" s="124" t="s">
        <v>117</v>
      </c>
      <c r="AH587" s="124" t="s">
        <v>4672</v>
      </c>
      <c r="AI587" s="124" t="s">
        <v>120</v>
      </c>
      <c r="AJ587" s="128"/>
      <c r="AK587" s="128"/>
      <c r="AL587" s="124" t="s">
        <v>185</v>
      </c>
      <c r="AM587" s="124" t="s">
        <v>138</v>
      </c>
      <c r="AN587" s="124" t="s">
        <v>141</v>
      </c>
      <c r="AO587" s="124" t="s">
        <v>242</v>
      </c>
      <c r="AP587" s="124"/>
    </row>
    <row r="588">
      <c r="A588" s="124" t="s">
        <v>419</v>
      </c>
      <c r="B588" s="124" t="s">
        <v>420</v>
      </c>
      <c r="C588" s="124" t="s">
        <v>421</v>
      </c>
      <c r="D588" s="127">
        <v>35756.0</v>
      </c>
      <c r="E588" s="124" t="s">
        <v>98</v>
      </c>
      <c r="F588" s="124">
        <v>5.530777327E9</v>
      </c>
      <c r="G588" s="124" t="s">
        <v>422</v>
      </c>
      <c r="H588" s="124" t="s">
        <v>101</v>
      </c>
      <c r="I588" s="124" t="s">
        <v>152</v>
      </c>
      <c r="J588" s="124" t="s">
        <v>423</v>
      </c>
      <c r="K588" s="124" t="s">
        <v>424</v>
      </c>
      <c r="L588" s="124">
        <v>5.523393901E9</v>
      </c>
      <c r="M588" s="128"/>
      <c r="N588" s="128"/>
      <c r="O588" s="128"/>
      <c r="P588" s="129">
        <v>28.0</v>
      </c>
      <c r="Q588" s="130">
        <v>46034.36640046296</v>
      </c>
      <c r="R588" s="124" t="s">
        <v>107</v>
      </c>
      <c r="S588" s="124" t="s">
        <v>125</v>
      </c>
      <c r="T588" s="124" t="s">
        <v>208</v>
      </c>
      <c r="U588" s="124" t="s">
        <v>428</v>
      </c>
      <c r="V588" s="124" t="s">
        <v>429</v>
      </c>
      <c r="W588" s="124" t="s">
        <v>430</v>
      </c>
      <c r="X588" s="124" t="s">
        <v>117</v>
      </c>
      <c r="Y588" s="124" t="s">
        <v>433</v>
      </c>
      <c r="Z588" s="124" t="s">
        <v>120</v>
      </c>
      <c r="AA588" s="128"/>
      <c r="AB588" s="124" t="s">
        <v>117</v>
      </c>
      <c r="AC588" s="124" t="s">
        <v>117</v>
      </c>
      <c r="AD588" s="124" t="s">
        <v>435</v>
      </c>
      <c r="AE588" s="124" t="s">
        <v>120</v>
      </c>
      <c r="AF588" s="128"/>
      <c r="AG588" s="124" t="s">
        <v>120</v>
      </c>
      <c r="AH588" s="128"/>
      <c r="AI588" s="124" t="s">
        <v>120</v>
      </c>
      <c r="AJ588" s="128"/>
      <c r="AK588" s="128"/>
      <c r="AL588" s="124" t="s">
        <v>242</v>
      </c>
      <c r="AM588" s="124" t="s">
        <v>216</v>
      </c>
      <c r="AN588" s="124" t="s">
        <v>138</v>
      </c>
      <c r="AO588" s="124" t="s">
        <v>156</v>
      </c>
      <c r="AP588" s="124"/>
    </row>
    <row r="589">
      <c r="A589" s="124" t="s">
        <v>2953</v>
      </c>
      <c r="B589" s="124" t="s">
        <v>2954</v>
      </c>
      <c r="C589" s="124" t="s">
        <v>2955</v>
      </c>
      <c r="D589" s="127">
        <v>38217.0</v>
      </c>
      <c r="E589" s="124" t="s">
        <v>98</v>
      </c>
      <c r="F589" s="124">
        <v>9.932175651E9</v>
      </c>
      <c r="G589" s="124" t="s">
        <v>2959</v>
      </c>
      <c r="H589" s="124" t="s">
        <v>140</v>
      </c>
      <c r="I589" s="128"/>
      <c r="J589" s="124" t="s">
        <v>2960</v>
      </c>
      <c r="K589" s="124" t="s">
        <v>2962</v>
      </c>
      <c r="L589" s="124">
        <v>9.934024442E9</v>
      </c>
      <c r="M589" s="128"/>
      <c r="N589" s="128"/>
      <c r="O589" s="128"/>
      <c r="P589" s="129">
        <v>21.0</v>
      </c>
      <c r="Q589" s="130">
        <v>45970.9447337963</v>
      </c>
      <c r="R589" s="124" t="s">
        <v>107</v>
      </c>
      <c r="S589" s="124" t="s">
        <v>125</v>
      </c>
      <c r="T589" s="124" t="s">
        <v>1953</v>
      </c>
      <c r="U589" s="124" t="s">
        <v>2965</v>
      </c>
      <c r="V589" s="124" t="s">
        <v>2966</v>
      </c>
      <c r="W589" s="124" t="s">
        <v>2967</v>
      </c>
      <c r="X589" s="124" t="s">
        <v>120</v>
      </c>
      <c r="Y589" s="128"/>
      <c r="Z589" s="124" t="s">
        <v>120</v>
      </c>
      <c r="AA589" s="128"/>
      <c r="AB589" s="124" t="s">
        <v>120</v>
      </c>
      <c r="AC589" s="124" t="s">
        <v>120</v>
      </c>
      <c r="AD589" s="128"/>
      <c r="AE589" s="124" t="s">
        <v>120</v>
      </c>
      <c r="AF589" s="128"/>
      <c r="AG589" s="124" t="s">
        <v>120</v>
      </c>
      <c r="AH589" s="128"/>
      <c r="AI589" s="124" t="s">
        <v>120</v>
      </c>
      <c r="AJ589" s="128"/>
      <c r="AK589" s="128"/>
      <c r="AL589" s="124" t="s">
        <v>129</v>
      </c>
      <c r="AM589" s="124" t="s">
        <v>156</v>
      </c>
      <c r="AN589" s="124" t="s">
        <v>124</v>
      </c>
      <c r="AO589" s="124" t="s">
        <v>141</v>
      </c>
      <c r="AP589" s="124"/>
    </row>
    <row r="590">
      <c r="A590" s="124" t="s">
        <v>2968</v>
      </c>
      <c r="B590" s="124" t="s">
        <v>2969</v>
      </c>
      <c r="C590" s="124" t="s">
        <v>2970</v>
      </c>
      <c r="D590" s="127">
        <v>36003.0</v>
      </c>
      <c r="E590" s="124" t="s">
        <v>177</v>
      </c>
      <c r="F590" s="124">
        <v>5.575073703E9</v>
      </c>
      <c r="G590" s="124" t="s">
        <v>2972</v>
      </c>
      <c r="H590" s="124" t="s">
        <v>101</v>
      </c>
      <c r="I590" s="128"/>
      <c r="J590" s="124" t="s">
        <v>2974</v>
      </c>
      <c r="K590" s="124" t="s">
        <v>2975</v>
      </c>
      <c r="L590" s="124">
        <v>5.527510194E9</v>
      </c>
      <c r="M590" s="128"/>
      <c r="N590" s="128"/>
      <c r="O590" s="128"/>
      <c r="P590" s="129">
        <v>27.0</v>
      </c>
      <c r="Q590" s="130">
        <v>46033.92427083333</v>
      </c>
      <c r="R590" s="124" t="s">
        <v>107</v>
      </c>
      <c r="S590" s="124" t="s">
        <v>125</v>
      </c>
      <c r="T590" s="124" t="s">
        <v>208</v>
      </c>
      <c r="U590" s="124" t="s">
        <v>428</v>
      </c>
      <c r="V590" s="124" t="s">
        <v>429</v>
      </c>
      <c r="W590" s="124" t="s">
        <v>430</v>
      </c>
      <c r="X590" s="124" t="s">
        <v>120</v>
      </c>
      <c r="Y590" s="128"/>
      <c r="Z590" s="124" t="s">
        <v>120</v>
      </c>
      <c r="AA590" s="128"/>
      <c r="AB590" s="124" t="s">
        <v>120</v>
      </c>
      <c r="AC590" s="128"/>
      <c r="AD590" s="128"/>
      <c r="AE590" s="124" t="s">
        <v>120</v>
      </c>
      <c r="AF590" s="128"/>
      <c r="AG590" s="124" t="s">
        <v>120</v>
      </c>
      <c r="AH590" s="128"/>
      <c r="AI590" s="124" t="s">
        <v>120</v>
      </c>
      <c r="AJ590" s="128"/>
      <c r="AK590" s="128"/>
      <c r="AL590" s="124" t="s">
        <v>141</v>
      </c>
      <c r="AM590" s="124" t="s">
        <v>128</v>
      </c>
      <c r="AN590" s="124" t="s">
        <v>138</v>
      </c>
      <c r="AO590" s="124" t="s">
        <v>138</v>
      </c>
      <c r="AP590" s="124"/>
    </row>
    <row r="591">
      <c r="A591" s="124" t="s">
        <v>4673</v>
      </c>
      <c r="B591" s="124" t="s">
        <v>3995</v>
      </c>
      <c r="C591" s="124" t="s">
        <v>4674</v>
      </c>
      <c r="D591" s="127">
        <v>41180.0</v>
      </c>
      <c r="E591" s="124" t="s">
        <v>98</v>
      </c>
      <c r="F591" s="124">
        <v>5.574714092E9</v>
      </c>
      <c r="G591" s="124" t="s">
        <v>4675</v>
      </c>
      <c r="H591" s="124" t="s">
        <v>101</v>
      </c>
      <c r="I591" s="124" t="s">
        <v>1537</v>
      </c>
      <c r="J591" s="124" t="s">
        <v>3998</v>
      </c>
      <c r="K591" s="124" t="s">
        <v>3999</v>
      </c>
      <c r="L591" s="124">
        <v>5.568794778E9</v>
      </c>
      <c r="M591" s="124" t="s">
        <v>4000</v>
      </c>
      <c r="N591" s="124" t="s">
        <v>4001</v>
      </c>
      <c r="O591" s="124">
        <v>5.539691329E9</v>
      </c>
      <c r="P591" s="129">
        <v>13.0</v>
      </c>
      <c r="Q591" s="130">
        <v>46019.69081018519</v>
      </c>
      <c r="R591" s="124" t="s">
        <v>107</v>
      </c>
      <c r="S591" s="124" t="s">
        <v>109</v>
      </c>
      <c r="T591" s="124" t="s">
        <v>127</v>
      </c>
      <c r="U591" s="124" t="s">
        <v>531</v>
      </c>
      <c r="V591" s="124" t="s">
        <v>532</v>
      </c>
      <c r="W591" s="124" t="s">
        <v>534</v>
      </c>
      <c r="X591" s="124" t="s">
        <v>120</v>
      </c>
      <c r="Y591" s="128"/>
      <c r="Z591" s="124" t="s">
        <v>120</v>
      </c>
      <c r="AA591" s="128"/>
      <c r="AB591" s="124" t="s">
        <v>120</v>
      </c>
      <c r="AC591" s="128"/>
      <c r="AD591" s="128"/>
      <c r="AE591" s="124" t="s">
        <v>120</v>
      </c>
      <c r="AF591" s="128"/>
      <c r="AG591" s="124" t="s">
        <v>120</v>
      </c>
      <c r="AH591" s="128"/>
      <c r="AI591" s="124" t="s">
        <v>120</v>
      </c>
      <c r="AJ591" s="128"/>
      <c r="AK591" s="128"/>
      <c r="AL591" s="124" t="s">
        <v>128</v>
      </c>
      <c r="AM591" s="124" t="s">
        <v>156</v>
      </c>
      <c r="AN591" s="124" t="s">
        <v>141</v>
      </c>
      <c r="AO591" s="124" t="s">
        <v>138</v>
      </c>
      <c r="AP591" s="124"/>
    </row>
    <row r="592">
      <c r="A592" s="124" t="s">
        <v>4676</v>
      </c>
      <c r="B592" s="124" t="s">
        <v>1252</v>
      </c>
      <c r="C592" s="124" t="s">
        <v>4677</v>
      </c>
      <c r="D592" s="127">
        <v>39472.0</v>
      </c>
      <c r="E592" s="124" t="s">
        <v>177</v>
      </c>
      <c r="F592" s="124">
        <v>5.614707074E9</v>
      </c>
      <c r="G592" s="124" t="s">
        <v>4678</v>
      </c>
      <c r="H592" s="124" t="s">
        <v>101</v>
      </c>
      <c r="I592" s="128"/>
      <c r="J592" s="124" t="s">
        <v>4679</v>
      </c>
      <c r="K592" s="124" t="s">
        <v>1261</v>
      </c>
      <c r="L592" s="124">
        <v>5.6147074E7</v>
      </c>
      <c r="M592" s="128"/>
      <c r="N592" s="128"/>
      <c r="O592" s="128"/>
      <c r="P592" s="129">
        <v>18.0</v>
      </c>
      <c r="Q592" s="130">
        <v>46040.9384375</v>
      </c>
      <c r="R592" s="124" t="s">
        <v>260</v>
      </c>
      <c r="S592" s="124" t="s">
        <v>109</v>
      </c>
      <c r="T592" s="124" t="s">
        <v>160</v>
      </c>
      <c r="U592" s="124" t="s">
        <v>1265</v>
      </c>
      <c r="V592" s="124" t="s">
        <v>1267</v>
      </c>
      <c r="W592" s="124" t="s">
        <v>1268</v>
      </c>
      <c r="X592" s="124" t="s">
        <v>120</v>
      </c>
      <c r="Y592" s="128"/>
      <c r="Z592" s="124" t="s">
        <v>120</v>
      </c>
      <c r="AA592" s="128"/>
      <c r="AB592" s="124" t="s">
        <v>120</v>
      </c>
      <c r="AC592" s="128"/>
      <c r="AD592" s="128"/>
      <c r="AE592" s="124" t="s">
        <v>120</v>
      </c>
      <c r="AF592" s="128"/>
      <c r="AG592" s="124" t="s">
        <v>120</v>
      </c>
      <c r="AH592" s="128"/>
      <c r="AI592" s="124" t="s">
        <v>120</v>
      </c>
      <c r="AJ592" s="128"/>
      <c r="AK592" s="128"/>
      <c r="AL592" s="124" t="s">
        <v>129</v>
      </c>
      <c r="AM592" s="124" t="s">
        <v>138</v>
      </c>
      <c r="AN592" s="124" t="s">
        <v>128</v>
      </c>
      <c r="AO592" s="124" t="s">
        <v>216</v>
      </c>
      <c r="AP592" s="124"/>
    </row>
    <row r="593">
      <c r="A593" s="124" t="s">
        <v>337</v>
      </c>
      <c r="B593" s="124" t="s">
        <v>338</v>
      </c>
      <c r="C593" s="124" t="s">
        <v>339</v>
      </c>
      <c r="D593" s="127">
        <v>39963.0</v>
      </c>
      <c r="E593" s="124" t="s">
        <v>98</v>
      </c>
      <c r="F593" s="124">
        <v>5.584396993E9</v>
      </c>
      <c r="G593" s="124" t="s">
        <v>340</v>
      </c>
      <c r="H593" s="124" t="s">
        <v>150</v>
      </c>
      <c r="I593" s="124" t="s">
        <v>341</v>
      </c>
      <c r="J593" s="124" t="s">
        <v>342</v>
      </c>
      <c r="K593" s="124" t="s">
        <v>343</v>
      </c>
      <c r="L593" s="124">
        <v>5.513841801E9</v>
      </c>
      <c r="M593" s="124" t="s">
        <v>346</v>
      </c>
      <c r="N593" s="124" t="s">
        <v>348</v>
      </c>
      <c r="O593" s="124">
        <v>5.520670619E9</v>
      </c>
      <c r="P593" s="129">
        <v>16.0</v>
      </c>
      <c r="Q593" s="130">
        <v>46022.50869212963</v>
      </c>
      <c r="R593" s="124" t="s">
        <v>107</v>
      </c>
      <c r="S593" s="124" t="s">
        <v>109</v>
      </c>
      <c r="T593" s="124" t="s">
        <v>204</v>
      </c>
      <c r="U593" s="124" t="s">
        <v>357</v>
      </c>
      <c r="V593" s="124" t="s">
        <v>359</v>
      </c>
      <c r="W593" s="124" t="s">
        <v>362</v>
      </c>
      <c r="X593" s="124" t="s">
        <v>117</v>
      </c>
      <c r="Y593" s="124" t="s">
        <v>363</v>
      </c>
      <c r="Z593" s="124" t="s">
        <v>117</v>
      </c>
      <c r="AA593" s="124" t="s">
        <v>364</v>
      </c>
      <c r="AB593" s="124" t="s">
        <v>117</v>
      </c>
      <c r="AC593" s="124" t="s">
        <v>117</v>
      </c>
      <c r="AD593" s="124" t="s">
        <v>365</v>
      </c>
      <c r="AE593" s="124" t="s">
        <v>117</v>
      </c>
      <c r="AF593" s="124" t="s">
        <v>366</v>
      </c>
      <c r="AG593" s="124" t="s">
        <v>120</v>
      </c>
      <c r="AH593" s="124" t="s">
        <v>120</v>
      </c>
      <c r="AI593" s="124" t="s">
        <v>120</v>
      </c>
      <c r="AJ593" s="124" t="s">
        <v>120</v>
      </c>
      <c r="AK593" s="124" t="s">
        <v>120</v>
      </c>
      <c r="AL593" s="124" t="s">
        <v>141</v>
      </c>
      <c r="AM593" s="124" t="s">
        <v>129</v>
      </c>
      <c r="AN593" s="124" t="s">
        <v>240</v>
      </c>
      <c r="AO593" s="124" t="s">
        <v>138</v>
      </c>
      <c r="AP593" s="124"/>
    </row>
    <row r="594">
      <c r="A594" s="124" t="s">
        <v>703</v>
      </c>
      <c r="B594" s="124" t="s">
        <v>704</v>
      </c>
      <c r="C594" s="124" t="s">
        <v>705</v>
      </c>
      <c r="D594" s="127">
        <v>38117.0</v>
      </c>
      <c r="E594" s="124" t="s">
        <v>177</v>
      </c>
      <c r="F594" s="124" t="s">
        <v>706</v>
      </c>
      <c r="G594" s="124" t="s">
        <v>707</v>
      </c>
      <c r="H594" s="124" t="s">
        <v>110</v>
      </c>
      <c r="I594" s="124" t="s">
        <v>708</v>
      </c>
      <c r="J594" s="124" t="s">
        <v>709</v>
      </c>
      <c r="K594" s="124" t="s">
        <v>711</v>
      </c>
      <c r="L594" s="124" t="s">
        <v>713</v>
      </c>
      <c r="M594" s="128"/>
      <c r="N594" s="128"/>
      <c r="O594" s="128"/>
      <c r="P594" s="129">
        <v>21.0</v>
      </c>
      <c r="Q594" s="130">
        <v>46040.81070601852</v>
      </c>
      <c r="R594" s="124" t="s">
        <v>107</v>
      </c>
      <c r="S594" s="124" t="s">
        <v>125</v>
      </c>
      <c r="T594" s="124" t="s">
        <v>208</v>
      </c>
      <c r="U594" s="124" t="s">
        <v>478</v>
      </c>
      <c r="V594" s="124" t="s">
        <v>480</v>
      </c>
      <c r="W594" s="124" t="s">
        <v>481</v>
      </c>
      <c r="X594" s="124" t="s">
        <v>120</v>
      </c>
      <c r="Y594" s="128"/>
      <c r="Z594" s="124" t="s">
        <v>120</v>
      </c>
      <c r="AA594" s="128"/>
      <c r="AB594" s="124" t="s">
        <v>120</v>
      </c>
      <c r="AC594" s="124" t="s">
        <v>120</v>
      </c>
      <c r="AD594" s="128"/>
      <c r="AE594" s="124" t="s">
        <v>120</v>
      </c>
      <c r="AF594" s="128"/>
      <c r="AG594" s="124" t="s">
        <v>120</v>
      </c>
      <c r="AH594" s="128"/>
      <c r="AI594" s="124" t="s">
        <v>120</v>
      </c>
      <c r="AJ594" s="128"/>
      <c r="AK594" s="124" t="s">
        <v>719</v>
      </c>
      <c r="AL594" s="124" t="s">
        <v>141</v>
      </c>
      <c r="AM594" s="124" t="s">
        <v>129</v>
      </c>
      <c r="AN594" s="124" t="s">
        <v>240</v>
      </c>
      <c r="AO594" s="124" t="s">
        <v>138</v>
      </c>
      <c r="AP594" s="124"/>
    </row>
    <row r="595">
      <c r="A595" s="124" t="s">
        <v>4680</v>
      </c>
      <c r="B595" s="124" t="s">
        <v>4681</v>
      </c>
      <c r="C595" s="124" t="s">
        <v>4682</v>
      </c>
      <c r="D595" s="127">
        <v>39493.0</v>
      </c>
      <c r="E595" s="124" t="s">
        <v>98</v>
      </c>
      <c r="F595" s="124">
        <v>5.542634262E9</v>
      </c>
      <c r="G595" s="124" t="s">
        <v>4683</v>
      </c>
      <c r="H595" s="124" t="s">
        <v>101</v>
      </c>
      <c r="I595" s="128"/>
      <c r="J595" s="124" t="s">
        <v>2847</v>
      </c>
      <c r="K595" s="124" t="s">
        <v>167</v>
      </c>
      <c r="L595" s="124">
        <v>5.516251047E9</v>
      </c>
      <c r="M595" s="128"/>
      <c r="N595" s="128"/>
      <c r="O595" s="128"/>
      <c r="P595" s="129">
        <v>18.0</v>
      </c>
      <c r="Q595" s="130">
        <v>46033.57305555556</v>
      </c>
      <c r="R595" s="124" t="s">
        <v>107</v>
      </c>
      <c r="S595" s="124" t="s">
        <v>109</v>
      </c>
      <c r="T595" s="124" t="s">
        <v>171</v>
      </c>
      <c r="U595" s="124" t="s">
        <v>173</v>
      </c>
      <c r="V595" s="124" t="s">
        <v>167</v>
      </c>
      <c r="W595" s="124" t="s">
        <v>175</v>
      </c>
      <c r="X595" s="124" t="s">
        <v>120</v>
      </c>
      <c r="Y595" s="128"/>
      <c r="Z595" s="124" t="s">
        <v>120</v>
      </c>
      <c r="AA595" s="128"/>
      <c r="AB595" s="124" t="s">
        <v>120</v>
      </c>
      <c r="AC595" s="124" t="s">
        <v>120</v>
      </c>
      <c r="AD595" s="128"/>
      <c r="AE595" s="124" t="s">
        <v>120</v>
      </c>
      <c r="AF595" s="128"/>
      <c r="AG595" s="124" t="s">
        <v>120</v>
      </c>
      <c r="AH595" s="128"/>
      <c r="AI595" s="124" t="s">
        <v>120</v>
      </c>
      <c r="AJ595" s="128"/>
      <c r="AK595" s="128"/>
      <c r="AL595" s="124" t="s">
        <v>185</v>
      </c>
      <c r="AM595" s="124" t="s">
        <v>185</v>
      </c>
      <c r="AN595" s="124" t="s">
        <v>185</v>
      </c>
      <c r="AO595" s="124" t="s">
        <v>185</v>
      </c>
      <c r="AP595" s="124"/>
    </row>
    <row r="596">
      <c r="A596" s="124" t="s">
        <v>4684</v>
      </c>
      <c r="B596" s="124" t="s">
        <v>4685</v>
      </c>
      <c r="C596" s="124" t="s">
        <v>4686</v>
      </c>
      <c r="D596" s="127">
        <v>40732.0</v>
      </c>
      <c r="E596" s="124" t="s">
        <v>177</v>
      </c>
      <c r="F596" s="124">
        <v>5.573238702E9</v>
      </c>
      <c r="G596" s="124" t="s">
        <v>4687</v>
      </c>
      <c r="H596" s="124" t="s">
        <v>150</v>
      </c>
      <c r="I596" s="128"/>
      <c r="J596" s="124" t="s">
        <v>4688</v>
      </c>
      <c r="K596" s="124" t="s">
        <v>4689</v>
      </c>
      <c r="L596" s="124">
        <v>5.528522709E9</v>
      </c>
      <c r="M596" s="124" t="s">
        <v>4690</v>
      </c>
      <c r="N596" s="124" t="s">
        <v>4691</v>
      </c>
      <c r="O596" s="124">
        <v>5.57595377E9</v>
      </c>
      <c r="P596" s="129">
        <v>14.0</v>
      </c>
      <c r="Q596" s="130">
        <v>46040.45091435185</v>
      </c>
      <c r="R596" s="124" t="s">
        <v>107</v>
      </c>
      <c r="S596" s="124" t="s">
        <v>109</v>
      </c>
      <c r="T596" s="124" t="s">
        <v>111</v>
      </c>
      <c r="U596" s="124" t="s">
        <v>398</v>
      </c>
      <c r="V596" s="124" t="s">
        <v>399</v>
      </c>
      <c r="W596" s="124" t="s">
        <v>400</v>
      </c>
      <c r="X596" s="124" t="s">
        <v>120</v>
      </c>
      <c r="Y596" s="128"/>
      <c r="Z596" s="124" t="s">
        <v>120</v>
      </c>
      <c r="AA596" s="128"/>
      <c r="AB596" s="124" t="s">
        <v>120</v>
      </c>
      <c r="AC596" s="128"/>
      <c r="AD596" s="128"/>
      <c r="AE596" s="124" t="s">
        <v>120</v>
      </c>
      <c r="AF596" s="128"/>
      <c r="AG596" s="124" t="s">
        <v>120</v>
      </c>
      <c r="AH596" s="128"/>
      <c r="AI596" s="124" t="s">
        <v>120</v>
      </c>
      <c r="AJ596" s="128"/>
      <c r="AK596" s="128"/>
      <c r="AL596" s="124" t="s">
        <v>138</v>
      </c>
      <c r="AM596" s="124" t="s">
        <v>126</v>
      </c>
      <c r="AN596" s="124" t="s">
        <v>242</v>
      </c>
      <c r="AO596" s="124" t="s">
        <v>124</v>
      </c>
      <c r="AP596" s="124"/>
    </row>
    <row r="597">
      <c r="A597" s="124" t="s">
        <v>4692</v>
      </c>
      <c r="B597" s="124" t="s">
        <v>3826</v>
      </c>
      <c r="C597" s="124" t="s">
        <v>4693</v>
      </c>
      <c r="D597" s="127">
        <v>40246.0</v>
      </c>
      <c r="E597" s="124" t="s">
        <v>98</v>
      </c>
      <c r="F597" s="124">
        <v>5.527438401E9</v>
      </c>
      <c r="G597" s="124" t="s">
        <v>4694</v>
      </c>
      <c r="H597" s="124" t="s">
        <v>140</v>
      </c>
      <c r="I597" s="128"/>
      <c r="J597" s="124" t="s">
        <v>3829</v>
      </c>
      <c r="K597" s="124" t="s">
        <v>3830</v>
      </c>
      <c r="L597" s="124">
        <v>5.533331875E9</v>
      </c>
      <c r="M597" s="124" t="s">
        <v>3831</v>
      </c>
      <c r="N597" s="124" t="s">
        <v>3832</v>
      </c>
      <c r="O597" s="124">
        <v>5.527556424E9</v>
      </c>
      <c r="P597" s="129">
        <v>15.0</v>
      </c>
      <c r="Q597" s="130">
        <v>46047.55054398148</v>
      </c>
      <c r="R597" s="124" t="s">
        <v>107</v>
      </c>
      <c r="S597" s="124" t="s">
        <v>109</v>
      </c>
      <c r="T597" s="124" t="s">
        <v>208</v>
      </c>
      <c r="U597" s="124" t="s">
        <v>478</v>
      </c>
      <c r="V597" s="124" t="s">
        <v>480</v>
      </c>
      <c r="W597" s="124" t="s">
        <v>481</v>
      </c>
      <c r="X597" s="124" t="s">
        <v>120</v>
      </c>
      <c r="Y597" s="128"/>
      <c r="Z597" s="124" t="s">
        <v>120</v>
      </c>
      <c r="AA597" s="128"/>
      <c r="AB597" s="124" t="s">
        <v>120</v>
      </c>
      <c r="AC597" s="128"/>
      <c r="AD597" s="128"/>
      <c r="AE597" s="124" t="s">
        <v>120</v>
      </c>
      <c r="AF597" s="128"/>
      <c r="AG597" s="124" t="s">
        <v>120</v>
      </c>
      <c r="AH597" s="128"/>
      <c r="AI597" s="124" t="s">
        <v>120</v>
      </c>
      <c r="AJ597" s="128"/>
      <c r="AK597" s="128"/>
      <c r="AL597" s="124" t="s">
        <v>124</v>
      </c>
      <c r="AM597" s="124" t="s">
        <v>126</v>
      </c>
      <c r="AN597" s="124" t="s">
        <v>138</v>
      </c>
      <c r="AO597" s="124" t="s">
        <v>185</v>
      </c>
      <c r="AP597" s="124"/>
    </row>
    <row r="598">
      <c r="A598" s="124" t="s">
        <v>488</v>
      </c>
      <c r="B598" s="124" t="s">
        <v>489</v>
      </c>
      <c r="C598" s="124" t="s">
        <v>490</v>
      </c>
      <c r="D598" s="127">
        <v>39622.0</v>
      </c>
      <c r="E598" s="124" t="s">
        <v>98</v>
      </c>
      <c r="F598" s="124">
        <v>5.620728299E9</v>
      </c>
      <c r="G598" s="124" t="s">
        <v>491</v>
      </c>
      <c r="H598" s="124" t="s">
        <v>140</v>
      </c>
      <c r="I598" s="124" t="s">
        <v>492</v>
      </c>
      <c r="J598" s="124" t="s">
        <v>493</v>
      </c>
      <c r="K598" s="124" t="s">
        <v>494</v>
      </c>
      <c r="L598" s="124">
        <v>5.578921929E9</v>
      </c>
      <c r="M598" s="124" t="s">
        <v>495</v>
      </c>
      <c r="N598" s="124" t="s">
        <v>496</v>
      </c>
      <c r="O598" s="124">
        <v>5.520848283E9</v>
      </c>
      <c r="P598" s="129">
        <v>17.0</v>
      </c>
      <c r="Q598" s="130">
        <v>46026.802939814814</v>
      </c>
      <c r="R598" s="124" t="s">
        <v>107</v>
      </c>
      <c r="S598" s="124" t="s">
        <v>109</v>
      </c>
      <c r="T598" s="124" t="s">
        <v>160</v>
      </c>
      <c r="U598" s="124" t="s">
        <v>161</v>
      </c>
      <c r="V598" s="124" t="s">
        <v>163</v>
      </c>
      <c r="W598" s="124" t="s">
        <v>165</v>
      </c>
      <c r="X598" s="124" t="s">
        <v>117</v>
      </c>
      <c r="Y598" s="124" t="s">
        <v>500</v>
      </c>
      <c r="Z598" s="124" t="s">
        <v>120</v>
      </c>
      <c r="AA598" s="128"/>
      <c r="AB598" s="124" t="s">
        <v>117</v>
      </c>
      <c r="AC598" s="124" t="s">
        <v>117</v>
      </c>
      <c r="AD598" s="128"/>
      <c r="AE598" s="124" t="s">
        <v>120</v>
      </c>
      <c r="AF598" s="128"/>
      <c r="AG598" s="124" t="s">
        <v>120</v>
      </c>
      <c r="AH598" s="128"/>
      <c r="AI598" s="124" t="s">
        <v>120</v>
      </c>
      <c r="AJ598" s="128"/>
      <c r="AK598" s="128"/>
      <c r="AL598" s="124" t="s">
        <v>126</v>
      </c>
      <c r="AM598" s="124" t="s">
        <v>128</v>
      </c>
      <c r="AN598" s="124" t="s">
        <v>185</v>
      </c>
      <c r="AO598" s="124" t="s">
        <v>124</v>
      </c>
      <c r="AP598" s="124"/>
    </row>
    <row r="599">
      <c r="A599" s="124" t="s">
        <v>4695</v>
      </c>
      <c r="B599" s="124" t="s">
        <v>4696</v>
      </c>
      <c r="C599" s="124" t="s">
        <v>4697</v>
      </c>
      <c r="D599" s="127">
        <v>41011.0</v>
      </c>
      <c r="E599" s="124" t="s">
        <v>177</v>
      </c>
      <c r="F599" s="124">
        <v>5.564393591E9</v>
      </c>
      <c r="G599" s="124" t="s">
        <v>4698</v>
      </c>
      <c r="H599" s="124" t="s">
        <v>101</v>
      </c>
      <c r="I599" s="124" t="s">
        <v>4699</v>
      </c>
      <c r="J599" s="124" t="s">
        <v>603</v>
      </c>
      <c r="K599" s="124" t="s">
        <v>602</v>
      </c>
      <c r="L599" s="124">
        <v>5.560615652E9</v>
      </c>
      <c r="M599" s="124" t="s">
        <v>4700</v>
      </c>
      <c r="N599" s="124" t="s">
        <v>4701</v>
      </c>
      <c r="O599" s="124">
        <v>5.531433125E9</v>
      </c>
      <c r="P599" s="129">
        <v>13.0</v>
      </c>
      <c r="Q599" s="130">
        <v>46026.56737268518</v>
      </c>
      <c r="R599" s="124" t="s">
        <v>107</v>
      </c>
      <c r="S599" s="124" t="s">
        <v>109</v>
      </c>
      <c r="T599" s="124" t="s">
        <v>208</v>
      </c>
      <c r="U599" s="124" t="s">
        <v>601</v>
      </c>
      <c r="V599" s="124" t="s">
        <v>602</v>
      </c>
      <c r="W599" s="124" t="s">
        <v>603</v>
      </c>
      <c r="X599" s="124" t="s">
        <v>120</v>
      </c>
      <c r="Y599" s="128"/>
      <c r="Z599" s="124" t="s">
        <v>120</v>
      </c>
      <c r="AA599" s="128"/>
      <c r="AB599" s="124" t="s">
        <v>120</v>
      </c>
      <c r="AC599" s="124" t="s">
        <v>120</v>
      </c>
      <c r="AD599" s="128"/>
      <c r="AE599" s="124" t="s">
        <v>120</v>
      </c>
      <c r="AF599" s="128"/>
      <c r="AG599" s="124" t="s">
        <v>120</v>
      </c>
      <c r="AH599" s="128"/>
      <c r="AI599" s="124" t="s">
        <v>120</v>
      </c>
      <c r="AJ599" s="128"/>
      <c r="AK599" s="128"/>
      <c r="AL599" s="124" t="s">
        <v>185</v>
      </c>
      <c r="AM599" s="124" t="s">
        <v>124</v>
      </c>
      <c r="AN599" s="124" t="s">
        <v>240</v>
      </c>
      <c r="AO599" s="124" t="s">
        <v>156</v>
      </c>
      <c r="AP599" s="124"/>
    </row>
    <row r="600">
      <c r="A600" s="124" t="s">
        <v>4702</v>
      </c>
      <c r="B600" s="124" t="s">
        <v>4703</v>
      </c>
      <c r="C600" s="124" t="s">
        <v>4704</v>
      </c>
      <c r="D600" s="127">
        <v>41063.0</v>
      </c>
      <c r="E600" s="124" t="s">
        <v>98</v>
      </c>
      <c r="F600" s="124">
        <v>7.352103225E9</v>
      </c>
      <c r="G600" s="124" t="s">
        <v>4705</v>
      </c>
      <c r="H600" s="124" t="s">
        <v>140</v>
      </c>
      <c r="I600" s="128"/>
      <c r="J600" s="124" t="s">
        <v>4706</v>
      </c>
      <c r="K600" s="124" t="s">
        <v>4705</v>
      </c>
      <c r="L600" s="124">
        <v>7.352103225E9</v>
      </c>
      <c r="M600" s="128"/>
      <c r="N600" s="128"/>
      <c r="O600" s="128"/>
      <c r="P600" s="129">
        <v>13.0</v>
      </c>
      <c r="Q600" s="130">
        <v>46040.5750462963</v>
      </c>
      <c r="R600" s="124" t="s">
        <v>107</v>
      </c>
      <c r="S600" s="124" t="s">
        <v>109</v>
      </c>
      <c r="T600" s="124" t="s">
        <v>204</v>
      </c>
      <c r="U600" s="124" t="s">
        <v>367</v>
      </c>
      <c r="V600" s="124" t="s">
        <v>368</v>
      </c>
      <c r="W600" s="124" t="s">
        <v>369</v>
      </c>
      <c r="X600" s="124" t="s">
        <v>120</v>
      </c>
      <c r="Y600" s="128"/>
      <c r="Z600" s="124" t="s">
        <v>120</v>
      </c>
      <c r="AA600" s="128"/>
      <c r="AB600" s="124" t="s">
        <v>120</v>
      </c>
      <c r="AC600" s="128"/>
      <c r="AD600" s="128"/>
      <c r="AE600" s="124" t="s">
        <v>120</v>
      </c>
      <c r="AF600" s="128"/>
      <c r="AG600" s="124" t="s">
        <v>120</v>
      </c>
      <c r="AH600" s="128"/>
      <c r="AI600" s="124" t="s">
        <v>120</v>
      </c>
      <c r="AJ600" s="128"/>
      <c r="AK600" s="128"/>
      <c r="AL600" s="124" t="s">
        <v>141</v>
      </c>
      <c r="AM600" s="124" t="s">
        <v>129</v>
      </c>
      <c r="AN600" s="124" t="s">
        <v>138</v>
      </c>
      <c r="AO600" s="124" t="s">
        <v>242</v>
      </c>
      <c r="AP600" s="124"/>
    </row>
    <row r="601">
      <c r="A601" s="124" t="s">
        <v>2977</v>
      </c>
      <c r="B601" s="124" t="s">
        <v>2978</v>
      </c>
      <c r="C601" s="124" t="s">
        <v>2979</v>
      </c>
      <c r="D601" s="127">
        <v>38589.0</v>
      </c>
      <c r="E601" s="124" t="s">
        <v>98</v>
      </c>
      <c r="F601" s="124">
        <v>5.530834701E9</v>
      </c>
      <c r="G601" s="124" t="s">
        <v>2980</v>
      </c>
      <c r="H601" s="124" t="s">
        <v>101</v>
      </c>
      <c r="I601" s="128"/>
      <c r="J601" s="124" t="s">
        <v>2983</v>
      </c>
      <c r="K601" s="124" t="s">
        <v>2985</v>
      </c>
      <c r="L601" s="124">
        <v>5.530834701E9</v>
      </c>
      <c r="M601" s="128"/>
      <c r="N601" s="128"/>
      <c r="O601" s="128"/>
      <c r="P601" s="129">
        <v>20.0</v>
      </c>
      <c r="Q601" s="130">
        <v>46034.67429398148</v>
      </c>
      <c r="R601" s="124" t="s">
        <v>107</v>
      </c>
      <c r="S601" s="124" t="s">
        <v>125</v>
      </c>
      <c r="T601" s="124" t="s">
        <v>204</v>
      </c>
      <c r="U601" s="124" t="s">
        <v>699</v>
      </c>
      <c r="V601" s="124" t="s">
        <v>700</v>
      </c>
      <c r="W601" s="124" t="s">
        <v>702</v>
      </c>
      <c r="X601" s="124" t="s">
        <v>120</v>
      </c>
      <c r="Y601" s="128"/>
      <c r="Z601" s="124" t="s">
        <v>117</v>
      </c>
      <c r="AA601" s="124" t="s">
        <v>2989</v>
      </c>
      <c r="AB601" s="124" t="s">
        <v>120</v>
      </c>
      <c r="AC601" s="128"/>
      <c r="AD601" s="128"/>
      <c r="AE601" s="124" t="s">
        <v>120</v>
      </c>
      <c r="AF601" s="128"/>
      <c r="AG601" s="124" t="s">
        <v>120</v>
      </c>
      <c r="AH601" s="128"/>
      <c r="AI601" s="124" t="s">
        <v>120</v>
      </c>
      <c r="AJ601" s="128"/>
      <c r="AK601" s="128"/>
      <c r="AL601" s="124" t="s">
        <v>185</v>
      </c>
      <c r="AM601" s="124" t="s">
        <v>129</v>
      </c>
      <c r="AN601" s="124" t="s">
        <v>124</v>
      </c>
      <c r="AO601" s="124" t="s">
        <v>128</v>
      </c>
      <c r="AP601" s="124"/>
    </row>
    <row r="602">
      <c r="A602" s="124" t="s">
        <v>157</v>
      </c>
      <c r="B602" s="124" t="s">
        <v>158</v>
      </c>
      <c r="C602" s="124" t="s">
        <v>159</v>
      </c>
      <c r="D602" s="127">
        <v>40857.0</v>
      </c>
      <c r="E602" s="124" t="s">
        <v>98</v>
      </c>
      <c r="F602" s="124">
        <v>5.578876242E9</v>
      </c>
      <c r="G602" s="124" t="s">
        <v>162</v>
      </c>
      <c r="H602" s="124" t="s">
        <v>101</v>
      </c>
      <c r="I602" s="124" t="s">
        <v>164</v>
      </c>
      <c r="J602" s="124" t="s">
        <v>166</v>
      </c>
      <c r="K602" s="124" t="s">
        <v>167</v>
      </c>
      <c r="L602" s="124">
        <v>5.591110991E9</v>
      </c>
      <c r="M602" s="128"/>
      <c r="N602" s="128"/>
      <c r="O602" s="128"/>
      <c r="P602" s="129">
        <v>14.0</v>
      </c>
      <c r="Q602" s="130">
        <v>46033.58049768519</v>
      </c>
      <c r="R602" s="124" t="s">
        <v>107</v>
      </c>
      <c r="S602" s="124" t="s">
        <v>109</v>
      </c>
      <c r="T602" s="124" t="s">
        <v>171</v>
      </c>
      <c r="U602" s="124" t="s">
        <v>173</v>
      </c>
      <c r="V602" s="124" t="s">
        <v>167</v>
      </c>
      <c r="W602" s="124" t="s">
        <v>175</v>
      </c>
      <c r="X602" s="124" t="s">
        <v>117</v>
      </c>
      <c r="Y602" s="124" t="s">
        <v>176</v>
      </c>
      <c r="Z602" s="124" t="s">
        <v>120</v>
      </c>
      <c r="AA602" s="128"/>
      <c r="AB602" s="124" t="s">
        <v>120</v>
      </c>
      <c r="AC602" s="124" t="s">
        <v>120</v>
      </c>
      <c r="AD602" s="128"/>
      <c r="AE602" s="124" t="s">
        <v>120</v>
      </c>
      <c r="AF602" s="128"/>
      <c r="AG602" s="124" t="s">
        <v>120</v>
      </c>
      <c r="AH602" s="128"/>
      <c r="AI602" s="124" t="s">
        <v>117</v>
      </c>
      <c r="AJ602" s="124" t="s">
        <v>182</v>
      </c>
      <c r="AK602" s="128"/>
      <c r="AL602" s="124" t="s">
        <v>156</v>
      </c>
      <c r="AM602" s="124" t="s">
        <v>138</v>
      </c>
      <c r="AN602" s="124" t="s">
        <v>129</v>
      </c>
      <c r="AO602" s="124" t="s">
        <v>185</v>
      </c>
      <c r="AP602" s="124"/>
    </row>
    <row r="603">
      <c r="A603" s="124" t="s">
        <v>685</v>
      </c>
      <c r="B603" s="124" t="s">
        <v>687</v>
      </c>
      <c r="C603" s="124" t="s">
        <v>688</v>
      </c>
      <c r="D603" s="127">
        <v>41035.0</v>
      </c>
      <c r="E603" s="124" t="s">
        <v>98</v>
      </c>
      <c r="F603" s="124" t="s">
        <v>692</v>
      </c>
      <c r="G603" s="124" t="s">
        <v>694</v>
      </c>
      <c r="H603" s="124" t="s">
        <v>140</v>
      </c>
      <c r="I603" s="128"/>
      <c r="J603" s="124" t="s">
        <v>695</v>
      </c>
      <c r="K603" s="124" t="s">
        <v>694</v>
      </c>
      <c r="L603" s="124">
        <v>5.572462114E9</v>
      </c>
      <c r="M603" s="128"/>
      <c r="N603" s="128"/>
      <c r="O603" s="128"/>
      <c r="P603" s="129">
        <v>13.0</v>
      </c>
      <c r="Q603" s="130">
        <v>46021.86675925926</v>
      </c>
      <c r="R603" s="124" t="s">
        <v>107</v>
      </c>
      <c r="S603" s="124" t="s">
        <v>109</v>
      </c>
      <c r="T603" s="124" t="s">
        <v>204</v>
      </c>
      <c r="U603" s="124" t="s">
        <v>699</v>
      </c>
      <c r="V603" s="124" t="s">
        <v>700</v>
      </c>
      <c r="W603" s="124" t="s">
        <v>702</v>
      </c>
      <c r="X603" s="124" t="s">
        <v>117</v>
      </c>
      <c r="Y603" s="128"/>
      <c r="Z603" s="124" t="s">
        <v>117</v>
      </c>
      <c r="AA603" s="128"/>
      <c r="AB603" s="124" t="s">
        <v>117</v>
      </c>
      <c r="AC603" s="128"/>
      <c r="AD603" s="128"/>
      <c r="AE603" s="124" t="s">
        <v>117</v>
      </c>
      <c r="AF603" s="128"/>
      <c r="AG603" s="124" t="s">
        <v>117</v>
      </c>
      <c r="AH603" s="128"/>
      <c r="AI603" s="124" t="s">
        <v>117</v>
      </c>
      <c r="AJ603" s="128"/>
      <c r="AK603" s="128"/>
      <c r="AL603" s="124" t="s">
        <v>141</v>
      </c>
      <c r="AM603" s="124" t="s">
        <v>141</v>
      </c>
      <c r="AN603" s="124" t="s">
        <v>141</v>
      </c>
      <c r="AO603" s="124" t="s">
        <v>141</v>
      </c>
      <c r="AP603" s="124"/>
    </row>
    <row r="604">
      <c r="A604" s="124" t="s">
        <v>2990</v>
      </c>
      <c r="B604" s="124" t="s">
        <v>2991</v>
      </c>
      <c r="C604" s="124" t="s">
        <v>2995</v>
      </c>
      <c r="D604" s="127">
        <v>38354.0</v>
      </c>
      <c r="E604" s="124" t="s">
        <v>98</v>
      </c>
      <c r="F604" s="124">
        <v>5.521376187E9</v>
      </c>
      <c r="G604" s="124" t="s">
        <v>2998</v>
      </c>
      <c r="H604" s="124" t="s">
        <v>101</v>
      </c>
      <c r="I604" s="128"/>
      <c r="J604" s="124" t="s">
        <v>2999</v>
      </c>
      <c r="K604" s="124" t="s">
        <v>3000</v>
      </c>
      <c r="L604" s="124" t="s">
        <v>3001</v>
      </c>
      <c r="M604" s="128"/>
      <c r="N604" s="128"/>
      <c r="O604" s="128"/>
      <c r="P604" s="129">
        <v>21.0</v>
      </c>
      <c r="Q604" s="130">
        <v>46038.898125</v>
      </c>
      <c r="R604" s="124" t="s">
        <v>107</v>
      </c>
      <c r="S604" s="124" t="s">
        <v>125</v>
      </c>
      <c r="T604" s="124" t="s">
        <v>160</v>
      </c>
      <c r="U604" s="124" t="s">
        <v>308</v>
      </c>
      <c r="V604" s="124" t="s">
        <v>309</v>
      </c>
      <c r="W604" s="124" t="s">
        <v>310</v>
      </c>
      <c r="X604" s="124" t="s">
        <v>120</v>
      </c>
      <c r="Y604" s="128"/>
      <c r="Z604" s="124" t="s">
        <v>120</v>
      </c>
      <c r="AA604" s="128"/>
      <c r="AB604" s="124" t="s">
        <v>117</v>
      </c>
      <c r="AC604" s="124" t="s">
        <v>117</v>
      </c>
      <c r="AD604" s="124" t="s">
        <v>1639</v>
      </c>
      <c r="AE604" s="124" t="s">
        <v>120</v>
      </c>
      <c r="AF604" s="128"/>
      <c r="AG604" s="124" t="s">
        <v>120</v>
      </c>
      <c r="AH604" s="128"/>
      <c r="AI604" s="124" t="s">
        <v>120</v>
      </c>
      <c r="AJ604" s="128"/>
      <c r="AK604" s="128"/>
      <c r="AL604" s="124" t="s">
        <v>240</v>
      </c>
      <c r="AM604" s="124" t="s">
        <v>185</v>
      </c>
      <c r="AN604" s="124" t="s">
        <v>126</v>
      </c>
      <c r="AO604" s="124" t="s">
        <v>156</v>
      </c>
      <c r="AP604" s="124"/>
    </row>
    <row r="605">
      <c r="A605" s="124" t="s">
        <v>3020</v>
      </c>
      <c r="B605" s="124" t="s">
        <v>3021</v>
      </c>
      <c r="C605" s="124" t="s">
        <v>3022</v>
      </c>
      <c r="D605" s="127">
        <v>37340.0</v>
      </c>
      <c r="E605" s="124" t="s">
        <v>177</v>
      </c>
      <c r="F605" s="124">
        <v>5.53248053E9</v>
      </c>
      <c r="G605" s="124" t="s">
        <v>3023</v>
      </c>
      <c r="H605" s="124" t="s">
        <v>101</v>
      </c>
      <c r="I605" s="128"/>
      <c r="J605" s="124" t="s">
        <v>3024</v>
      </c>
      <c r="K605" s="124" t="s">
        <v>3025</v>
      </c>
      <c r="L605" s="124">
        <v>5.523552929E9</v>
      </c>
      <c r="M605" s="128"/>
      <c r="N605" s="128"/>
      <c r="O605" s="128"/>
      <c r="P605" s="129">
        <v>23.0</v>
      </c>
      <c r="Q605" s="130">
        <v>46026.493125</v>
      </c>
      <c r="R605" s="124" t="s">
        <v>260</v>
      </c>
      <c r="S605" s="124" t="s">
        <v>125</v>
      </c>
      <c r="T605" s="124" t="s">
        <v>208</v>
      </c>
      <c r="U605" s="124" t="s">
        <v>228</v>
      </c>
      <c r="V605" s="124" t="s">
        <v>229</v>
      </c>
      <c r="W605" s="124" t="s">
        <v>230</v>
      </c>
      <c r="X605" s="124" t="s">
        <v>120</v>
      </c>
      <c r="Y605" s="128"/>
      <c r="Z605" s="124" t="s">
        <v>120</v>
      </c>
      <c r="AA605" s="128"/>
      <c r="AB605" s="124" t="s">
        <v>120</v>
      </c>
      <c r="AC605" s="124" t="s">
        <v>120</v>
      </c>
      <c r="AD605" s="128"/>
      <c r="AE605" s="124" t="s">
        <v>120</v>
      </c>
      <c r="AF605" s="128"/>
      <c r="AG605" s="124" t="s">
        <v>120</v>
      </c>
      <c r="AH605" s="128"/>
      <c r="AI605" s="124" t="s">
        <v>120</v>
      </c>
      <c r="AJ605" s="128"/>
      <c r="AK605" s="128"/>
      <c r="AL605" s="124" t="s">
        <v>138</v>
      </c>
      <c r="AM605" s="124" t="s">
        <v>156</v>
      </c>
      <c r="AN605" s="124" t="s">
        <v>185</v>
      </c>
      <c r="AO605" s="124" t="s">
        <v>128</v>
      </c>
      <c r="AP605" s="124"/>
    </row>
    <row r="606">
      <c r="A606" s="124" t="s">
        <v>4707</v>
      </c>
      <c r="B606" s="124" t="s">
        <v>4708</v>
      </c>
      <c r="C606" s="124" t="s">
        <v>4709</v>
      </c>
      <c r="D606" s="127">
        <v>40088.0</v>
      </c>
      <c r="E606" s="124" t="s">
        <v>98</v>
      </c>
      <c r="F606" s="124">
        <v>5.574574457E9</v>
      </c>
      <c r="G606" s="124" t="s">
        <v>4710</v>
      </c>
      <c r="H606" s="124" t="s">
        <v>101</v>
      </c>
      <c r="I606" s="128"/>
      <c r="J606" s="124" t="s">
        <v>4711</v>
      </c>
      <c r="K606" s="124" t="s">
        <v>4710</v>
      </c>
      <c r="L606" s="124">
        <v>5.574574457E9</v>
      </c>
      <c r="M606" s="128"/>
      <c r="N606" s="128"/>
      <c r="O606" s="128"/>
      <c r="P606" s="129">
        <v>16.0</v>
      </c>
      <c r="Q606" s="130">
        <v>46036.78939814815</v>
      </c>
      <c r="R606" s="124" t="s">
        <v>107</v>
      </c>
      <c r="S606" s="124" t="s">
        <v>109</v>
      </c>
      <c r="T606" s="124" t="s">
        <v>171</v>
      </c>
      <c r="U606" s="124" t="s">
        <v>2149</v>
      </c>
      <c r="V606" s="124" t="s">
        <v>2141</v>
      </c>
      <c r="W606" s="124" t="s">
        <v>2151</v>
      </c>
      <c r="X606" s="124" t="s">
        <v>120</v>
      </c>
      <c r="Y606" s="128"/>
      <c r="Z606" s="124" t="s">
        <v>120</v>
      </c>
      <c r="AA606" s="128"/>
      <c r="AB606" s="124" t="s">
        <v>120</v>
      </c>
      <c r="AC606" s="124" t="s">
        <v>120</v>
      </c>
      <c r="AD606" s="128"/>
      <c r="AE606" s="124" t="s">
        <v>120</v>
      </c>
      <c r="AF606" s="128"/>
      <c r="AG606" s="124" t="s">
        <v>120</v>
      </c>
      <c r="AH606" s="128"/>
      <c r="AI606" s="124" t="s">
        <v>120</v>
      </c>
      <c r="AJ606" s="128"/>
      <c r="AK606" s="128"/>
      <c r="AL606" s="124" t="s">
        <v>138</v>
      </c>
      <c r="AM606" s="124" t="s">
        <v>185</v>
      </c>
      <c r="AN606" s="124" t="s">
        <v>156</v>
      </c>
      <c r="AO606" s="124" t="s">
        <v>124</v>
      </c>
      <c r="AP606" s="124"/>
    </row>
    <row r="607">
      <c r="A607" s="124" t="s">
        <v>4712</v>
      </c>
      <c r="B607" s="124" t="s">
        <v>4713</v>
      </c>
      <c r="C607" s="124" t="s">
        <v>4714</v>
      </c>
      <c r="D607" s="127">
        <v>39804.0</v>
      </c>
      <c r="E607" s="124" t="s">
        <v>177</v>
      </c>
      <c r="F607" s="124">
        <v>5.545379942E9</v>
      </c>
      <c r="G607" s="124" t="s">
        <v>4715</v>
      </c>
      <c r="H607" s="124" t="s">
        <v>101</v>
      </c>
      <c r="I607" s="128"/>
      <c r="J607" s="124" t="s">
        <v>4716</v>
      </c>
      <c r="K607" s="124" t="s">
        <v>4717</v>
      </c>
      <c r="L607" s="124">
        <v>5.523166647E9</v>
      </c>
      <c r="M607" s="124" t="s">
        <v>4718</v>
      </c>
      <c r="N607" s="124" t="s">
        <v>4719</v>
      </c>
      <c r="O607" s="124">
        <v>5.548573196E9</v>
      </c>
      <c r="P607" s="129">
        <v>17.0</v>
      </c>
      <c r="Q607" s="130">
        <v>46033.78391203703</v>
      </c>
      <c r="R607" s="124" t="s">
        <v>107</v>
      </c>
      <c r="S607" s="124" t="s">
        <v>109</v>
      </c>
      <c r="T607" s="124" t="s">
        <v>204</v>
      </c>
      <c r="U607" s="124" t="s">
        <v>311</v>
      </c>
      <c r="V607" s="124" t="s">
        <v>312</v>
      </c>
      <c r="W607" s="124" t="s">
        <v>313</v>
      </c>
      <c r="X607" s="124" t="s">
        <v>120</v>
      </c>
      <c r="Y607" s="128"/>
      <c r="Z607" s="124" t="s">
        <v>120</v>
      </c>
      <c r="AA607" s="128"/>
      <c r="AB607" s="124" t="s">
        <v>120</v>
      </c>
      <c r="AC607" s="128"/>
      <c r="AD607" s="128"/>
      <c r="AE607" s="124" t="s">
        <v>117</v>
      </c>
      <c r="AF607" s="124" t="s">
        <v>1096</v>
      </c>
      <c r="AG607" s="124" t="s">
        <v>120</v>
      </c>
      <c r="AH607" s="128"/>
      <c r="AI607" s="124" t="s">
        <v>120</v>
      </c>
      <c r="AJ607" s="128"/>
      <c r="AK607" s="128"/>
      <c r="AL607" s="124" t="s">
        <v>138</v>
      </c>
      <c r="AM607" s="124" t="s">
        <v>242</v>
      </c>
      <c r="AN607" s="124" t="s">
        <v>156</v>
      </c>
      <c r="AO607" s="124" t="s">
        <v>216</v>
      </c>
      <c r="AP607" s="124"/>
    </row>
    <row r="608">
      <c r="A608" s="124" t="s">
        <v>4720</v>
      </c>
      <c r="B608" s="124" t="s">
        <v>4721</v>
      </c>
      <c r="C608" s="124" t="s">
        <v>4722</v>
      </c>
      <c r="D608" s="127">
        <v>40327.0</v>
      </c>
      <c r="E608" s="124" t="s">
        <v>98</v>
      </c>
      <c r="F608" s="128" t="str">
        <f>+52 56 4527 5331</f>
        <v>#ERROR!</v>
      </c>
      <c r="G608" s="124" t="s">
        <v>4723</v>
      </c>
      <c r="H608" s="124" t="s">
        <v>140</v>
      </c>
      <c r="I608" s="128"/>
      <c r="J608" s="124" t="s">
        <v>4724</v>
      </c>
      <c r="K608" s="124" t="s">
        <v>4725</v>
      </c>
      <c r="L608" s="128" t="str">
        <f>+52 56 3471 0928</f>
        <v>#ERROR!</v>
      </c>
      <c r="M608" s="128"/>
      <c r="N608" s="128"/>
      <c r="O608" s="128"/>
      <c r="P608" s="129">
        <v>15.0</v>
      </c>
      <c r="Q608" s="130">
        <v>46040.87525462963</v>
      </c>
      <c r="R608" s="124" t="s">
        <v>107</v>
      </c>
      <c r="S608" s="124" t="s">
        <v>109</v>
      </c>
      <c r="T608" s="124" t="s">
        <v>171</v>
      </c>
      <c r="U608" s="124" t="s">
        <v>388</v>
      </c>
      <c r="V608" s="124" t="s">
        <v>389</v>
      </c>
      <c r="W608" s="124" t="s">
        <v>392</v>
      </c>
      <c r="X608" s="124" t="s">
        <v>120</v>
      </c>
      <c r="Y608" s="128"/>
      <c r="Z608" s="124" t="s">
        <v>120</v>
      </c>
      <c r="AA608" s="128"/>
      <c r="AB608" s="124" t="s">
        <v>120</v>
      </c>
      <c r="AC608" s="124" t="s">
        <v>120</v>
      </c>
      <c r="AD608" s="128"/>
      <c r="AE608" s="124" t="s">
        <v>120</v>
      </c>
      <c r="AF608" s="128"/>
      <c r="AG608" s="124" t="s">
        <v>120</v>
      </c>
      <c r="AH608" s="128"/>
      <c r="AI608" s="124" t="s">
        <v>120</v>
      </c>
      <c r="AJ608" s="128"/>
      <c r="AK608" s="128"/>
      <c r="AL608" s="124" t="s">
        <v>240</v>
      </c>
      <c r="AM608" s="124" t="s">
        <v>129</v>
      </c>
      <c r="AN608" s="124" t="s">
        <v>242</v>
      </c>
      <c r="AO608" s="124" t="s">
        <v>124</v>
      </c>
      <c r="AP608" s="124"/>
    </row>
    <row r="609">
      <c r="A609" s="124" t="s">
        <v>710</v>
      </c>
      <c r="B609" s="124" t="s">
        <v>712</v>
      </c>
      <c r="C609" s="124" t="s">
        <v>714</v>
      </c>
      <c r="D609" s="127">
        <v>39980.0</v>
      </c>
      <c r="E609" s="124" t="s">
        <v>98</v>
      </c>
      <c r="F609" s="124" t="s">
        <v>715</v>
      </c>
      <c r="G609" s="124" t="s">
        <v>716</v>
      </c>
      <c r="H609" s="124" t="s">
        <v>140</v>
      </c>
      <c r="I609" s="128"/>
      <c r="J609" s="124" t="s">
        <v>717</v>
      </c>
      <c r="K609" s="124" t="s">
        <v>716</v>
      </c>
      <c r="L609" s="124">
        <v>5.513813704E9</v>
      </c>
      <c r="M609" s="128"/>
      <c r="N609" s="128"/>
      <c r="O609" s="128"/>
      <c r="P609" s="129">
        <v>16.0</v>
      </c>
      <c r="Q609" s="130">
        <v>46040.44840277778</v>
      </c>
      <c r="R609" s="124" t="s">
        <v>107</v>
      </c>
      <c r="S609" s="124" t="s">
        <v>109</v>
      </c>
      <c r="T609" s="124" t="s">
        <v>192</v>
      </c>
      <c r="U609" s="124" t="s">
        <v>485</v>
      </c>
      <c r="V609" s="124" t="s">
        <v>486</v>
      </c>
      <c r="W609" s="124" t="s">
        <v>487</v>
      </c>
      <c r="X609" s="124" t="s">
        <v>117</v>
      </c>
      <c r="Y609" s="128"/>
      <c r="Z609" s="124" t="s">
        <v>117</v>
      </c>
      <c r="AA609" s="128"/>
      <c r="AB609" s="124" t="s">
        <v>117</v>
      </c>
      <c r="AC609" s="128"/>
      <c r="AD609" s="128"/>
      <c r="AE609" s="124" t="s">
        <v>117</v>
      </c>
      <c r="AF609" s="128"/>
      <c r="AG609" s="124" t="s">
        <v>117</v>
      </c>
      <c r="AH609" s="128"/>
      <c r="AI609" s="124" t="s">
        <v>117</v>
      </c>
      <c r="AJ609" s="128"/>
      <c r="AK609" s="128"/>
      <c r="AL609" s="124" t="s">
        <v>129</v>
      </c>
      <c r="AM609" s="124" t="s">
        <v>141</v>
      </c>
      <c r="AN609" s="124" t="s">
        <v>240</v>
      </c>
      <c r="AO609" s="124" t="s">
        <v>128</v>
      </c>
      <c r="AP609" s="124"/>
    </row>
    <row r="610">
      <c r="A610" s="124" t="s">
        <v>4726</v>
      </c>
      <c r="B610" s="124" t="s">
        <v>4727</v>
      </c>
      <c r="C610" s="124" t="s">
        <v>4728</v>
      </c>
      <c r="D610" s="127">
        <v>40430.0</v>
      </c>
      <c r="E610" s="124" t="s">
        <v>177</v>
      </c>
      <c r="F610" s="124" t="s">
        <v>4729</v>
      </c>
      <c r="G610" s="124" t="s">
        <v>4730</v>
      </c>
      <c r="H610" s="124" t="s">
        <v>101</v>
      </c>
      <c r="I610" s="124" t="s">
        <v>2786</v>
      </c>
      <c r="J610" s="124" t="s">
        <v>4731</v>
      </c>
      <c r="K610" s="124" t="s">
        <v>4732</v>
      </c>
      <c r="L610" s="124">
        <v>5.579836461E9</v>
      </c>
      <c r="M610" s="128"/>
      <c r="N610" s="128"/>
      <c r="O610" s="128"/>
      <c r="P610" s="129">
        <v>15.0</v>
      </c>
      <c r="Q610" s="130">
        <v>46035.8233912037</v>
      </c>
      <c r="R610" s="124" t="s">
        <v>107</v>
      </c>
      <c r="S610" s="124" t="s">
        <v>109</v>
      </c>
      <c r="T610" s="124" t="s">
        <v>111</v>
      </c>
      <c r="U610" s="124" t="s">
        <v>657</v>
      </c>
      <c r="V610" s="124" t="s">
        <v>659</v>
      </c>
      <c r="W610" s="124" t="s">
        <v>662</v>
      </c>
      <c r="X610" s="124" t="s">
        <v>120</v>
      </c>
      <c r="Y610" s="124" t="s">
        <v>667</v>
      </c>
      <c r="Z610" s="124" t="s">
        <v>120</v>
      </c>
      <c r="AA610" s="124" t="s">
        <v>667</v>
      </c>
      <c r="AB610" s="124" t="s">
        <v>120</v>
      </c>
      <c r="AC610" s="128"/>
      <c r="AD610" s="124" t="s">
        <v>667</v>
      </c>
      <c r="AE610" s="124" t="s">
        <v>120</v>
      </c>
      <c r="AF610" s="124" t="s">
        <v>667</v>
      </c>
      <c r="AG610" s="124" t="s">
        <v>120</v>
      </c>
      <c r="AH610" s="124" t="s">
        <v>667</v>
      </c>
      <c r="AI610" s="124" t="s">
        <v>120</v>
      </c>
      <c r="AJ610" s="124" t="s">
        <v>667</v>
      </c>
      <c r="AK610" s="124" t="s">
        <v>667</v>
      </c>
      <c r="AL610" s="124" t="s">
        <v>156</v>
      </c>
      <c r="AM610" s="124" t="s">
        <v>126</v>
      </c>
      <c r="AN610" s="124" t="s">
        <v>185</v>
      </c>
      <c r="AO610" s="124" t="s">
        <v>128</v>
      </c>
      <c r="AP610" s="124"/>
    </row>
    <row r="611">
      <c r="A611" s="124" t="s">
        <v>4733</v>
      </c>
      <c r="B611" s="124" t="s">
        <v>4734</v>
      </c>
      <c r="C611" s="128"/>
      <c r="D611" s="127">
        <v>39860.0</v>
      </c>
      <c r="E611" s="124" t="s">
        <v>177</v>
      </c>
      <c r="F611" s="124">
        <v>5.512307698E9</v>
      </c>
      <c r="G611" s="124" t="s">
        <v>4735</v>
      </c>
      <c r="H611" s="124" t="s">
        <v>150</v>
      </c>
      <c r="I611" s="128"/>
      <c r="J611" s="124" t="s">
        <v>681</v>
      </c>
      <c r="K611" s="124" t="s">
        <v>4736</v>
      </c>
      <c r="L611" s="124">
        <v>5.535523044E9</v>
      </c>
      <c r="M611" s="128"/>
      <c r="N611" s="128"/>
      <c r="O611" s="128"/>
      <c r="P611" s="129">
        <v>17.0</v>
      </c>
      <c r="Q611" s="130">
        <v>46037.86069444445</v>
      </c>
      <c r="R611" s="124" t="s">
        <v>107</v>
      </c>
      <c r="S611" s="124" t="s">
        <v>109</v>
      </c>
      <c r="T611" s="124" t="s">
        <v>208</v>
      </c>
      <c r="U611" s="124" t="s">
        <v>228</v>
      </c>
      <c r="V611" s="124" t="s">
        <v>229</v>
      </c>
      <c r="W611" s="124" t="s">
        <v>230</v>
      </c>
      <c r="X611" s="124" t="s">
        <v>120</v>
      </c>
      <c r="Y611" s="128"/>
      <c r="Z611" s="124" t="s">
        <v>120</v>
      </c>
      <c r="AA611" s="128"/>
      <c r="AB611" s="124" t="s">
        <v>120</v>
      </c>
      <c r="AC611" s="128"/>
      <c r="AD611" s="128"/>
      <c r="AE611" s="124" t="s">
        <v>120</v>
      </c>
      <c r="AF611" s="128"/>
      <c r="AG611" s="124" t="s">
        <v>120</v>
      </c>
      <c r="AH611" s="128"/>
      <c r="AI611" s="124" t="s">
        <v>120</v>
      </c>
      <c r="AJ611" s="128"/>
      <c r="AK611" s="128"/>
      <c r="AL611" s="124" t="s">
        <v>141</v>
      </c>
      <c r="AM611" s="124" t="s">
        <v>216</v>
      </c>
      <c r="AN611" s="124" t="s">
        <v>240</v>
      </c>
      <c r="AO611" s="124" t="s">
        <v>242</v>
      </c>
      <c r="AP611" s="124"/>
    </row>
    <row r="612">
      <c r="A612" s="124" t="s">
        <v>779</v>
      </c>
      <c r="B612" s="124" t="s">
        <v>780</v>
      </c>
      <c r="C612" s="124" t="s">
        <v>781</v>
      </c>
      <c r="D612" s="127">
        <v>39568.0</v>
      </c>
      <c r="E612" s="124" t="s">
        <v>98</v>
      </c>
      <c r="F612" s="124">
        <v>5.631704808E9</v>
      </c>
      <c r="G612" s="124" t="s">
        <v>782</v>
      </c>
      <c r="H612" s="124" t="s">
        <v>101</v>
      </c>
      <c r="I612" s="124" t="s">
        <v>783</v>
      </c>
      <c r="J612" s="124" t="s">
        <v>784</v>
      </c>
      <c r="K612" s="124" t="s">
        <v>785</v>
      </c>
      <c r="L612" s="124">
        <v>5.64149485E9</v>
      </c>
      <c r="M612" s="124" t="s">
        <v>786</v>
      </c>
      <c r="N612" s="124" t="s">
        <v>787</v>
      </c>
      <c r="O612" s="124">
        <v>5.645773992E9</v>
      </c>
      <c r="P612" s="129">
        <v>17.0</v>
      </c>
      <c r="Q612" s="130">
        <v>46026.463587962964</v>
      </c>
      <c r="R612" s="124" t="s">
        <v>107</v>
      </c>
      <c r="S612" s="124" t="s">
        <v>109</v>
      </c>
      <c r="T612" s="124" t="s">
        <v>208</v>
      </c>
      <c r="U612" s="124" t="s">
        <v>788</v>
      </c>
      <c r="V612" s="124" t="s">
        <v>789</v>
      </c>
      <c r="W612" s="124" t="s">
        <v>790</v>
      </c>
      <c r="X612" s="124" t="s">
        <v>117</v>
      </c>
      <c r="Y612" s="124" t="s">
        <v>791</v>
      </c>
      <c r="Z612" s="124" t="s">
        <v>117</v>
      </c>
      <c r="AA612" s="124" t="s">
        <v>792</v>
      </c>
      <c r="AB612" s="124" t="s">
        <v>120</v>
      </c>
      <c r="AC612" s="124" t="s">
        <v>120</v>
      </c>
      <c r="AD612" s="128"/>
      <c r="AE612" s="124" t="s">
        <v>120</v>
      </c>
      <c r="AF612" s="128"/>
      <c r="AG612" s="124" t="s">
        <v>120</v>
      </c>
      <c r="AH612" s="128"/>
      <c r="AI612" s="124" t="s">
        <v>120</v>
      </c>
      <c r="AJ612" s="128"/>
      <c r="AK612" s="128"/>
      <c r="AL612" s="124" t="s">
        <v>242</v>
      </c>
      <c r="AM612" s="124" t="s">
        <v>156</v>
      </c>
      <c r="AN612" s="124" t="s">
        <v>126</v>
      </c>
      <c r="AO612" s="124" t="s">
        <v>185</v>
      </c>
      <c r="AP612" s="124"/>
    </row>
    <row r="613">
      <c r="A613" s="124" t="s">
        <v>753</v>
      </c>
      <c r="B613" s="124" t="s">
        <v>754</v>
      </c>
      <c r="C613" s="124" t="s">
        <v>755</v>
      </c>
      <c r="D613" s="127">
        <v>38952.0</v>
      </c>
      <c r="E613" s="124" t="s">
        <v>98</v>
      </c>
      <c r="F613" s="124" t="s">
        <v>756</v>
      </c>
      <c r="G613" s="124" t="s">
        <v>757</v>
      </c>
      <c r="H613" s="124" t="s">
        <v>140</v>
      </c>
      <c r="I613" s="124" t="s">
        <v>458</v>
      </c>
      <c r="J613" s="124" t="s">
        <v>758</v>
      </c>
      <c r="K613" s="124" t="s">
        <v>759</v>
      </c>
      <c r="L613" s="128" t="str">
        <f>+52 55 1318 8924</f>
        <v>#ERROR!</v>
      </c>
      <c r="M613" s="128"/>
      <c r="N613" s="128"/>
      <c r="O613" s="128"/>
      <c r="P613" s="129">
        <v>19.0</v>
      </c>
      <c r="Q613" s="130">
        <v>46026.39766203704</v>
      </c>
      <c r="R613" s="124" t="s">
        <v>107</v>
      </c>
      <c r="S613" s="124" t="s">
        <v>125</v>
      </c>
      <c r="T613" s="124" t="s">
        <v>127</v>
      </c>
      <c r="U613" s="124" t="s">
        <v>766</v>
      </c>
      <c r="V613" s="124" t="s">
        <v>767</v>
      </c>
      <c r="W613" s="124" t="s">
        <v>768</v>
      </c>
      <c r="X613" s="124" t="s">
        <v>120</v>
      </c>
      <c r="Y613" s="128"/>
      <c r="Z613" s="124" t="s">
        <v>120</v>
      </c>
      <c r="AA613" s="128"/>
      <c r="AB613" s="124" t="s">
        <v>120</v>
      </c>
      <c r="AC613" s="124" t="s">
        <v>120</v>
      </c>
      <c r="AD613" s="128"/>
      <c r="AE613" s="124" t="s">
        <v>120</v>
      </c>
      <c r="AF613" s="128"/>
      <c r="AG613" s="124" t="s">
        <v>120</v>
      </c>
      <c r="AH613" s="128"/>
      <c r="AI613" s="124" t="s">
        <v>120</v>
      </c>
      <c r="AJ613" s="128"/>
      <c r="AK613" s="124" t="s">
        <v>769</v>
      </c>
      <c r="AL613" s="124" t="s">
        <v>185</v>
      </c>
      <c r="AM613" s="124" t="s">
        <v>156</v>
      </c>
      <c r="AN613" s="124" t="s">
        <v>138</v>
      </c>
      <c r="AO613" s="124" t="s">
        <v>129</v>
      </c>
      <c r="AP613" s="124"/>
    </row>
    <row r="614">
      <c r="A614" s="124" t="s">
        <v>4737</v>
      </c>
      <c r="B614" s="124" t="s">
        <v>4738</v>
      </c>
      <c r="C614" s="128"/>
      <c r="D614" s="127">
        <v>41049.0</v>
      </c>
      <c r="E614" s="124" t="s">
        <v>177</v>
      </c>
      <c r="F614" s="124">
        <v>5.578792094E9</v>
      </c>
      <c r="G614" s="124" t="s">
        <v>1600</v>
      </c>
      <c r="H614" s="124" t="s">
        <v>140</v>
      </c>
      <c r="I614" s="124" t="s">
        <v>4739</v>
      </c>
      <c r="J614" s="124" t="s">
        <v>4740</v>
      </c>
      <c r="K614" s="124" t="s">
        <v>1600</v>
      </c>
      <c r="L614" s="124">
        <v>5.560691879E9</v>
      </c>
      <c r="M614" s="128"/>
      <c r="N614" s="128"/>
      <c r="O614" s="128"/>
      <c r="P614" s="129">
        <v>13.0</v>
      </c>
      <c r="Q614" s="130">
        <v>46039.61912037037</v>
      </c>
      <c r="R614" s="124" t="s">
        <v>107</v>
      </c>
      <c r="S614" s="124" t="s">
        <v>109</v>
      </c>
      <c r="T614" s="124" t="s">
        <v>208</v>
      </c>
      <c r="U614" s="124" t="s">
        <v>1599</v>
      </c>
      <c r="V614" s="124" t="s">
        <v>1600</v>
      </c>
      <c r="W614" s="124" t="s">
        <v>1602</v>
      </c>
      <c r="X614" s="124" t="s">
        <v>120</v>
      </c>
      <c r="Y614" s="128"/>
      <c r="Z614" s="124" t="s">
        <v>117</v>
      </c>
      <c r="AA614" s="124" t="s">
        <v>4741</v>
      </c>
      <c r="AB614" s="124" t="s">
        <v>117</v>
      </c>
      <c r="AC614" s="128"/>
      <c r="AD614" s="128"/>
      <c r="AE614" s="124" t="s">
        <v>120</v>
      </c>
      <c r="AF614" s="128"/>
      <c r="AG614" s="124" t="s">
        <v>120</v>
      </c>
      <c r="AH614" s="128"/>
      <c r="AI614" s="124" t="s">
        <v>120</v>
      </c>
      <c r="AJ614" s="128"/>
      <c r="AK614" s="128"/>
      <c r="AL614" s="124" t="s">
        <v>240</v>
      </c>
      <c r="AM614" s="124" t="s">
        <v>129</v>
      </c>
      <c r="AN614" s="124" t="s">
        <v>242</v>
      </c>
      <c r="AO614" s="124" t="s">
        <v>216</v>
      </c>
      <c r="AP614" s="124"/>
    </row>
    <row r="615">
      <c r="A615" s="124" t="s">
        <v>4742</v>
      </c>
      <c r="B615" s="124" t="s">
        <v>4743</v>
      </c>
      <c r="C615" s="124" t="s">
        <v>4744</v>
      </c>
      <c r="D615" s="127">
        <v>40564.0</v>
      </c>
      <c r="E615" s="124" t="s">
        <v>177</v>
      </c>
      <c r="F615" s="124">
        <v>5.565122439E9</v>
      </c>
      <c r="G615" s="124" t="s">
        <v>4745</v>
      </c>
      <c r="H615" s="124" t="s">
        <v>101</v>
      </c>
      <c r="I615" s="128"/>
      <c r="J615" s="124" t="s">
        <v>4746</v>
      </c>
      <c r="K615" s="124" t="s">
        <v>4745</v>
      </c>
      <c r="L615" s="124">
        <v>5.565407874E9</v>
      </c>
      <c r="M615" s="128"/>
      <c r="N615" s="128"/>
      <c r="O615" s="128"/>
      <c r="P615" s="129">
        <v>15.0</v>
      </c>
      <c r="Q615" s="130">
        <v>46041.51267361111</v>
      </c>
      <c r="R615" s="124" t="s">
        <v>107</v>
      </c>
      <c r="S615" s="124" t="s">
        <v>109</v>
      </c>
      <c r="T615" s="124" t="s">
        <v>111</v>
      </c>
      <c r="U615" s="124" t="s">
        <v>2283</v>
      </c>
      <c r="V615" s="124" t="s">
        <v>2285</v>
      </c>
      <c r="W615" s="124" t="s">
        <v>2286</v>
      </c>
      <c r="X615" s="124" t="s">
        <v>120</v>
      </c>
      <c r="Y615" s="128"/>
      <c r="Z615" s="124" t="s">
        <v>120</v>
      </c>
      <c r="AA615" s="128"/>
      <c r="AB615" s="124" t="s">
        <v>120</v>
      </c>
      <c r="AC615" s="128"/>
      <c r="AD615" s="128"/>
      <c r="AE615" s="124" t="s">
        <v>120</v>
      </c>
      <c r="AF615" s="128"/>
      <c r="AG615" s="124" t="s">
        <v>120</v>
      </c>
      <c r="AH615" s="128"/>
      <c r="AI615" s="124" t="s">
        <v>120</v>
      </c>
      <c r="AJ615" s="128"/>
      <c r="AK615" s="128"/>
      <c r="AL615" s="124" t="s">
        <v>141</v>
      </c>
      <c r="AM615" s="124" t="s">
        <v>128</v>
      </c>
      <c r="AN615" s="124" t="s">
        <v>156</v>
      </c>
      <c r="AO615" s="124" t="s">
        <v>124</v>
      </c>
      <c r="AP615" s="124"/>
    </row>
    <row r="616">
      <c r="A616" s="124" t="s">
        <v>4747</v>
      </c>
      <c r="B616" s="124" t="s">
        <v>4748</v>
      </c>
      <c r="C616" s="124" t="s">
        <v>4749</v>
      </c>
      <c r="D616" s="127">
        <v>39893.0</v>
      </c>
      <c r="E616" s="124" t="s">
        <v>98</v>
      </c>
      <c r="F616" s="124">
        <v>5.551949266E9</v>
      </c>
      <c r="G616" s="124" t="s">
        <v>4750</v>
      </c>
      <c r="H616" s="124" t="s">
        <v>140</v>
      </c>
      <c r="I616" s="124" t="s">
        <v>4751</v>
      </c>
      <c r="J616" s="124" t="s">
        <v>4752</v>
      </c>
      <c r="K616" s="124" t="s">
        <v>4753</v>
      </c>
      <c r="L616" s="124">
        <v>5.538622464E9</v>
      </c>
      <c r="M616" s="124" t="s">
        <v>4754</v>
      </c>
      <c r="N616" s="124" t="s">
        <v>4755</v>
      </c>
      <c r="O616" s="124">
        <v>5.614044598E9</v>
      </c>
      <c r="P616" s="129">
        <v>16.0</v>
      </c>
      <c r="Q616" s="130">
        <v>46026.505266203705</v>
      </c>
      <c r="R616" s="124" t="s">
        <v>107</v>
      </c>
      <c r="S616" s="124" t="s">
        <v>109</v>
      </c>
      <c r="T616" s="124" t="s">
        <v>160</v>
      </c>
      <c r="U616" s="124" t="s">
        <v>1739</v>
      </c>
      <c r="V616" s="124" t="s">
        <v>1740</v>
      </c>
      <c r="W616" s="124" t="s">
        <v>1741</v>
      </c>
      <c r="X616" s="124" t="s">
        <v>120</v>
      </c>
      <c r="Y616" s="128"/>
      <c r="Z616" s="124" t="s">
        <v>120</v>
      </c>
      <c r="AA616" s="128"/>
      <c r="AB616" s="124" t="s">
        <v>120</v>
      </c>
      <c r="AC616" s="128"/>
      <c r="AD616" s="128"/>
      <c r="AE616" s="124" t="s">
        <v>120</v>
      </c>
      <c r="AF616" s="128"/>
      <c r="AG616" s="124" t="s">
        <v>120</v>
      </c>
      <c r="AH616" s="128"/>
      <c r="AI616" s="124" t="s">
        <v>120</v>
      </c>
      <c r="AJ616" s="128"/>
      <c r="AK616" s="128"/>
      <c r="AL616" s="124" t="s">
        <v>126</v>
      </c>
      <c r="AM616" s="124" t="s">
        <v>216</v>
      </c>
      <c r="AN616" s="124" t="s">
        <v>124</v>
      </c>
      <c r="AO616" s="124" t="s">
        <v>185</v>
      </c>
      <c r="AP616" s="124"/>
    </row>
    <row r="617">
      <c r="A617" s="124" t="s">
        <v>724</v>
      </c>
      <c r="B617" s="124" t="s">
        <v>725</v>
      </c>
      <c r="C617" s="124" t="s">
        <v>726</v>
      </c>
      <c r="D617" s="127">
        <v>39961.0</v>
      </c>
      <c r="E617" s="124" t="s">
        <v>98</v>
      </c>
      <c r="F617" s="124">
        <v>5.514909252E9</v>
      </c>
      <c r="G617" s="124" t="s">
        <v>727</v>
      </c>
      <c r="H617" s="124" t="s">
        <v>140</v>
      </c>
      <c r="I617" s="128"/>
      <c r="J617" s="124" t="s">
        <v>728</v>
      </c>
      <c r="K617" s="124" t="s">
        <v>729</v>
      </c>
      <c r="L617" s="124">
        <v>5.514909252E9</v>
      </c>
      <c r="M617" s="128"/>
      <c r="N617" s="128"/>
      <c r="O617" s="128"/>
      <c r="P617" s="129">
        <v>16.0</v>
      </c>
      <c r="Q617" s="130">
        <v>46038.79127314815</v>
      </c>
      <c r="R617" s="124" t="s">
        <v>107</v>
      </c>
      <c r="S617" s="124" t="s">
        <v>109</v>
      </c>
      <c r="T617" s="124" t="s">
        <v>111</v>
      </c>
      <c r="U617" s="124" t="s">
        <v>407</v>
      </c>
      <c r="V617" s="124" t="s">
        <v>408</v>
      </c>
      <c r="W617" s="124" t="s">
        <v>409</v>
      </c>
      <c r="X617" s="124" t="s">
        <v>117</v>
      </c>
      <c r="Y617" s="128"/>
      <c r="Z617" s="124" t="s">
        <v>117</v>
      </c>
      <c r="AA617" s="128"/>
      <c r="AB617" s="124" t="s">
        <v>117</v>
      </c>
      <c r="AC617" s="124" t="s">
        <v>117</v>
      </c>
      <c r="AD617" s="128"/>
      <c r="AE617" s="124" t="s">
        <v>117</v>
      </c>
      <c r="AF617" s="128"/>
      <c r="AG617" s="124" t="s">
        <v>117</v>
      </c>
      <c r="AH617" s="128"/>
      <c r="AI617" s="124" t="s">
        <v>117</v>
      </c>
      <c r="AJ617" s="128"/>
      <c r="AK617" s="128"/>
      <c r="AL617" s="124" t="s">
        <v>141</v>
      </c>
      <c r="AM617" s="124" t="s">
        <v>242</v>
      </c>
      <c r="AN617" s="124" t="s">
        <v>128</v>
      </c>
      <c r="AO617" s="124" t="s">
        <v>138</v>
      </c>
      <c r="AP617" s="124"/>
    </row>
    <row r="618">
      <c r="A618" s="124" t="s">
        <v>2227</v>
      </c>
      <c r="B618" s="124" t="s">
        <v>2228</v>
      </c>
      <c r="C618" s="124" t="s">
        <v>2230</v>
      </c>
      <c r="D618" s="127">
        <v>41168.0</v>
      </c>
      <c r="E618" s="124" t="s">
        <v>98</v>
      </c>
      <c r="F618" s="124">
        <v>5.639486685E9</v>
      </c>
      <c r="G618" s="124" t="s">
        <v>2233</v>
      </c>
      <c r="H618" s="124" t="s">
        <v>101</v>
      </c>
      <c r="I618" s="128"/>
      <c r="J618" s="124" t="s">
        <v>2234</v>
      </c>
      <c r="K618" s="124" t="s">
        <v>2235</v>
      </c>
      <c r="L618" s="124">
        <v>5.529476162E9</v>
      </c>
      <c r="M618" s="128"/>
      <c r="N618" s="128"/>
      <c r="O618" s="128"/>
      <c r="P618" s="129">
        <v>13.0</v>
      </c>
      <c r="Q618" s="130">
        <v>46031.51671296296</v>
      </c>
      <c r="R618" s="124" t="s">
        <v>107</v>
      </c>
      <c r="S618" s="124" t="s">
        <v>109</v>
      </c>
      <c r="T618" s="124" t="s">
        <v>171</v>
      </c>
      <c r="U618" s="124" t="s">
        <v>388</v>
      </c>
      <c r="V618" s="124" t="s">
        <v>389</v>
      </c>
      <c r="W618" s="124" t="s">
        <v>392</v>
      </c>
      <c r="X618" s="124" t="s">
        <v>120</v>
      </c>
      <c r="Y618" s="128"/>
      <c r="Z618" s="124" t="s">
        <v>117</v>
      </c>
      <c r="AA618" s="124" t="s">
        <v>2241</v>
      </c>
      <c r="AB618" s="124" t="s">
        <v>117</v>
      </c>
      <c r="AC618" s="124" t="s">
        <v>117</v>
      </c>
      <c r="AD618" s="124" t="s">
        <v>2244</v>
      </c>
      <c r="AE618" s="124" t="s">
        <v>120</v>
      </c>
      <c r="AF618" s="128"/>
      <c r="AG618" s="124" t="s">
        <v>120</v>
      </c>
      <c r="AH618" s="128"/>
      <c r="AI618" s="124" t="s">
        <v>120</v>
      </c>
      <c r="AJ618" s="128"/>
      <c r="AK618" s="128"/>
      <c r="AL618" s="124" t="s">
        <v>128</v>
      </c>
      <c r="AM618" s="124" t="s">
        <v>138</v>
      </c>
      <c r="AN618" s="124" t="s">
        <v>242</v>
      </c>
      <c r="AO618" s="124" t="s">
        <v>124</v>
      </c>
      <c r="AP618" s="124"/>
    </row>
    <row r="619">
      <c r="A619" s="124" t="s">
        <v>770</v>
      </c>
      <c r="B619" s="124" t="s">
        <v>413</v>
      </c>
      <c r="C619" s="124" t="s">
        <v>771</v>
      </c>
      <c r="D619" s="127">
        <v>38251.0</v>
      </c>
      <c r="E619" s="124" t="s">
        <v>98</v>
      </c>
      <c r="F619" s="124">
        <v>5.580871883E9</v>
      </c>
      <c r="G619" s="124" t="s">
        <v>773</v>
      </c>
      <c r="H619" s="124" t="s">
        <v>101</v>
      </c>
      <c r="I619" s="124" t="s">
        <v>458</v>
      </c>
      <c r="J619" s="124" t="s">
        <v>417</v>
      </c>
      <c r="K619" s="124" t="s">
        <v>776</v>
      </c>
      <c r="L619" s="124">
        <v>5.530664884E9</v>
      </c>
      <c r="M619" s="128"/>
      <c r="N619" s="128"/>
      <c r="O619" s="128"/>
      <c r="P619" s="129">
        <v>21.0</v>
      </c>
      <c r="Q619" s="130">
        <v>46026.486921296295</v>
      </c>
      <c r="R619" s="124" t="s">
        <v>107</v>
      </c>
      <c r="S619" s="124" t="s">
        <v>125</v>
      </c>
      <c r="T619" s="124" t="s">
        <v>208</v>
      </c>
      <c r="U619" s="124" t="s">
        <v>228</v>
      </c>
      <c r="V619" s="124" t="s">
        <v>229</v>
      </c>
      <c r="W619" s="124" t="s">
        <v>230</v>
      </c>
      <c r="X619" s="124" t="s">
        <v>120</v>
      </c>
      <c r="Y619" s="128"/>
      <c r="Z619" s="124" t="s">
        <v>120</v>
      </c>
      <c r="AA619" s="128"/>
      <c r="AB619" s="124" t="s">
        <v>120</v>
      </c>
      <c r="AC619" s="124" t="s">
        <v>120</v>
      </c>
      <c r="AD619" s="128"/>
      <c r="AE619" s="124" t="s">
        <v>120</v>
      </c>
      <c r="AF619" s="128"/>
      <c r="AG619" s="124" t="s">
        <v>120</v>
      </c>
      <c r="AH619" s="128"/>
      <c r="AI619" s="124" t="s">
        <v>117</v>
      </c>
      <c r="AJ619" s="124" t="s">
        <v>334</v>
      </c>
      <c r="AK619" s="128"/>
      <c r="AL619" s="124" t="s">
        <v>141</v>
      </c>
      <c r="AM619" s="124" t="s">
        <v>126</v>
      </c>
      <c r="AN619" s="124" t="s">
        <v>138</v>
      </c>
      <c r="AO619" s="124" t="s">
        <v>242</v>
      </c>
      <c r="AP619" s="124"/>
    </row>
    <row r="620">
      <c r="A620" s="124" t="s">
        <v>2252</v>
      </c>
      <c r="B620" s="124" t="s">
        <v>2253</v>
      </c>
      <c r="C620" s="124" t="s">
        <v>2254</v>
      </c>
      <c r="D620" s="127">
        <v>39738.0</v>
      </c>
      <c r="E620" s="124" t="s">
        <v>177</v>
      </c>
      <c r="F620" s="124">
        <v>5.568020883E9</v>
      </c>
      <c r="G620" s="124" t="s">
        <v>2256</v>
      </c>
      <c r="H620" s="124" t="s">
        <v>150</v>
      </c>
      <c r="I620" s="128"/>
      <c r="J620" s="124" t="s">
        <v>2258</v>
      </c>
      <c r="K620" s="124" t="s">
        <v>2259</v>
      </c>
      <c r="L620" s="124">
        <v>5.516457551E9</v>
      </c>
      <c r="M620" s="124" t="s">
        <v>2261</v>
      </c>
      <c r="N620" s="124" t="s">
        <v>2262</v>
      </c>
      <c r="O620" s="124">
        <v>5.52686809E9</v>
      </c>
      <c r="P620" s="129">
        <v>17.0</v>
      </c>
      <c r="Q620" s="130">
        <v>46019.78790509259</v>
      </c>
      <c r="R620" s="124" t="s">
        <v>107</v>
      </c>
      <c r="S620" s="124" t="s">
        <v>109</v>
      </c>
      <c r="T620" s="124" t="s">
        <v>171</v>
      </c>
      <c r="U620" s="124" t="s">
        <v>388</v>
      </c>
      <c r="V620" s="124" t="s">
        <v>389</v>
      </c>
      <c r="W620" s="124" t="s">
        <v>392</v>
      </c>
      <c r="X620" s="124" t="s">
        <v>120</v>
      </c>
      <c r="Y620" s="128"/>
      <c r="Z620" s="124" t="s">
        <v>117</v>
      </c>
      <c r="AA620" s="124" t="s">
        <v>2270</v>
      </c>
      <c r="AB620" s="124" t="s">
        <v>117</v>
      </c>
      <c r="AC620" s="124" t="s">
        <v>117</v>
      </c>
      <c r="AD620" s="124" t="s">
        <v>2273</v>
      </c>
      <c r="AE620" s="124" t="s">
        <v>120</v>
      </c>
      <c r="AF620" s="128"/>
      <c r="AG620" s="124" t="s">
        <v>120</v>
      </c>
      <c r="AH620" s="128"/>
      <c r="AI620" s="124" t="s">
        <v>120</v>
      </c>
      <c r="AJ620" s="128"/>
      <c r="AK620" s="128"/>
      <c r="AL620" s="124" t="s">
        <v>126</v>
      </c>
      <c r="AM620" s="124" t="s">
        <v>185</v>
      </c>
      <c r="AN620" s="124" t="s">
        <v>242</v>
      </c>
      <c r="AO620" s="124" t="s">
        <v>124</v>
      </c>
      <c r="AP620" s="124"/>
    </row>
    <row r="621">
      <c r="A621" s="124" t="s">
        <v>4756</v>
      </c>
      <c r="B621" s="124" t="s">
        <v>1647</v>
      </c>
      <c r="C621" s="124" t="s">
        <v>4757</v>
      </c>
      <c r="D621" s="127">
        <v>39921.0</v>
      </c>
      <c r="E621" s="124" t="s">
        <v>98</v>
      </c>
      <c r="F621" s="124">
        <v>5.534099551E9</v>
      </c>
      <c r="G621" s="124" t="s">
        <v>4758</v>
      </c>
      <c r="H621" s="124" t="s">
        <v>140</v>
      </c>
      <c r="I621" s="128"/>
      <c r="J621" s="124" t="s">
        <v>1657</v>
      </c>
      <c r="K621" s="124" t="s">
        <v>1658</v>
      </c>
      <c r="L621" s="128" t="str">
        <f>+52 55 7335 6104</f>
        <v>#ERROR!</v>
      </c>
      <c r="M621" s="124" t="s">
        <v>1661</v>
      </c>
      <c r="N621" s="124" t="s">
        <v>1662</v>
      </c>
      <c r="O621" s="128" t="str">
        <f>+52 55 5159 0965</f>
        <v>#ERROR!</v>
      </c>
      <c r="P621" s="129">
        <v>16.0</v>
      </c>
      <c r="Q621" s="130">
        <v>46040.79828703704</v>
      </c>
      <c r="R621" s="124" t="s">
        <v>107</v>
      </c>
      <c r="S621" s="124" t="s">
        <v>109</v>
      </c>
      <c r="T621" s="124" t="s">
        <v>208</v>
      </c>
      <c r="U621" s="124" t="s">
        <v>478</v>
      </c>
      <c r="V621" s="124" t="s">
        <v>480</v>
      </c>
      <c r="W621" s="124" t="s">
        <v>481</v>
      </c>
      <c r="X621" s="124" t="s">
        <v>120</v>
      </c>
      <c r="Y621" s="128"/>
      <c r="Z621" s="124" t="s">
        <v>120</v>
      </c>
      <c r="AA621" s="128"/>
      <c r="AB621" s="124" t="s">
        <v>120</v>
      </c>
      <c r="AC621" s="128"/>
      <c r="AD621" s="128"/>
      <c r="AE621" s="124" t="s">
        <v>120</v>
      </c>
      <c r="AF621" s="128"/>
      <c r="AG621" s="124" t="s">
        <v>120</v>
      </c>
      <c r="AH621" s="128"/>
      <c r="AI621" s="124" t="s">
        <v>120</v>
      </c>
      <c r="AJ621" s="128"/>
      <c r="AK621" s="128"/>
      <c r="AL621" s="124" t="s">
        <v>156</v>
      </c>
      <c r="AM621" s="124" t="s">
        <v>129</v>
      </c>
      <c r="AN621" s="124" t="s">
        <v>242</v>
      </c>
      <c r="AO621" s="124" t="s">
        <v>128</v>
      </c>
      <c r="AP621" s="124"/>
    </row>
    <row r="622">
      <c r="A622" s="124" t="s">
        <v>2186</v>
      </c>
      <c r="B622" s="124" t="s">
        <v>2187</v>
      </c>
      <c r="C622" s="124" t="s">
        <v>2189</v>
      </c>
      <c r="D622" s="127">
        <v>41070.0</v>
      </c>
      <c r="E622" s="124" t="s">
        <v>177</v>
      </c>
      <c r="F622" s="124">
        <v>5.635977827E9</v>
      </c>
      <c r="G622" s="124" t="s">
        <v>2192</v>
      </c>
      <c r="H622" s="124" t="s">
        <v>150</v>
      </c>
      <c r="I622" s="124" t="s">
        <v>2196</v>
      </c>
      <c r="J622" s="124" t="s">
        <v>2197</v>
      </c>
      <c r="K622" s="124" t="s">
        <v>2192</v>
      </c>
      <c r="L622" s="124">
        <v>5.635977827E9</v>
      </c>
      <c r="M622" s="128"/>
      <c r="N622" s="128"/>
      <c r="O622" s="128"/>
      <c r="P622" s="129">
        <v>13.0</v>
      </c>
      <c r="Q622" s="130">
        <v>46028.608078703706</v>
      </c>
      <c r="R622" s="124" t="s">
        <v>107</v>
      </c>
      <c r="S622" s="124" t="s">
        <v>109</v>
      </c>
      <c r="T622" s="124" t="s">
        <v>160</v>
      </c>
      <c r="U622" s="124" t="s">
        <v>308</v>
      </c>
      <c r="V622" s="124" t="s">
        <v>309</v>
      </c>
      <c r="W622" s="124" t="s">
        <v>310</v>
      </c>
      <c r="X622" s="124" t="s">
        <v>120</v>
      </c>
      <c r="Y622" s="128"/>
      <c r="Z622" s="124" t="s">
        <v>117</v>
      </c>
      <c r="AA622" s="124" t="s">
        <v>2209</v>
      </c>
      <c r="AB622" s="124" t="s">
        <v>120</v>
      </c>
      <c r="AC622" s="128"/>
      <c r="AD622" s="128"/>
      <c r="AE622" s="124" t="s">
        <v>117</v>
      </c>
      <c r="AF622" s="124" t="s">
        <v>2210</v>
      </c>
      <c r="AG622" s="124" t="s">
        <v>117</v>
      </c>
      <c r="AH622" s="124" t="s">
        <v>2213</v>
      </c>
      <c r="AI622" s="124" t="s">
        <v>117</v>
      </c>
      <c r="AJ622" s="124" t="s">
        <v>2215</v>
      </c>
      <c r="AK622" s="128"/>
      <c r="AL622" s="124" t="s">
        <v>126</v>
      </c>
      <c r="AM622" s="124" t="s">
        <v>156</v>
      </c>
      <c r="AN622" s="124" t="s">
        <v>216</v>
      </c>
      <c r="AO622" s="124" t="s">
        <v>185</v>
      </c>
      <c r="AP622" s="124"/>
    </row>
    <row r="623">
      <c r="A623" s="124" t="s">
        <v>4759</v>
      </c>
      <c r="B623" s="124" t="s">
        <v>4760</v>
      </c>
      <c r="C623" s="124" t="s">
        <v>4761</v>
      </c>
      <c r="D623" s="127">
        <v>40444.0</v>
      </c>
      <c r="E623" s="124" t="s">
        <v>98</v>
      </c>
      <c r="F623" s="124">
        <v>7.352103225E9</v>
      </c>
      <c r="G623" s="124" t="s">
        <v>4762</v>
      </c>
      <c r="H623" s="124" t="s">
        <v>140</v>
      </c>
      <c r="I623" s="128"/>
      <c r="J623" s="124" t="s">
        <v>4763</v>
      </c>
      <c r="K623" s="124" t="s">
        <v>4705</v>
      </c>
      <c r="L623" s="124">
        <v>7.352103225E9</v>
      </c>
      <c r="M623" s="128"/>
      <c r="N623" s="128"/>
      <c r="O623" s="128"/>
      <c r="P623" s="129">
        <v>15.0</v>
      </c>
      <c r="Q623" s="130">
        <v>46040.58005787037</v>
      </c>
      <c r="R623" s="124" t="s">
        <v>107</v>
      </c>
      <c r="S623" s="124" t="s">
        <v>109</v>
      </c>
      <c r="T623" s="124" t="s">
        <v>204</v>
      </c>
      <c r="U623" s="124" t="s">
        <v>367</v>
      </c>
      <c r="V623" s="124" t="s">
        <v>368</v>
      </c>
      <c r="W623" s="124" t="s">
        <v>369</v>
      </c>
      <c r="X623" s="124" t="s">
        <v>120</v>
      </c>
      <c r="Y623" s="128"/>
      <c r="Z623" s="124" t="s">
        <v>120</v>
      </c>
      <c r="AA623" s="128"/>
      <c r="AB623" s="124" t="s">
        <v>120</v>
      </c>
      <c r="AC623" s="128"/>
      <c r="AD623" s="128"/>
      <c r="AE623" s="124" t="s">
        <v>120</v>
      </c>
      <c r="AF623" s="128"/>
      <c r="AG623" s="124" t="s">
        <v>120</v>
      </c>
      <c r="AH623" s="128"/>
      <c r="AI623" s="124" t="s">
        <v>120</v>
      </c>
      <c r="AJ623" s="128"/>
      <c r="AK623" s="128"/>
      <c r="AL623" s="124" t="s">
        <v>141</v>
      </c>
      <c r="AM623" s="124" t="s">
        <v>124</v>
      </c>
      <c r="AN623" s="124" t="s">
        <v>128</v>
      </c>
      <c r="AO623" s="124" t="s">
        <v>138</v>
      </c>
      <c r="AP623" s="124"/>
    </row>
    <row r="624">
      <c r="A624" s="124" t="s">
        <v>4764</v>
      </c>
      <c r="B624" s="124" t="s">
        <v>4435</v>
      </c>
      <c r="C624" s="128"/>
      <c r="D624" s="127">
        <v>39700.0</v>
      </c>
      <c r="E624" s="124" t="s">
        <v>177</v>
      </c>
      <c r="F624" s="124">
        <v>5.534255903E9</v>
      </c>
      <c r="G624" s="124" t="s">
        <v>4765</v>
      </c>
      <c r="H624" s="124" t="s">
        <v>101</v>
      </c>
      <c r="I624" s="128"/>
      <c r="J624" s="124" t="s">
        <v>4437</v>
      </c>
      <c r="K624" s="124" t="s">
        <v>4438</v>
      </c>
      <c r="L624" s="124">
        <v>5.611773277E9</v>
      </c>
      <c r="M624" s="128"/>
      <c r="N624" s="128"/>
      <c r="O624" s="128"/>
      <c r="P624" s="129">
        <v>17.0</v>
      </c>
      <c r="Q624" s="130">
        <v>46033.517858796295</v>
      </c>
      <c r="R624" s="124" t="s">
        <v>107</v>
      </c>
      <c r="S624" s="124" t="s">
        <v>109</v>
      </c>
      <c r="T624" s="124" t="s">
        <v>160</v>
      </c>
      <c r="U624" s="124" t="s">
        <v>308</v>
      </c>
      <c r="V624" s="124" t="s">
        <v>309</v>
      </c>
      <c r="W624" s="124" t="s">
        <v>310</v>
      </c>
      <c r="X624" s="124" t="s">
        <v>120</v>
      </c>
      <c r="Y624" s="128"/>
      <c r="Z624" s="124" t="s">
        <v>120</v>
      </c>
      <c r="AA624" s="128"/>
      <c r="AB624" s="124" t="s">
        <v>120</v>
      </c>
      <c r="AC624" s="128"/>
      <c r="AD624" s="128"/>
      <c r="AE624" s="124" t="s">
        <v>120</v>
      </c>
      <c r="AF624" s="128"/>
      <c r="AG624" s="124" t="s">
        <v>120</v>
      </c>
      <c r="AH624" s="128"/>
      <c r="AI624" s="124" t="s">
        <v>120</v>
      </c>
      <c r="AJ624" s="128"/>
      <c r="AK624" s="128"/>
      <c r="AL624" s="124" t="s">
        <v>216</v>
      </c>
      <c r="AM624" s="124" t="s">
        <v>141</v>
      </c>
      <c r="AN624" s="124" t="s">
        <v>185</v>
      </c>
      <c r="AO624" s="124" t="s">
        <v>126</v>
      </c>
      <c r="AP624" s="124"/>
    </row>
    <row r="625">
      <c r="A625" s="124" t="s">
        <v>1857</v>
      </c>
      <c r="B625" s="124" t="s">
        <v>4766</v>
      </c>
      <c r="C625" s="124" t="s">
        <v>4767</v>
      </c>
      <c r="D625" s="127">
        <v>40379.0</v>
      </c>
      <c r="E625" s="124" t="s">
        <v>177</v>
      </c>
      <c r="F625" s="124" t="s">
        <v>4768</v>
      </c>
      <c r="G625" s="124" t="s">
        <v>2698</v>
      </c>
      <c r="H625" s="124" t="s">
        <v>140</v>
      </c>
      <c r="I625" s="128"/>
      <c r="J625" s="124" t="s">
        <v>2697</v>
      </c>
      <c r="K625" s="124" t="s">
        <v>2698</v>
      </c>
      <c r="L625" s="124">
        <v>5.633435445E9</v>
      </c>
      <c r="M625" s="128"/>
      <c r="N625" s="128"/>
      <c r="O625" s="128"/>
      <c r="P625" s="129">
        <v>15.0</v>
      </c>
      <c r="Q625" s="130">
        <v>46018.523993055554</v>
      </c>
      <c r="R625" s="124" t="s">
        <v>107</v>
      </c>
      <c r="S625" s="124" t="s">
        <v>109</v>
      </c>
      <c r="T625" s="124" t="s">
        <v>204</v>
      </c>
      <c r="U625" s="124" t="s">
        <v>295</v>
      </c>
      <c r="V625" s="124" t="s">
        <v>298</v>
      </c>
      <c r="W625" s="124" t="s">
        <v>299</v>
      </c>
      <c r="X625" s="124" t="s">
        <v>120</v>
      </c>
      <c r="Y625" s="128"/>
      <c r="Z625" s="124" t="s">
        <v>117</v>
      </c>
      <c r="AA625" s="124" t="s">
        <v>334</v>
      </c>
      <c r="AB625" s="124" t="s">
        <v>120</v>
      </c>
      <c r="AC625" s="128"/>
      <c r="AD625" s="128"/>
      <c r="AE625" s="124" t="s">
        <v>120</v>
      </c>
      <c r="AF625" s="128"/>
      <c r="AG625" s="124" t="s">
        <v>120</v>
      </c>
      <c r="AH625" s="128"/>
      <c r="AI625" s="124" t="s">
        <v>120</v>
      </c>
      <c r="AJ625" s="128"/>
      <c r="AK625" s="124" t="s">
        <v>135</v>
      </c>
      <c r="AL625" s="124" t="s">
        <v>141</v>
      </c>
      <c r="AM625" s="124" t="s">
        <v>242</v>
      </c>
      <c r="AN625" s="124" t="s">
        <v>240</v>
      </c>
      <c r="AO625" s="124" t="s">
        <v>216</v>
      </c>
      <c r="AP625" s="124"/>
    </row>
    <row r="626">
      <c r="A626" s="124" t="s">
        <v>3039</v>
      </c>
      <c r="B626" s="124" t="s">
        <v>3040</v>
      </c>
      <c r="C626" s="124" t="s">
        <v>3041</v>
      </c>
      <c r="D626" s="127">
        <v>37871.0</v>
      </c>
      <c r="E626" s="124" t="s">
        <v>98</v>
      </c>
      <c r="F626" s="124">
        <v>5.559972744E9</v>
      </c>
      <c r="G626" s="124" t="s">
        <v>3047</v>
      </c>
      <c r="H626" s="124" t="s">
        <v>140</v>
      </c>
      <c r="I626" s="128"/>
      <c r="J626" s="124" t="s">
        <v>3050</v>
      </c>
      <c r="K626" s="124" t="s">
        <v>3051</v>
      </c>
      <c r="L626" s="124">
        <v>5.578403245E9</v>
      </c>
      <c r="M626" s="128"/>
      <c r="N626" s="128"/>
      <c r="O626" s="128"/>
      <c r="P626" s="129">
        <v>22.0</v>
      </c>
      <c r="Q626" s="130">
        <v>46040.93880787037</v>
      </c>
      <c r="R626" s="124" t="s">
        <v>231</v>
      </c>
      <c r="S626" s="124" t="s">
        <v>125</v>
      </c>
      <c r="T626" s="124" t="s">
        <v>204</v>
      </c>
      <c r="U626" s="124" t="s">
        <v>699</v>
      </c>
      <c r="V626" s="124" t="s">
        <v>700</v>
      </c>
      <c r="W626" s="124" t="s">
        <v>702</v>
      </c>
      <c r="X626" s="124" t="s">
        <v>120</v>
      </c>
      <c r="Y626" s="128"/>
      <c r="Z626" s="124" t="s">
        <v>120</v>
      </c>
      <c r="AA626" s="128"/>
      <c r="AB626" s="124" t="s">
        <v>120</v>
      </c>
      <c r="AC626" s="128"/>
      <c r="AD626" s="128"/>
      <c r="AE626" s="124" t="s">
        <v>120</v>
      </c>
      <c r="AF626" s="128"/>
      <c r="AG626" s="124" t="s">
        <v>120</v>
      </c>
      <c r="AH626" s="128"/>
      <c r="AI626" s="124" t="s">
        <v>120</v>
      </c>
      <c r="AJ626" s="128"/>
      <c r="AK626" s="128"/>
      <c r="AL626" s="124" t="s">
        <v>156</v>
      </c>
      <c r="AM626" s="124" t="s">
        <v>240</v>
      </c>
      <c r="AN626" s="124" t="s">
        <v>124</v>
      </c>
      <c r="AO626" s="124" t="s">
        <v>126</v>
      </c>
      <c r="AP626" s="124"/>
    </row>
    <row r="627">
      <c r="A627" s="124" t="s">
        <v>2219</v>
      </c>
      <c r="B627" s="124" t="s">
        <v>2220</v>
      </c>
      <c r="C627" s="124" t="s">
        <v>2223</v>
      </c>
      <c r="D627" s="127">
        <v>40894.0</v>
      </c>
      <c r="E627" s="124" t="s">
        <v>177</v>
      </c>
      <c r="F627" s="128">
        <f>+56927670769</f>
        <v>56927670769</v>
      </c>
      <c r="G627" s="124" t="s">
        <v>2226</v>
      </c>
      <c r="H627" s="124" t="s">
        <v>101</v>
      </c>
      <c r="I627" s="128"/>
      <c r="J627" s="124" t="s">
        <v>2229</v>
      </c>
      <c r="K627" s="124" t="s">
        <v>2232</v>
      </c>
      <c r="L627" s="124">
        <v>5.534621137E9</v>
      </c>
      <c r="M627" s="128"/>
      <c r="N627" s="128"/>
      <c r="O627" s="128"/>
      <c r="P627" s="129">
        <v>14.0</v>
      </c>
      <c r="Q627" s="130">
        <v>46021.58766203704</v>
      </c>
      <c r="R627" s="124" t="s">
        <v>107</v>
      </c>
      <c r="S627" s="124" t="s">
        <v>109</v>
      </c>
      <c r="T627" s="124" t="s">
        <v>204</v>
      </c>
      <c r="U627" s="124" t="s">
        <v>205</v>
      </c>
      <c r="V627" s="124" t="s">
        <v>206</v>
      </c>
      <c r="W627" s="124" t="s">
        <v>207</v>
      </c>
      <c r="X627" s="124" t="s">
        <v>120</v>
      </c>
      <c r="Y627" s="128"/>
      <c r="Z627" s="124" t="s">
        <v>120</v>
      </c>
      <c r="AA627" s="128"/>
      <c r="AB627" s="124" t="s">
        <v>120</v>
      </c>
      <c r="AC627" s="128"/>
      <c r="AD627" s="128"/>
      <c r="AE627" s="124" t="s">
        <v>120</v>
      </c>
      <c r="AF627" s="128"/>
      <c r="AG627" s="124" t="s">
        <v>120</v>
      </c>
      <c r="AH627" s="128"/>
      <c r="AI627" s="124" t="s">
        <v>117</v>
      </c>
      <c r="AJ627" s="124" t="s">
        <v>2243</v>
      </c>
      <c r="AK627" s="128"/>
      <c r="AL627" s="124" t="s">
        <v>126</v>
      </c>
      <c r="AM627" s="124" t="s">
        <v>138</v>
      </c>
      <c r="AN627" s="124" t="s">
        <v>242</v>
      </c>
      <c r="AO627" s="124" t="s">
        <v>185</v>
      </c>
      <c r="AP627" s="124"/>
    </row>
    <row r="628">
      <c r="A628" s="124" t="s">
        <v>793</v>
      </c>
      <c r="B628" s="124" t="s">
        <v>794</v>
      </c>
      <c r="C628" s="124" t="s">
        <v>795</v>
      </c>
      <c r="D628" s="127">
        <v>38212.0</v>
      </c>
      <c r="E628" s="124" t="s">
        <v>98</v>
      </c>
      <c r="F628" s="124">
        <v>5.560794305E9</v>
      </c>
      <c r="G628" s="124" t="s">
        <v>797</v>
      </c>
      <c r="H628" s="124" t="s">
        <v>101</v>
      </c>
      <c r="I628" s="124" t="s">
        <v>800</v>
      </c>
      <c r="J628" s="124" t="s">
        <v>801</v>
      </c>
      <c r="K628" s="124" t="s">
        <v>797</v>
      </c>
      <c r="L628" s="124">
        <v>5.574526519E9</v>
      </c>
      <c r="M628" s="128"/>
      <c r="N628" s="128"/>
      <c r="O628" s="128"/>
      <c r="P628" s="129">
        <v>21.0</v>
      </c>
      <c r="Q628" s="130">
        <v>46033.501435185186</v>
      </c>
      <c r="R628" s="124" t="s">
        <v>107</v>
      </c>
      <c r="S628" s="124" t="s">
        <v>125</v>
      </c>
      <c r="T628" s="124" t="s">
        <v>160</v>
      </c>
      <c r="U628" s="124" t="s">
        <v>329</v>
      </c>
      <c r="V628" s="124" t="s">
        <v>331</v>
      </c>
      <c r="W628" s="124" t="s">
        <v>332</v>
      </c>
      <c r="X628" s="124" t="s">
        <v>120</v>
      </c>
      <c r="Y628" s="128"/>
      <c r="Z628" s="124" t="s">
        <v>117</v>
      </c>
      <c r="AA628" s="124" t="s">
        <v>805</v>
      </c>
      <c r="AB628" s="124" t="s">
        <v>117</v>
      </c>
      <c r="AC628" s="124" t="s">
        <v>117</v>
      </c>
      <c r="AD628" s="124" t="s">
        <v>806</v>
      </c>
      <c r="AE628" s="124" t="s">
        <v>120</v>
      </c>
      <c r="AF628" s="128"/>
      <c r="AG628" s="124" t="s">
        <v>120</v>
      </c>
      <c r="AH628" s="128"/>
      <c r="AI628" s="124" t="s">
        <v>117</v>
      </c>
      <c r="AJ628" s="124" t="s">
        <v>807</v>
      </c>
      <c r="AK628" s="128"/>
      <c r="AL628" s="124" t="s">
        <v>138</v>
      </c>
      <c r="AM628" s="124" t="s">
        <v>216</v>
      </c>
      <c r="AN628" s="124" t="s">
        <v>126</v>
      </c>
      <c r="AO628" s="124" t="s">
        <v>141</v>
      </c>
      <c r="AP628" s="124"/>
    </row>
    <row r="629">
      <c r="A629" s="124" t="s">
        <v>4769</v>
      </c>
      <c r="B629" s="124" t="s">
        <v>4770</v>
      </c>
      <c r="C629" s="124" t="s">
        <v>4771</v>
      </c>
      <c r="D629" s="127">
        <v>40134.0</v>
      </c>
      <c r="E629" s="124" t="s">
        <v>98</v>
      </c>
      <c r="F629" s="124">
        <v>5.591700501E9</v>
      </c>
      <c r="G629" s="124" t="s">
        <v>4772</v>
      </c>
      <c r="H629" s="124" t="s">
        <v>140</v>
      </c>
      <c r="I629" s="128"/>
      <c r="J629" s="124" t="s">
        <v>4773</v>
      </c>
      <c r="K629" s="124" t="s">
        <v>4774</v>
      </c>
      <c r="L629" s="124">
        <v>2.202778129E9</v>
      </c>
      <c r="M629" s="128"/>
      <c r="N629" s="128"/>
      <c r="O629" s="128"/>
      <c r="P629" s="129">
        <v>16.0</v>
      </c>
      <c r="Q629" s="130">
        <v>46046.81524305556</v>
      </c>
      <c r="R629" s="124" t="s">
        <v>260</v>
      </c>
      <c r="S629" s="124" t="s">
        <v>109</v>
      </c>
      <c r="T629" s="124" t="s">
        <v>160</v>
      </c>
      <c r="U629" s="124" t="s">
        <v>308</v>
      </c>
      <c r="V629" s="124" t="s">
        <v>309</v>
      </c>
      <c r="W629" s="124" t="s">
        <v>310</v>
      </c>
      <c r="X629" s="124" t="s">
        <v>120</v>
      </c>
      <c r="Y629" s="128"/>
      <c r="Z629" s="124" t="s">
        <v>120</v>
      </c>
      <c r="AA629" s="128"/>
      <c r="AB629" s="124" t="s">
        <v>120</v>
      </c>
      <c r="AC629" s="124" t="s">
        <v>120</v>
      </c>
      <c r="AD629" s="128"/>
      <c r="AE629" s="124" t="s">
        <v>120</v>
      </c>
      <c r="AF629" s="128"/>
      <c r="AG629" s="124" t="s">
        <v>120</v>
      </c>
      <c r="AH629" s="128"/>
      <c r="AI629" s="124" t="s">
        <v>120</v>
      </c>
      <c r="AJ629" s="128"/>
      <c r="AK629" s="128"/>
      <c r="AL629" s="124" t="s">
        <v>242</v>
      </c>
      <c r="AM629" s="124" t="s">
        <v>129</v>
      </c>
      <c r="AN629" s="124" t="s">
        <v>128</v>
      </c>
      <c r="AO629" s="124" t="s">
        <v>156</v>
      </c>
      <c r="AP629" s="124"/>
    </row>
    <row r="630">
      <c r="A630" s="124" t="s">
        <v>744</v>
      </c>
      <c r="B630" s="124" t="s">
        <v>746</v>
      </c>
      <c r="C630" s="124" t="s">
        <v>747</v>
      </c>
      <c r="D630" s="127">
        <v>40295.0</v>
      </c>
      <c r="E630" s="124" t="s">
        <v>177</v>
      </c>
      <c r="F630" s="124">
        <v>5.575353004E9</v>
      </c>
      <c r="G630" s="124" t="s">
        <v>748</v>
      </c>
      <c r="H630" s="124" t="s">
        <v>101</v>
      </c>
      <c r="I630" s="128"/>
      <c r="J630" s="124" t="s">
        <v>752</v>
      </c>
      <c r="K630" s="124" t="s">
        <v>748</v>
      </c>
      <c r="L630" s="124">
        <v>5.510969087E9</v>
      </c>
      <c r="M630" s="128"/>
      <c r="N630" s="128"/>
      <c r="O630" s="128"/>
      <c r="P630" s="129">
        <v>15.0</v>
      </c>
      <c r="Q630" s="130">
        <v>46040.768958333334</v>
      </c>
      <c r="R630" s="124" t="s">
        <v>107</v>
      </c>
      <c r="S630" s="124" t="s">
        <v>109</v>
      </c>
      <c r="T630" s="124" t="s">
        <v>111</v>
      </c>
      <c r="U630" s="124" t="s">
        <v>407</v>
      </c>
      <c r="V630" s="124" t="s">
        <v>408</v>
      </c>
      <c r="W630" s="124" t="s">
        <v>409</v>
      </c>
      <c r="X630" s="124" t="s">
        <v>117</v>
      </c>
      <c r="Y630" s="128"/>
      <c r="Z630" s="124" t="s">
        <v>117</v>
      </c>
      <c r="AA630" s="128"/>
      <c r="AB630" s="124" t="s">
        <v>117</v>
      </c>
      <c r="AC630" s="124" t="s">
        <v>117</v>
      </c>
      <c r="AD630" s="128"/>
      <c r="AE630" s="124" t="s">
        <v>117</v>
      </c>
      <c r="AF630" s="128"/>
      <c r="AG630" s="124" t="s">
        <v>117</v>
      </c>
      <c r="AH630" s="128"/>
      <c r="AI630" s="124" t="s">
        <v>117</v>
      </c>
      <c r="AJ630" s="128"/>
      <c r="AK630" s="128"/>
      <c r="AL630" s="124" t="s">
        <v>242</v>
      </c>
      <c r="AM630" s="124" t="s">
        <v>128</v>
      </c>
      <c r="AN630" s="124" t="s">
        <v>138</v>
      </c>
      <c r="AO630" s="124" t="s">
        <v>128</v>
      </c>
      <c r="AP630" s="124"/>
    </row>
    <row r="631">
      <c r="A631" s="124" t="s">
        <v>3069</v>
      </c>
      <c r="B631" s="124" t="s">
        <v>3070</v>
      </c>
      <c r="C631" s="124" t="s">
        <v>3077</v>
      </c>
      <c r="D631" s="127">
        <v>38511.0</v>
      </c>
      <c r="E631" s="124" t="s">
        <v>98</v>
      </c>
      <c r="F631" s="124">
        <v>5.624051722E9</v>
      </c>
      <c r="G631" s="124" t="s">
        <v>3087</v>
      </c>
      <c r="H631" s="124" t="s">
        <v>140</v>
      </c>
      <c r="I631" s="128"/>
      <c r="J631" s="124" t="s">
        <v>3088</v>
      </c>
      <c r="K631" s="124" t="s">
        <v>3089</v>
      </c>
      <c r="L631" s="124">
        <v>5.55334649E9</v>
      </c>
      <c r="M631" s="128"/>
      <c r="N631" s="128"/>
      <c r="O631" s="128"/>
      <c r="P631" s="129">
        <v>20.0</v>
      </c>
      <c r="Q631" s="130">
        <v>46039.909050925926</v>
      </c>
      <c r="R631" s="124" t="s">
        <v>231</v>
      </c>
      <c r="S631" s="124" t="s">
        <v>125</v>
      </c>
      <c r="T631" s="124" t="s">
        <v>171</v>
      </c>
      <c r="U631" s="124" t="s">
        <v>1474</v>
      </c>
      <c r="V631" s="124" t="s">
        <v>1475</v>
      </c>
      <c r="W631" s="124" t="s">
        <v>1476</v>
      </c>
      <c r="X631" s="124" t="s">
        <v>120</v>
      </c>
      <c r="Y631" s="128"/>
      <c r="Z631" s="124" t="s">
        <v>120</v>
      </c>
      <c r="AA631" s="128"/>
      <c r="AB631" s="124" t="s">
        <v>117</v>
      </c>
      <c r="AC631" s="124" t="s">
        <v>117</v>
      </c>
      <c r="AD631" s="128"/>
      <c r="AE631" s="124" t="s">
        <v>117</v>
      </c>
      <c r="AF631" s="124" t="s">
        <v>3118</v>
      </c>
      <c r="AG631" s="124" t="s">
        <v>120</v>
      </c>
      <c r="AH631" s="128"/>
      <c r="AI631" s="124" t="s">
        <v>120</v>
      </c>
      <c r="AJ631" s="128"/>
      <c r="AK631" s="128"/>
      <c r="AL631" s="124" t="s">
        <v>138</v>
      </c>
      <c r="AM631" s="124" t="s">
        <v>128</v>
      </c>
      <c r="AN631" s="124" t="s">
        <v>124</v>
      </c>
      <c r="AO631" s="124" t="s">
        <v>126</v>
      </c>
      <c r="AP631" s="124"/>
    </row>
    <row r="632">
      <c r="A632" s="124" t="s">
        <v>4009</v>
      </c>
      <c r="B632" s="124" t="s">
        <v>4775</v>
      </c>
      <c r="C632" s="128"/>
      <c r="D632" s="127">
        <v>41250.0</v>
      </c>
      <c r="E632" s="124" t="s">
        <v>98</v>
      </c>
      <c r="F632" s="124">
        <v>5.512226705E9</v>
      </c>
      <c r="G632" s="124" t="s">
        <v>4776</v>
      </c>
      <c r="H632" s="124" t="s">
        <v>101</v>
      </c>
      <c r="I632" s="128"/>
      <c r="J632" s="124" t="s">
        <v>1268</v>
      </c>
      <c r="K632" s="124" t="s">
        <v>4777</v>
      </c>
      <c r="L632" s="124">
        <v>5.510258319E9</v>
      </c>
      <c r="M632" s="128"/>
      <c r="N632" s="128"/>
      <c r="O632" s="128"/>
      <c r="P632" s="129">
        <v>13.0</v>
      </c>
      <c r="Q632" s="130">
        <v>46033.50733796296</v>
      </c>
      <c r="R632" s="124" t="s">
        <v>107</v>
      </c>
      <c r="S632" s="124" t="s">
        <v>109</v>
      </c>
      <c r="T632" s="124" t="s">
        <v>160</v>
      </c>
      <c r="U632" s="124" t="s">
        <v>308</v>
      </c>
      <c r="V632" s="124" t="s">
        <v>309</v>
      </c>
      <c r="W632" s="124" t="s">
        <v>310</v>
      </c>
      <c r="X632" s="124" t="s">
        <v>120</v>
      </c>
      <c r="Y632" s="128"/>
      <c r="Z632" s="124" t="s">
        <v>120</v>
      </c>
      <c r="AA632" s="128"/>
      <c r="AB632" s="124" t="s">
        <v>120</v>
      </c>
      <c r="AC632" s="128"/>
      <c r="AD632" s="128"/>
      <c r="AE632" s="124" t="s">
        <v>120</v>
      </c>
      <c r="AF632" s="128"/>
      <c r="AG632" s="124" t="s">
        <v>120</v>
      </c>
      <c r="AH632" s="128"/>
      <c r="AI632" s="124" t="s">
        <v>120</v>
      </c>
      <c r="AJ632" s="128"/>
      <c r="AK632" s="128"/>
      <c r="AL632" s="124" t="s">
        <v>185</v>
      </c>
      <c r="AM632" s="124" t="s">
        <v>124</v>
      </c>
      <c r="AN632" s="124" t="s">
        <v>216</v>
      </c>
      <c r="AO632" s="124" t="s">
        <v>242</v>
      </c>
      <c r="AP632" s="124"/>
    </row>
    <row r="633">
      <c r="A633" s="124" t="s">
        <v>710</v>
      </c>
      <c r="B633" s="124" t="s">
        <v>809</v>
      </c>
      <c r="C633" s="124" t="s">
        <v>810</v>
      </c>
      <c r="D633" s="127">
        <v>39161.0</v>
      </c>
      <c r="E633" s="124" t="s">
        <v>98</v>
      </c>
      <c r="F633" s="124">
        <v>7.206758138E9</v>
      </c>
      <c r="G633" s="124" t="s">
        <v>811</v>
      </c>
      <c r="H633" s="124" t="s">
        <v>140</v>
      </c>
      <c r="I633" s="124" t="s">
        <v>812</v>
      </c>
      <c r="J633" s="124" t="s">
        <v>813</v>
      </c>
      <c r="K633" s="124" t="s">
        <v>814</v>
      </c>
      <c r="L633" s="124">
        <v>7.293082828E9</v>
      </c>
      <c r="M633" s="128"/>
      <c r="N633" s="128"/>
      <c r="O633" s="128"/>
      <c r="P633" s="129">
        <v>18.0</v>
      </c>
      <c r="Q633" s="130">
        <v>46033.95962962963</v>
      </c>
      <c r="R633" s="124" t="s">
        <v>546</v>
      </c>
      <c r="S633" s="124" t="s">
        <v>125</v>
      </c>
      <c r="T633" s="124" t="s">
        <v>819</v>
      </c>
      <c r="U633" s="124" t="s">
        <v>821</v>
      </c>
      <c r="V633" s="124" t="s">
        <v>823</v>
      </c>
      <c r="W633" s="124" t="s">
        <v>825</v>
      </c>
      <c r="X633" s="124" t="s">
        <v>120</v>
      </c>
      <c r="Y633" s="128"/>
      <c r="Z633" s="124" t="s">
        <v>117</v>
      </c>
      <c r="AA633" s="124" t="s">
        <v>826</v>
      </c>
      <c r="AB633" s="124" t="s">
        <v>117</v>
      </c>
      <c r="AC633" s="124" t="s">
        <v>117</v>
      </c>
      <c r="AD633" s="124" t="s">
        <v>827</v>
      </c>
      <c r="AE633" s="124" t="s">
        <v>120</v>
      </c>
      <c r="AF633" s="128"/>
      <c r="AG633" s="124" t="s">
        <v>120</v>
      </c>
      <c r="AH633" s="128"/>
      <c r="AI633" s="124" t="s">
        <v>117</v>
      </c>
      <c r="AJ633" s="124" t="s">
        <v>178</v>
      </c>
      <c r="AK633" s="128"/>
      <c r="AL633" s="124" t="s">
        <v>216</v>
      </c>
      <c r="AM633" s="124" t="s">
        <v>242</v>
      </c>
      <c r="AN633" s="124" t="s">
        <v>240</v>
      </c>
      <c r="AO633" s="124" t="s">
        <v>185</v>
      </c>
      <c r="AP633" s="124"/>
    </row>
    <row r="634">
      <c r="A634" s="124" t="s">
        <v>2843</v>
      </c>
      <c r="B634" s="124" t="s">
        <v>4088</v>
      </c>
      <c r="C634" s="124" t="s">
        <v>4778</v>
      </c>
      <c r="D634" s="127">
        <v>39450.0</v>
      </c>
      <c r="E634" s="124" t="s">
        <v>98</v>
      </c>
      <c r="F634" s="124">
        <v>5.533444968E9</v>
      </c>
      <c r="G634" s="124" t="s">
        <v>4779</v>
      </c>
      <c r="H634" s="124" t="s">
        <v>101</v>
      </c>
      <c r="I634" s="124" t="s">
        <v>135</v>
      </c>
      <c r="J634" s="124" t="s">
        <v>4091</v>
      </c>
      <c r="K634" s="124" t="s">
        <v>4092</v>
      </c>
      <c r="L634" s="124">
        <v>5.585591381E9</v>
      </c>
      <c r="M634" s="128"/>
      <c r="N634" s="128"/>
      <c r="O634" s="128"/>
      <c r="P634" s="129">
        <v>18.0</v>
      </c>
      <c r="Q634" s="130">
        <v>46033.794224537036</v>
      </c>
      <c r="R634" s="124" t="s">
        <v>107</v>
      </c>
      <c r="S634" s="124" t="s">
        <v>109</v>
      </c>
      <c r="T634" s="124" t="s">
        <v>160</v>
      </c>
      <c r="U634" s="124" t="s">
        <v>279</v>
      </c>
      <c r="V634" s="124" t="s">
        <v>280</v>
      </c>
      <c r="W634" s="124" t="s">
        <v>282</v>
      </c>
      <c r="X634" s="124" t="s">
        <v>120</v>
      </c>
      <c r="Y634" s="128"/>
      <c r="Z634" s="124" t="s">
        <v>120</v>
      </c>
      <c r="AA634" s="128"/>
      <c r="AB634" s="124" t="s">
        <v>120</v>
      </c>
      <c r="AC634" s="124" t="s">
        <v>120</v>
      </c>
      <c r="AD634" s="128"/>
      <c r="AE634" s="124" t="s">
        <v>120</v>
      </c>
      <c r="AF634" s="128"/>
      <c r="AG634" s="124" t="s">
        <v>120</v>
      </c>
      <c r="AH634" s="128"/>
      <c r="AI634" s="124" t="s">
        <v>120</v>
      </c>
      <c r="AJ634" s="128"/>
      <c r="AK634" s="128"/>
      <c r="AL634" s="124" t="s">
        <v>240</v>
      </c>
      <c r="AM634" s="124" t="s">
        <v>156</v>
      </c>
      <c r="AN634" s="124" t="s">
        <v>129</v>
      </c>
      <c r="AO634" s="124" t="s">
        <v>141</v>
      </c>
      <c r="AP634" s="124"/>
    </row>
    <row r="635">
      <c r="A635" s="124" t="s">
        <v>2245</v>
      </c>
      <c r="B635" s="124" t="s">
        <v>2246</v>
      </c>
      <c r="C635" s="128"/>
      <c r="D635" s="127">
        <v>41171.0</v>
      </c>
      <c r="E635" s="124" t="s">
        <v>98</v>
      </c>
      <c r="F635" s="124">
        <v>5.610050539E9</v>
      </c>
      <c r="G635" s="124" t="s">
        <v>2250</v>
      </c>
      <c r="H635" s="124" t="s">
        <v>140</v>
      </c>
      <c r="I635" s="128"/>
      <c r="J635" s="124" t="s">
        <v>2255</v>
      </c>
      <c r="K635" s="124" t="s">
        <v>2250</v>
      </c>
      <c r="L635" s="124">
        <v>5.610050539E9</v>
      </c>
      <c r="M635" s="128"/>
      <c r="N635" s="128"/>
      <c r="O635" s="128"/>
      <c r="P635" s="129">
        <v>13.0</v>
      </c>
      <c r="Q635" s="130">
        <v>46039.911527777775</v>
      </c>
      <c r="R635" s="124" t="s">
        <v>107</v>
      </c>
      <c r="S635" s="124" t="s">
        <v>109</v>
      </c>
      <c r="T635" s="124" t="s">
        <v>208</v>
      </c>
      <c r="U635" s="124" t="s">
        <v>1599</v>
      </c>
      <c r="V635" s="124" t="s">
        <v>1600</v>
      </c>
      <c r="W635" s="124" t="s">
        <v>1602</v>
      </c>
      <c r="X635" s="124" t="s">
        <v>120</v>
      </c>
      <c r="Y635" s="128"/>
      <c r="Z635" s="124" t="s">
        <v>120</v>
      </c>
      <c r="AA635" s="128"/>
      <c r="AB635" s="124" t="s">
        <v>120</v>
      </c>
      <c r="AC635" s="128"/>
      <c r="AD635" s="128"/>
      <c r="AE635" s="124" t="s">
        <v>120</v>
      </c>
      <c r="AF635" s="128"/>
      <c r="AG635" s="124" t="s">
        <v>120</v>
      </c>
      <c r="AH635" s="128"/>
      <c r="AI635" s="124" t="s">
        <v>117</v>
      </c>
      <c r="AJ635" s="124" t="s">
        <v>2269</v>
      </c>
      <c r="AK635" s="128"/>
      <c r="AL635" s="124" t="s">
        <v>129</v>
      </c>
      <c r="AM635" s="124" t="s">
        <v>126</v>
      </c>
      <c r="AN635" s="124" t="s">
        <v>242</v>
      </c>
      <c r="AO635" s="124" t="s">
        <v>156</v>
      </c>
      <c r="AP635" s="124"/>
    </row>
    <row r="636">
      <c r="A636" s="124" t="s">
        <v>387</v>
      </c>
      <c r="B636" s="124" t="s">
        <v>391</v>
      </c>
      <c r="C636" s="124" t="s">
        <v>394</v>
      </c>
      <c r="D636" s="127">
        <v>37834.0</v>
      </c>
      <c r="E636" s="124" t="s">
        <v>98</v>
      </c>
      <c r="F636" s="124">
        <v>5.634685604E9</v>
      </c>
      <c r="G636" s="124" t="s">
        <v>397</v>
      </c>
      <c r="H636" s="124" t="s">
        <v>140</v>
      </c>
      <c r="I636" s="128"/>
      <c r="J636" s="124" t="s">
        <v>401</v>
      </c>
      <c r="K636" s="124" t="s">
        <v>402</v>
      </c>
      <c r="L636" s="124">
        <v>5.518385395E9</v>
      </c>
      <c r="M636" s="128"/>
      <c r="N636" s="128"/>
      <c r="O636" s="128"/>
      <c r="P636" s="129">
        <v>22.0</v>
      </c>
      <c r="Q636" s="130">
        <v>46040.77814814815</v>
      </c>
      <c r="R636" s="124" t="s">
        <v>231</v>
      </c>
      <c r="S636" s="124" t="s">
        <v>125</v>
      </c>
      <c r="T636" s="124" t="s">
        <v>111</v>
      </c>
      <c r="U636" s="124" t="s">
        <v>407</v>
      </c>
      <c r="V636" s="124" t="s">
        <v>408</v>
      </c>
      <c r="W636" s="124" t="s">
        <v>409</v>
      </c>
      <c r="X636" s="124" t="s">
        <v>117</v>
      </c>
      <c r="Y636" s="128"/>
      <c r="Z636" s="124" t="s">
        <v>117</v>
      </c>
      <c r="AA636" s="128"/>
      <c r="AB636" s="124" t="s">
        <v>117</v>
      </c>
      <c r="AC636" s="124" t="s">
        <v>117</v>
      </c>
      <c r="AD636" s="128"/>
      <c r="AE636" s="124" t="s">
        <v>117</v>
      </c>
      <c r="AF636" s="128"/>
      <c r="AG636" s="124" t="s">
        <v>117</v>
      </c>
      <c r="AH636" s="128"/>
      <c r="AI636" s="124" t="s">
        <v>117</v>
      </c>
      <c r="AJ636" s="128"/>
      <c r="AK636" s="128"/>
      <c r="AL636" s="124" t="s">
        <v>128</v>
      </c>
      <c r="AM636" s="124" t="s">
        <v>141</v>
      </c>
      <c r="AN636" s="124" t="s">
        <v>216</v>
      </c>
      <c r="AO636" s="124" t="s">
        <v>242</v>
      </c>
      <c r="AP636" s="124"/>
    </row>
    <row r="637">
      <c r="A637" s="124" t="s">
        <v>4780</v>
      </c>
      <c r="B637" s="124" t="s">
        <v>4781</v>
      </c>
      <c r="C637" s="124" t="s">
        <v>4782</v>
      </c>
      <c r="D637" s="127">
        <v>40279.0</v>
      </c>
      <c r="E637" s="124" t="s">
        <v>98</v>
      </c>
      <c r="F637" s="124">
        <v>5.516251047E9</v>
      </c>
      <c r="G637" s="124" t="s">
        <v>4783</v>
      </c>
      <c r="H637" s="124" t="s">
        <v>101</v>
      </c>
      <c r="I637" s="128"/>
      <c r="J637" s="124" t="s">
        <v>4784</v>
      </c>
      <c r="K637" s="124" t="s">
        <v>167</v>
      </c>
      <c r="L637" s="124">
        <v>5.574333629E9</v>
      </c>
      <c r="M637" s="128"/>
      <c r="N637" s="128"/>
      <c r="O637" s="128"/>
      <c r="P637" s="129">
        <v>15.0</v>
      </c>
      <c r="Q637" s="130">
        <v>46033.70255787037</v>
      </c>
      <c r="R637" s="124" t="s">
        <v>107</v>
      </c>
      <c r="S637" s="124" t="s">
        <v>109</v>
      </c>
      <c r="T637" s="124" t="s">
        <v>171</v>
      </c>
      <c r="U637" s="124" t="s">
        <v>173</v>
      </c>
      <c r="V637" s="124" t="s">
        <v>167</v>
      </c>
      <c r="W637" s="124" t="s">
        <v>175</v>
      </c>
      <c r="X637" s="124" t="s">
        <v>120</v>
      </c>
      <c r="Y637" s="128"/>
      <c r="Z637" s="124" t="s">
        <v>120</v>
      </c>
      <c r="AA637" s="128"/>
      <c r="AB637" s="124" t="s">
        <v>120</v>
      </c>
      <c r="AC637" s="124" t="s">
        <v>120</v>
      </c>
      <c r="AD637" s="128"/>
      <c r="AE637" s="124" t="s">
        <v>120</v>
      </c>
      <c r="AF637" s="128"/>
      <c r="AG637" s="124" t="s">
        <v>120</v>
      </c>
      <c r="AH637" s="128"/>
      <c r="AI637" s="124" t="s">
        <v>120</v>
      </c>
      <c r="AJ637" s="128"/>
      <c r="AK637" s="128"/>
      <c r="AL637" s="124" t="s">
        <v>129</v>
      </c>
      <c r="AM637" s="124" t="s">
        <v>156</v>
      </c>
      <c r="AN637" s="124" t="s">
        <v>124</v>
      </c>
      <c r="AO637" s="124" t="s">
        <v>138</v>
      </c>
      <c r="AP637" s="124"/>
    </row>
    <row r="638">
      <c r="A638" s="124" t="s">
        <v>3132</v>
      </c>
      <c r="B638" s="124" t="s">
        <v>3133</v>
      </c>
      <c r="C638" s="124" t="s">
        <v>3134</v>
      </c>
      <c r="D638" s="127">
        <v>35465.0</v>
      </c>
      <c r="E638" s="124" t="s">
        <v>98</v>
      </c>
      <c r="F638" s="124">
        <v>5.519195619E9</v>
      </c>
      <c r="G638" s="124" t="s">
        <v>3135</v>
      </c>
      <c r="H638" s="124" t="s">
        <v>382</v>
      </c>
      <c r="I638" s="124" t="s">
        <v>2397</v>
      </c>
      <c r="J638" s="124" t="s">
        <v>3143</v>
      </c>
      <c r="K638" s="124" t="s">
        <v>3147</v>
      </c>
      <c r="L638" s="124">
        <v>5.519195619E9</v>
      </c>
      <c r="M638" s="128"/>
      <c r="N638" s="128"/>
      <c r="O638" s="128"/>
      <c r="P638" s="129">
        <v>29.0</v>
      </c>
      <c r="Q638" s="130">
        <v>46036.729895833334</v>
      </c>
      <c r="R638" s="124" t="s">
        <v>546</v>
      </c>
      <c r="S638" s="124" t="s">
        <v>125</v>
      </c>
      <c r="T638" s="124" t="s">
        <v>3154</v>
      </c>
      <c r="U638" s="124" t="s">
        <v>3155</v>
      </c>
      <c r="V638" s="124" t="s">
        <v>3156</v>
      </c>
      <c r="W638" s="124" t="s">
        <v>3160</v>
      </c>
      <c r="X638" s="124" t="s">
        <v>120</v>
      </c>
      <c r="Y638" s="124" t="s">
        <v>135</v>
      </c>
      <c r="Z638" s="124" t="s">
        <v>120</v>
      </c>
      <c r="AA638" s="124" t="s">
        <v>135</v>
      </c>
      <c r="AB638" s="124" t="s">
        <v>120</v>
      </c>
      <c r="AC638" s="124" t="s">
        <v>120</v>
      </c>
      <c r="AD638" s="124" t="s">
        <v>135</v>
      </c>
      <c r="AE638" s="124" t="s">
        <v>120</v>
      </c>
      <c r="AF638" s="124" t="s">
        <v>135</v>
      </c>
      <c r="AG638" s="124" t="s">
        <v>120</v>
      </c>
      <c r="AH638" s="124" t="s">
        <v>135</v>
      </c>
      <c r="AI638" s="124" t="s">
        <v>120</v>
      </c>
      <c r="AJ638" s="124" t="s">
        <v>2397</v>
      </c>
      <c r="AK638" s="124" t="s">
        <v>135</v>
      </c>
      <c r="AL638" s="124" t="s">
        <v>141</v>
      </c>
      <c r="AM638" s="124" t="s">
        <v>129</v>
      </c>
      <c r="AN638" s="124" t="s">
        <v>242</v>
      </c>
      <c r="AO638" s="124" t="s">
        <v>128</v>
      </c>
      <c r="AP638" s="124"/>
    </row>
    <row r="639">
      <c r="A639" s="124" t="s">
        <v>3185</v>
      </c>
      <c r="B639" s="124" t="s">
        <v>2220</v>
      </c>
      <c r="C639" s="124" t="s">
        <v>3189</v>
      </c>
      <c r="D639" s="127">
        <v>38227.0</v>
      </c>
      <c r="E639" s="124" t="s">
        <v>98</v>
      </c>
      <c r="F639" s="124" t="s">
        <v>3194</v>
      </c>
      <c r="G639" s="124" t="s">
        <v>3195</v>
      </c>
      <c r="H639" s="124" t="s">
        <v>140</v>
      </c>
      <c r="I639" s="128"/>
      <c r="J639" s="124" t="s">
        <v>2229</v>
      </c>
      <c r="K639" s="124" t="s">
        <v>3197</v>
      </c>
      <c r="L639" s="128" t="str">
        <f>+52 55 3462 1137</f>
        <v>#ERROR!</v>
      </c>
      <c r="M639" s="128"/>
      <c r="N639" s="128"/>
      <c r="O639" s="128"/>
      <c r="P639" s="129">
        <v>21.0</v>
      </c>
      <c r="Q639" s="130">
        <v>45979.5841087963</v>
      </c>
      <c r="R639" s="124" t="s">
        <v>107</v>
      </c>
      <c r="S639" s="124" t="s">
        <v>125</v>
      </c>
      <c r="T639" s="124" t="s">
        <v>204</v>
      </c>
      <c r="U639" s="124" t="s">
        <v>205</v>
      </c>
      <c r="V639" s="124" t="s">
        <v>206</v>
      </c>
      <c r="W639" s="124" t="s">
        <v>207</v>
      </c>
      <c r="X639" s="124" t="s">
        <v>120</v>
      </c>
      <c r="Y639" s="128"/>
      <c r="Z639" s="124" t="s">
        <v>120</v>
      </c>
      <c r="AA639" s="128"/>
      <c r="AB639" s="124" t="s">
        <v>117</v>
      </c>
      <c r="AC639" s="124" t="s">
        <v>117</v>
      </c>
      <c r="AD639" s="124" t="s">
        <v>3211</v>
      </c>
      <c r="AE639" s="124" t="s">
        <v>117</v>
      </c>
      <c r="AF639" s="124" t="s">
        <v>3217</v>
      </c>
      <c r="AG639" s="124" t="s">
        <v>120</v>
      </c>
      <c r="AH639" s="128"/>
      <c r="AI639" s="124" t="s">
        <v>120</v>
      </c>
      <c r="AJ639" s="128"/>
      <c r="AK639" s="128"/>
      <c r="AL639" s="124" t="s">
        <v>185</v>
      </c>
      <c r="AM639" s="124" t="s">
        <v>138</v>
      </c>
      <c r="AN639" s="124" t="s">
        <v>240</v>
      </c>
      <c r="AO639" s="124" t="s">
        <v>129</v>
      </c>
      <c r="AP639" s="124"/>
    </row>
    <row r="640">
      <c r="A640" s="124" t="s">
        <v>2532</v>
      </c>
      <c r="B640" s="124" t="s">
        <v>2533</v>
      </c>
      <c r="C640" s="124" t="s">
        <v>2535</v>
      </c>
      <c r="D640" s="127">
        <v>37728.0</v>
      </c>
      <c r="E640" s="124" t="s">
        <v>98</v>
      </c>
      <c r="F640" s="124">
        <v>2.321175658E9</v>
      </c>
      <c r="G640" s="124" t="s">
        <v>2538</v>
      </c>
      <c r="H640" s="124" t="s">
        <v>150</v>
      </c>
      <c r="I640" s="128"/>
      <c r="J640" s="124" t="s">
        <v>2540</v>
      </c>
      <c r="K640" s="124" t="s">
        <v>2541</v>
      </c>
      <c r="L640" s="124">
        <v>2.212231159E9</v>
      </c>
      <c r="M640" s="128"/>
      <c r="N640" s="128"/>
      <c r="O640" s="128"/>
      <c r="P640" s="129">
        <v>22.0</v>
      </c>
      <c r="Q640" s="130">
        <v>45979.6325462963</v>
      </c>
      <c r="R640" s="124" t="s">
        <v>107</v>
      </c>
      <c r="S640" s="124" t="s">
        <v>125</v>
      </c>
      <c r="T640" s="124" t="s">
        <v>2547</v>
      </c>
      <c r="U640" s="124" t="s">
        <v>2548</v>
      </c>
      <c r="V640" s="124" t="s">
        <v>2550</v>
      </c>
      <c r="W640" s="124" t="s">
        <v>2552</v>
      </c>
      <c r="X640" s="124" t="s">
        <v>120</v>
      </c>
      <c r="Y640" s="128"/>
      <c r="Z640" s="124" t="s">
        <v>120</v>
      </c>
      <c r="AA640" s="128"/>
      <c r="AB640" s="124" t="s">
        <v>117</v>
      </c>
      <c r="AC640" s="124" t="s">
        <v>120</v>
      </c>
      <c r="AD640" s="124" t="s">
        <v>2555</v>
      </c>
      <c r="AE640" s="124" t="s">
        <v>120</v>
      </c>
      <c r="AF640" s="128"/>
      <c r="AG640" s="124" t="s">
        <v>120</v>
      </c>
      <c r="AH640" s="128"/>
      <c r="AI640" s="124" t="s">
        <v>117</v>
      </c>
      <c r="AJ640" s="124" t="s">
        <v>2557</v>
      </c>
      <c r="AK640" s="128"/>
      <c r="AL640" s="124" t="s">
        <v>141</v>
      </c>
      <c r="AM640" s="124" t="s">
        <v>138</v>
      </c>
      <c r="AN640" s="124" t="s">
        <v>156</v>
      </c>
      <c r="AO640" s="124" t="s">
        <v>124</v>
      </c>
      <c r="AP640" s="124"/>
    </row>
    <row r="641">
      <c r="A641" s="124" t="s">
        <v>3246</v>
      </c>
      <c r="B641" s="124" t="s">
        <v>3248</v>
      </c>
      <c r="C641" s="124" t="s">
        <v>3250</v>
      </c>
      <c r="D641" s="127">
        <v>35520.0</v>
      </c>
      <c r="E641" s="124" t="s">
        <v>177</v>
      </c>
      <c r="F641" s="124">
        <v>5.64769165E9</v>
      </c>
      <c r="G641" s="124" t="s">
        <v>3255</v>
      </c>
      <c r="H641" s="124" t="s">
        <v>101</v>
      </c>
      <c r="I641" s="128"/>
      <c r="J641" s="124" t="s">
        <v>3260</v>
      </c>
      <c r="K641" s="124" t="s">
        <v>3264</v>
      </c>
      <c r="L641" s="124">
        <v>5.621988494E9</v>
      </c>
      <c r="M641" s="128"/>
      <c r="N641" s="128"/>
      <c r="O641" s="128"/>
      <c r="P641" s="129">
        <v>28.0</v>
      </c>
      <c r="Q641" s="130">
        <v>46047.89090277778</v>
      </c>
      <c r="R641" s="124" t="s">
        <v>260</v>
      </c>
      <c r="S641" s="124" t="s">
        <v>125</v>
      </c>
      <c r="T641" s="124" t="s">
        <v>3273</v>
      </c>
      <c r="U641" s="124" t="s">
        <v>3274</v>
      </c>
      <c r="V641" s="124" t="s">
        <v>3275</v>
      </c>
      <c r="W641" s="124" t="s">
        <v>3276</v>
      </c>
      <c r="X641" s="124" t="s">
        <v>120</v>
      </c>
      <c r="Y641" s="128"/>
      <c r="Z641" s="124" t="s">
        <v>120</v>
      </c>
      <c r="AA641" s="128"/>
      <c r="AB641" s="124" t="s">
        <v>120</v>
      </c>
      <c r="AC641" s="128"/>
      <c r="AD641" s="128"/>
      <c r="AE641" s="124" t="s">
        <v>120</v>
      </c>
      <c r="AF641" s="128"/>
      <c r="AG641" s="124" t="s">
        <v>120</v>
      </c>
      <c r="AH641" s="128"/>
      <c r="AI641" s="124" t="s">
        <v>120</v>
      </c>
      <c r="AJ641" s="128"/>
      <c r="AK641" s="128"/>
      <c r="AL641" s="124" t="s">
        <v>242</v>
      </c>
      <c r="AM641" s="124" t="s">
        <v>156</v>
      </c>
      <c r="AN641" s="124" t="s">
        <v>138</v>
      </c>
      <c r="AO641" s="124" t="s">
        <v>128</v>
      </c>
      <c r="AP641" s="124"/>
    </row>
    <row r="642">
      <c r="A642" s="124" t="s">
        <v>4785</v>
      </c>
      <c r="B642" s="124" t="s">
        <v>852</v>
      </c>
      <c r="C642" s="124" t="s">
        <v>4786</v>
      </c>
      <c r="D642" s="127">
        <v>40118.0</v>
      </c>
      <c r="E642" s="124" t="s">
        <v>98</v>
      </c>
      <c r="F642" s="124">
        <v>5.631684258E9</v>
      </c>
      <c r="G642" s="124" t="s">
        <v>4787</v>
      </c>
      <c r="H642" s="124" t="s">
        <v>140</v>
      </c>
      <c r="I642" s="128"/>
      <c r="J642" s="124" t="s">
        <v>857</v>
      </c>
      <c r="K642" s="124" t="s">
        <v>858</v>
      </c>
      <c r="L642" s="124">
        <v>5.514041685E9</v>
      </c>
      <c r="M642" s="124" t="s">
        <v>859</v>
      </c>
      <c r="N642" s="124" t="s">
        <v>860</v>
      </c>
      <c r="O642" s="124">
        <v>5.564816934E9</v>
      </c>
      <c r="P642" s="129">
        <v>16.0</v>
      </c>
      <c r="Q642" s="130">
        <v>46032.9284375</v>
      </c>
      <c r="R642" s="124" t="s">
        <v>107</v>
      </c>
      <c r="S642" s="124" t="s">
        <v>109</v>
      </c>
      <c r="T642" s="124" t="s">
        <v>127</v>
      </c>
      <c r="U642" s="124" t="s">
        <v>234</v>
      </c>
      <c r="V642" s="124" t="s">
        <v>227</v>
      </c>
      <c r="W642" s="124" t="s">
        <v>236</v>
      </c>
      <c r="X642" s="124" t="s">
        <v>120</v>
      </c>
      <c r="Y642" s="128"/>
      <c r="Z642" s="124" t="s">
        <v>120</v>
      </c>
      <c r="AA642" s="128"/>
      <c r="AB642" s="124" t="s">
        <v>120</v>
      </c>
      <c r="AC642" s="128"/>
      <c r="AD642" s="128"/>
      <c r="AE642" s="124" t="s">
        <v>120</v>
      </c>
      <c r="AF642" s="128"/>
      <c r="AG642" s="124" t="s">
        <v>120</v>
      </c>
      <c r="AH642" s="128"/>
      <c r="AI642" s="124" t="s">
        <v>120</v>
      </c>
      <c r="AJ642" s="128"/>
      <c r="AK642" s="128"/>
      <c r="AL642" s="124" t="s">
        <v>242</v>
      </c>
      <c r="AM642" s="124" t="s">
        <v>216</v>
      </c>
      <c r="AN642" s="124" t="s">
        <v>185</v>
      </c>
      <c r="AO642" s="124" t="s">
        <v>126</v>
      </c>
      <c r="AP642" s="124"/>
    </row>
    <row r="643">
      <c r="A643" s="124" t="s">
        <v>4788</v>
      </c>
      <c r="B643" s="124" t="s">
        <v>3560</v>
      </c>
      <c r="C643" s="124" t="s">
        <v>4789</v>
      </c>
      <c r="D643" s="127">
        <v>40594.0</v>
      </c>
      <c r="E643" s="124" t="s">
        <v>177</v>
      </c>
      <c r="F643" s="124" t="s">
        <v>4790</v>
      </c>
      <c r="G643" s="124" t="s">
        <v>4791</v>
      </c>
      <c r="H643" s="124" t="s">
        <v>140</v>
      </c>
      <c r="I643" s="128"/>
      <c r="J643" s="124" t="s">
        <v>3563</v>
      </c>
      <c r="K643" s="124" t="s">
        <v>3564</v>
      </c>
      <c r="L643" s="124" t="s">
        <v>4792</v>
      </c>
      <c r="M643" s="124" t="s">
        <v>3565</v>
      </c>
      <c r="N643" s="124" t="s">
        <v>4793</v>
      </c>
      <c r="O643" s="124" t="s">
        <v>4794</v>
      </c>
      <c r="P643" s="129">
        <v>15.0</v>
      </c>
      <c r="Q643" s="130">
        <v>46033.70748842593</v>
      </c>
      <c r="R643" s="124" t="s">
        <v>107</v>
      </c>
      <c r="S643" s="124" t="s">
        <v>109</v>
      </c>
      <c r="T643" s="124" t="s">
        <v>171</v>
      </c>
      <c r="U643" s="124" t="s">
        <v>526</v>
      </c>
      <c r="V643" s="124" t="s">
        <v>527</v>
      </c>
      <c r="W643" s="124" t="s">
        <v>528</v>
      </c>
      <c r="X643" s="124" t="s">
        <v>120</v>
      </c>
      <c r="Y643" s="128"/>
      <c r="Z643" s="124" t="s">
        <v>120</v>
      </c>
      <c r="AA643" s="128"/>
      <c r="AB643" s="124" t="s">
        <v>120</v>
      </c>
      <c r="AC643" s="128"/>
      <c r="AD643" s="128"/>
      <c r="AE643" s="124" t="s">
        <v>120</v>
      </c>
      <c r="AF643" s="128"/>
      <c r="AG643" s="124" t="s">
        <v>120</v>
      </c>
      <c r="AH643" s="128"/>
      <c r="AI643" s="124" t="s">
        <v>120</v>
      </c>
      <c r="AJ643" s="128"/>
      <c r="AK643" s="128"/>
      <c r="AL643" s="124" t="s">
        <v>138</v>
      </c>
      <c r="AM643" s="124" t="s">
        <v>156</v>
      </c>
      <c r="AN643" s="124" t="s">
        <v>128</v>
      </c>
      <c r="AO643" s="124" t="s">
        <v>126</v>
      </c>
      <c r="AP643" s="124"/>
    </row>
    <row r="644">
      <c r="A644" s="124" t="s">
        <v>4795</v>
      </c>
      <c r="B644" s="124" t="s">
        <v>4796</v>
      </c>
      <c r="C644" s="124" t="s">
        <v>4797</v>
      </c>
      <c r="D644" s="127">
        <v>40212.0</v>
      </c>
      <c r="E644" s="124" t="s">
        <v>177</v>
      </c>
      <c r="F644" s="124">
        <v>5.615671904E9</v>
      </c>
      <c r="G644" s="124" t="s">
        <v>4798</v>
      </c>
      <c r="H644" s="124" t="s">
        <v>101</v>
      </c>
      <c r="I644" s="128"/>
      <c r="J644" s="124" t="s">
        <v>4799</v>
      </c>
      <c r="K644" s="124" t="s">
        <v>4800</v>
      </c>
      <c r="L644" s="124">
        <v>5.537058866E9</v>
      </c>
      <c r="M644" s="128"/>
      <c r="N644" s="128"/>
      <c r="O644" s="128"/>
      <c r="P644" s="129">
        <v>16.0</v>
      </c>
      <c r="Q644" s="130">
        <v>46040.913518518515</v>
      </c>
      <c r="R644" s="124" t="s">
        <v>107</v>
      </c>
      <c r="S644" s="124" t="s">
        <v>109</v>
      </c>
      <c r="T644" s="124" t="s">
        <v>192</v>
      </c>
      <c r="U644" s="124" t="s">
        <v>485</v>
      </c>
      <c r="V644" s="124" t="s">
        <v>486</v>
      </c>
      <c r="W644" s="124" t="s">
        <v>487</v>
      </c>
      <c r="X644" s="124" t="s">
        <v>120</v>
      </c>
      <c r="Y644" s="128"/>
      <c r="Z644" s="124" t="s">
        <v>120</v>
      </c>
      <c r="AA644" s="128"/>
      <c r="AB644" s="124" t="s">
        <v>120</v>
      </c>
      <c r="AC644" s="124" t="s">
        <v>120</v>
      </c>
      <c r="AD644" s="128"/>
      <c r="AE644" s="124" t="s">
        <v>120</v>
      </c>
      <c r="AF644" s="128"/>
      <c r="AG644" s="124" t="s">
        <v>120</v>
      </c>
      <c r="AH644" s="128"/>
      <c r="AI644" s="124" t="s">
        <v>120</v>
      </c>
      <c r="AJ644" s="128"/>
      <c r="AK644" s="128"/>
      <c r="AL644" s="124" t="s">
        <v>138</v>
      </c>
      <c r="AM644" s="124" t="s">
        <v>185</v>
      </c>
      <c r="AN644" s="124" t="s">
        <v>156</v>
      </c>
      <c r="AO644" s="124" t="s">
        <v>129</v>
      </c>
      <c r="AP644" s="124"/>
    </row>
    <row r="645">
      <c r="A645" s="124" t="s">
        <v>3292</v>
      </c>
      <c r="B645" s="124" t="s">
        <v>3293</v>
      </c>
      <c r="C645" s="124" t="s">
        <v>3294</v>
      </c>
      <c r="D645" s="127">
        <v>39100.0</v>
      </c>
      <c r="E645" s="124" t="s">
        <v>98</v>
      </c>
      <c r="F645" s="124">
        <v>7.443562012E9</v>
      </c>
      <c r="G645" s="124" t="s">
        <v>3295</v>
      </c>
      <c r="H645" s="124" t="s">
        <v>140</v>
      </c>
      <c r="I645" s="128"/>
      <c r="J645" s="124" t="s">
        <v>3296</v>
      </c>
      <c r="K645" s="124" t="s">
        <v>3297</v>
      </c>
      <c r="L645" s="124">
        <v>7.443191387E9</v>
      </c>
      <c r="M645" s="128"/>
      <c r="N645" s="128"/>
      <c r="O645" s="128"/>
      <c r="P645" s="129">
        <v>19.0</v>
      </c>
      <c r="Q645" s="130">
        <v>46033.482777777775</v>
      </c>
      <c r="R645" s="124" t="s">
        <v>546</v>
      </c>
      <c r="S645" s="124" t="s">
        <v>125</v>
      </c>
      <c r="T645" s="124" t="s">
        <v>1200</v>
      </c>
      <c r="U645" s="124" t="s">
        <v>1471</v>
      </c>
      <c r="V645" s="124" t="s">
        <v>1472</v>
      </c>
      <c r="W645" s="124" t="s">
        <v>1473</v>
      </c>
      <c r="X645" s="124" t="s">
        <v>120</v>
      </c>
      <c r="Y645" s="128"/>
      <c r="Z645" s="124" t="s">
        <v>120</v>
      </c>
      <c r="AA645" s="128"/>
      <c r="AB645" s="124" t="s">
        <v>120</v>
      </c>
      <c r="AC645" s="128"/>
      <c r="AD645" s="128"/>
      <c r="AE645" s="124" t="s">
        <v>120</v>
      </c>
      <c r="AF645" s="128"/>
      <c r="AG645" s="124" t="s">
        <v>120</v>
      </c>
      <c r="AH645" s="128"/>
      <c r="AI645" s="124" t="s">
        <v>120</v>
      </c>
      <c r="AJ645" s="128"/>
      <c r="AK645" s="128"/>
      <c r="AL645" s="124" t="s">
        <v>138</v>
      </c>
      <c r="AM645" s="124" t="s">
        <v>242</v>
      </c>
      <c r="AN645" s="124" t="s">
        <v>216</v>
      </c>
      <c r="AO645" s="124" t="s">
        <v>156</v>
      </c>
      <c r="AP645" s="124"/>
    </row>
    <row r="646">
      <c r="A646" s="124" t="s">
        <v>4801</v>
      </c>
      <c r="B646" s="124" t="s">
        <v>4802</v>
      </c>
      <c r="C646" s="124" t="s">
        <v>4803</v>
      </c>
      <c r="D646" s="127">
        <v>41083.0</v>
      </c>
      <c r="E646" s="124" t="s">
        <v>98</v>
      </c>
      <c r="F646" s="124">
        <v>5.54696237E9</v>
      </c>
      <c r="G646" s="124" t="s">
        <v>4804</v>
      </c>
      <c r="H646" s="124" t="s">
        <v>140</v>
      </c>
      <c r="I646" s="124" t="s">
        <v>1325</v>
      </c>
      <c r="J646" s="124" t="s">
        <v>4805</v>
      </c>
      <c r="K646" s="124" t="s">
        <v>4804</v>
      </c>
      <c r="L646" s="124">
        <v>5.518403736E9</v>
      </c>
      <c r="M646" s="128"/>
      <c r="N646" s="128"/>
      <c r="O646" s="128"/>
      <c r="P646" s="129">
        <v>13.0</v>
      </c>
      <c r="Q646" s="130">
        <v>46039.83515046296</v>
      </c>
      <c r="R646" s="124" t="s">
        <v>107</v>
      </c>
      <c r="S646" s="124" t="s">
        <v>109</v>
      </c>
      <c r="T646" s="124" t="s">
        <v>204</v>
      </c>
      <c r="U646" s="124" t="s">
        <v>295</v>
      </c>
      <c r="V646" s="124" t="s">
        <v>298</v>
      </c>
      <c r="W646" s="124" t="s">
        <v>299</v>
      </c>
      <c r="X646" s="124" t="s">
        <v>120</v>
      </c>
      <c r="Y646" s="128"/>
      <c r="Z646" s="124" t="s">
        <v>120</v>
      </c>
      <c r="AA646" s="128"/>
      <c r="AB646" s="124" t="s">
        <v>120</v>
      </c>
      <c r="AC646" s="128"/>
      <c r="AD646" s="128"/>
      <c r="AE646" s="124" t="s">
        <v>120</v>
      </c>
      <c r="AF646" s="128"/>
      <c r="AG646" s="124" t="s">
        <v>120</v>
      </c>
      <c r="AH646" s="128"/>
      <c r="AI646" s="124" t="s">
        <v>120</v>
      </c>
      <c r="AJ646" s="128"/>
      <c r="AK646" s="128"/>
      <c r="AL646" s="124" t="s">
        <v>138</v>
      </c>
      <c r="AM646" s="124" t="s">
        <v>156</v>
      </c>
      <c r="AN646" s="124" t="s">
        <v>216</v>
      </c>
      <c r="AO646" s="124" t="s">
        <v>124</v>
      </c>
      <c r="AP646" s="124"/>
    </row>
    <row r="647">
      <c r="A647" s="124" t="s">
        <v>2274</v>
      </c>
      <c r="B647" s="124" t="s">
        <v>2275</v>
      </c>
      <c r="C647" s="128"/>
      <c r="D647" s="127">
        <v>41188.0</v>
      </c>
      <c r="E647" s="124" t="s">
        <v>98</v>
      </c>
      <c r="F647" s="124">
        <v>5.63375795E9</v>
      </c>
      <c r="G647" s="124" t="s">
        <v>2277</v>
      </c>
      <c r="H647" s="124" t="s">
        <v>140</v>
      </c>
      <c r="I647" s="128"/>
      <c r="J647" s="124" t="s">
        <v>2280</v>
      </c>
      <c r="K647" s="124" t="s">
        <v>2281</v>
      </c>
      <c r="L647" s="124">
        <v>5.535939943E9</v>
      </c>
      <c r="M647" s="128"/>
      <c r="N647" s="128"/>
      <c r="O647" s="128"/>
      <c r="P647" s="129">
        <v>13.0</v>
      </c>
      <c r="Q647" s="130">
        <v>46040.46931712963</v>
      </c>
      <c r="R647" s="124" t="s">
        <v>107</v>
      </c>
      <c r="S647" s="124" t="s">
        <v>109</v>
      </c>
      <c r="T647" s="124" t="s">
        <v>160</v>
      </c>
      <c r="U647" s="124" t="s">
        <v>308</v>
      </c>
      <c r="V647" s="124" t="s">
        <v>309</v>
      </c>
      <c r="W647" s="124" t="s">
        <v>310</v>
      </c>
      <c r="X647" s="124" t="s">
        <v>120</v>
      </c>
      <c r="Y647" s="128"/>
      <c r="Z647" s="124" t="s">
        <v>120</v>
      </c>
      <c r="AA647" s="128"/>
      <c r="AB647" s="124" t="s">
        <v>117</v>
      </c>
      <c r="AC647" s="124" t="s">
        <v>117</v>
      </c>
      <c r="AD647" s="124" t="s">
        <v>2290</v>
      </c>
      <c r="AE647" s="124" t="s">
        <v>120</v>
      </c>
      <c r="AF647" s="128"/>
      <c r="AG647" s="124" t="s">
        <v>120</v>
      </c>
      <c r="AH647" s="128"/>
      <c r="AI647" s="124" t="s">
        <v>117</v>
      </c>
      <c r="AJ647" s="124" t="s">
        <v>2291</v>
      </c>
      <c r="AK647" s="128"/>
      <c r="AL647" s="124" t="s">
        <v>156</v>
      </c>
      <c r="AM647" s="124" t="s">
        <v>240</v>
      </c>
      <c r="AN647" s="124" t="s">
        <v>128</v>
      </c>
      <c r="AO647" s="124" t="s">
        <v>126</v>
      </c>
      <c r="AP647" s="124"/>
    </row>
    <row r="648">
      <c r="A648" s="124" t="s">
        <v>4806</v>
      </c>
      <c r="B648" s="124" t="s">
        <v>4807</v>
      </c>
      <c r="C648" s="124" t="s">
        <v>4808</v>
      </c>
      <c r="D648" s="127">
        <v>39913.0</v>
      </c>
      <c r="E648" s="124" t="s">
        <v>98</v>
      </c>
      <c r="F648" s="124">
        <v>5.549197736E9</v>
      </c>
      <c r="G648" s="124" t="s">
        <v>3239</v>
      </c>
      <c r="H648" s="124" t="s">
        <v>140</v>
      </c>
      <c r="I648" s="128"/>
      <c r="J648" s="124" t="s">
        <v>3240</v>
      </c>
      <c r="K648" s="124" t="s">
        <v>3239</v>
      </c>
      <c r="L648" s="124">
        <v>5.549197736E9</v>
      </c>
      <c r="M648" s="128"/>
      <c r="N648" s="128"/>
      <c r="O648" s="128"/>
      <c r="P648" s="129">
        <v>16.0</v>
      </c>
      <c r="Q648" s="130">
        <v>46040.58520833333</v>
      </c>
      <c r="R648" s="124" t="s">
        <v>107</v>
      </c>
      <c r="S648" s="124" t="s">
        <v>109</v>
      </c>
      <c r="T648" s="124" t="s">
        <v>204</v>
      </c>
      <c r="U648" s="124" t="s">
        <v>367</v>
      </c>
      <c r="V648" s="124" t="s">
        <v>368</v>
      </c>
      <c r="W648" s="124" t="s">
        <v>369</v>
      </c>
      <c r="X648" s="124" t="s">
        <v>120</v>
      </c>
      <c r="Y648" s="128"/>
      <c r="Z648" s="124" t="s">
        <v>120</v>
      </c>
      <c r="AA648" s="128"/>
      <c r="AB648" s="124" t="s">
        <v>120</v>
      </c>
      <c r="AC648" s="128"/>
      <c r="AD648" s="128"/>
      <c r="AE648" s="124" t="s">
        <v>120</v>
      </c>
      <c r="AF648" s="128"/>
      <c r="AG648" s="124" t="s">
        <v>120</v>
      </c>
      <c r="AH648" s="128"/>
      <c r="AI648" s="124" t="s">
        <v>120</v>
      </c>
      <c r="AJ648" s="128"/>
      <c r="AK648" s="128"/>
      <c r="AL648" s="124" t="s">
        <v>129</v>
      </c>
      <c r="AM648" s="124" t="s">
        <v>138</v>
      </c>
      <c r="AN648" s="124" t="s">
        <v>242</v>
      </c>
      <c r="AO648" s="124" t="s">
        <v>124</v>
      </c>
      <c r="AP648" s="124"/>
    </row>
    <row r="649">
      <c r="A649" s="124" t="s">
        <v>4809</v>
      </c>
      <c r="B649" s="124" t="s">
        <v>4163</v>
      </c>
      <c r="C649" s="124" t="s">
        <v>4810</v>
      </c>
      <c r="D649" s="127">
        <v>39486.0</v>
      </c>
      <c r="E649" s="124" t="s">
        <v>98</v>
      </c>
      <c r="F649" s="124">
        <v>5.560682288E9</v>
      </c>
      <c r="G649" s="124" t="s">
        <v>4811</v>
      </c>
      <c r="H649" s="124" t="s">
        <v>150</v>
      </c>
      <c r="I649" s="128"/>
      <c r="J649" s="124">
        <v>5.635391645E9</v>
      </c>
      <c r="K649" s="124" t="s">
        <v>4811</v>
      </c>
      <c r="L649" s="124">
        <v>5.626406921E9</v>
      </c>
      <c r="M649" s="128"/>
      <c r="N649" s="128"/>
      <c r="O649" s="128"/>
      <c r="P649" s="129">
        <v>18.0</v>
      </c>
      <c r="Q649" s="130">
        <v>46037.82710648148</v>
      </c>
      <c r="R649" s="124" t="s">
        <v>107</v>
      </c>
      <c r="S649" s="124" t="s">
        <v>109</v>
      </c>
      <c r="T649" s="124" t="s">
        <v>160</v>
      </c>
      <c r="U649" s="124" t="s">
        <v>161</v>
      </c>
      <c r="V649" s="124" t="s">
        <v>163</v>
      </c>
      <c r="W649" s="124" t="s">
        <v>165</v>
      </c>
      <c r="X649" s="124" t="s">
        <v>120</v>
      </c>
      <c r="Y649" s="128"/>
      <c r="Z649" s="124" t="s">
        <v>120</v>
      </c>
      <c r="AA649" s="128"/>
      <c r="AB649" s="124" t="s">
        <v>120</v>
      </c>
      <c r="AC649" s="128"/>
      <c r="AD649" s="128"/>
      <c r="AE649" s="124" t="s">
        <v>120</v>
      </c>
      <c r="AF649" s="128"/>
      <c r="AG649" s="124" t="s">
        <v>120</v>
      </c>
      <c r="AH649" s="128"/>
      <c r="AI649" s="124" t="s">
        <v>120</v>
      </c>
      <c r="AJ649" s="128"/>
      <c r="AK649" s="128"/>
      <c r="AL649" s="124" t="s">
        <v>141</v>
      </c>
      <c r="AM649" s="124" t="s">
        <v>185</v>
      </c>
      <c r="AN649" s="124" t="s">
        <v>242</v>
      </c>
      <c r="AO649" s="124" t="s">
        <v>156</v>
      </c>
      <c r="AP649" s="124"/>
    </row>
    <row r="650">
      <c r="A650" s="124" t="s">
        <v>2295</v>
      </c>
      <c r="B650" s="124" t="s">
        <v>2296</v>
      </c>
      <c r="C650" s="124" t="s">
        <v>2297</v>
      </c>
      <c r="D650" s="127">
        <v>40282.0</v>
      </c>
      <c r="E650" s="124" t="s">
        <v>177</v>
      </c>
      <c r="F650" s="124" t="s">
        <v>2299</v>
      </c>
      <c r="G650" s="124" t="s">
        <v>2302</v>
      </c>
      <c r="H650" s="124" t="s">
        <v>101</v>
      </c>
      <c r="I650" s="124" t="s">
        <v>2306</v>
      </c>
      <c r="J650" s="124" t="s">
        <v>2307</v>
      </c>
      <c r="K650" s="124" t="s">
        <v>2302</v>
      </c>
      <c r="L650" s="124" t="s">
        <v>2299</v>
      </c>
      <c r="M650" s="128"/>
      <c r="N650" s="128"/>
      <c r="O650" s="128"/>
      <c r="P650" s="129">
        <v>15.0</v>
      </c>
      <c r="Q650" s="130">
        <v>46040.94644675926</v>
      </c>
      <c r="R650" s="124" t="s">
        <v>107</v>
      </c>
      <c r="S650" s="124" t="s">
        <v>109</v>
      </c>
      <c r="T650" s="124" t="s">
        <v>127</v>
      </c>
      <c r="U650" s="124" t="s">
        <v>672</v>
      </c>
      <c r="V650" s="124" t="s">
        <v>673</v>
      </c>
      <c r="W650" s="124" t="s">
        <v>674</v>
      </c>
      <c r="X650" s="124" t="s">
        <v>120</v>
      </c>
      <c r="Y650" s="128"/>
      <c r="Z650" s="124" t="s">
        <v>117</v>
      </c>
      <c r="AA650" s="124" t="s">
        <v>2313</v>
      </c>
      <c r="AB650" s="124" t="s">
        <v>120</v>
      </c>
      <c r="AC650" s="124" t="s">
        <v>120</v>
      </c>
      <c r="AD650" s="128"/>
      <c r="AE650" s="124" t="s">
        <v>120</v>
      </c>
      <c r="AF650" s="128"/>
      <c r="AG650" s="124" t="s">
        <v>120</v>
      </c>
      <c r="AH650" s="128"/>
      <c r="AI650" s="124" t="s">
        <v>117</v>
      </c>
      <c r="AJ650" s="124" t="s">
        <v>2317</v>
      </c>
      <c r="AK650" s="128"/>
      <c r="AL650" s="124" t="s">
        <v>185</v>
      </c>
      <c r="AM650" s="124" t="s">
        <v>156</v>
      </c>
      <c r="AN650" s="124" t="s">
        <v>242</v>
      </c>
      <c r="AO650" s="124" t="s">
        <v>128</v>
      </c>
      <c r="AP650" s="124"/>
    </row>
    <row r="651">
      <c r="A651" s="124" t="s">
        <v>645</v>
      </c>
      <c r="B651" s="124" t="s">
        <v>646</v>
      </c>
      <c r="C651" s="124" t="s">
        <v>647</v>
      </c>
      <c r="D651" s="127">
        <v>39466.0</v>
      </c>
      <c r="E651" s="124" t="s">
        <v>98</v>
      </c>
      <c r="F651" s="124">
        <v>5.554733882E9</v>
      </c>
      <c r="G651" s="124" t="s">
        <v>648</v>
      </c>
      <c r="H651" s="124" t="s">
        <v>101</v>
      </c>
      <c r="I651" s="124" t="s">
        <v>649</v>
      </c>
      <c r="J651" s="124" t="s">
        <v>650</v>
      </c>
      <c r="K651" s="124" t="s">
        <v>652</v>
      </c>
      <c r="L651" s="124">
        <v>5.540155903E9</v>
      </c>
      <c r="M651" s="128"/>
      <c r="N651" s="128"/>
      <c r="O651" s="128"/>
      <c r="P651" s="129">
        <v>18.0</v>
      </c>
      <c r="Q651" s="130">
        <v>46037.78428240741</v>
      </c>
      <c r="R651" s="124" t="s">
        <v>107</v>
      </c>
      <c r="S651" s="124" t="s">
        <v>109</v>
      </c>
      <c r="T651" s="124" t="s">
        <v>111</v>
      </c>
      <c r="U651" s="124" t="s">
        <v>657</v>
      </c>
      <c r="V651" s="124" t="s">
        <v>659</v>
      </c>
      <c r="W651" s="124" t="s">
        <v>662</v>
      </c>
      <c r="X651" s="124" t="s">
        <v>117</v>
      </c>
      <c r="Y651" s="124" t="s">
        <v>664</v>
      </c>
      <c r="Z651" s="124" t="s">
        <v>117</v>
      </c>
      <c r="AA651" s="124" t="s">
        <v>666</v>
      </c>
      <c r="AB651" s="124" t="s">
        <v>120</v>
      </c>
      <c r="AC651" s="128"/>
      <c r="AD651" s="124" t="s">
        <v>667</v>
      </c>
      <c r="AE651" s="124" t="s">
        <v>120</v>
      </c>
      <c r="AF651" s="124" t="s">
        <v>667</v>
      </c>
      <c r="AG651" s="124" t="s">
        <v>120</v>
      </c>
      <c r="AH651" s="124" t="s">
        <v>667</v>
      </c>
      <c r="AI651" s="124" t="s">
        <v>120</v>
      </c>
      <c r="AJ651" s="124" t="s">
        <v>667</v>
      </c>
      <c r="AK651" s="124" t="s">
        <v>667</v>
      </c>
      <c r="AL651" s="124" t="s">
        <v>185</v>
      </c>
      <c r="AM651" s="124" t="s">
        <v>156</v>
      </c>
      <c r="AN651" s="124" t="s">
        <v>141</v>
      </c>
      <c r="AO651" s="124" t="s">
        <v>124</v>
      </c>
      <c r="AP651" s="124"/>
    </row>
    <row r="652">
      <c r="A652" s="124" t="s">
        <v>4812</v>
      </c>
      <c r="B652" s="124" t="s">
        <v>4813</v>
      </c>
      <c r="C652" s="124" t="s">
        <v>4814</v>
      </c>
      <c r="D652" s="127">
        <v>40108.0</v>
      </c>
      <c r="E652" s="124" t="s">
        <v>177</v>
      </c>
      <c r="F652" s="124">
        <v>5.540833485E9</v>
      </c>
      <c r="G652" s="124" t="s">
        <v>4815</v>
      </c>
      <c r="H652" s="124" t="s">
        <v>101</v>
      </c>
      <c r="I652" s="128"/>
      <c r="J652" s="124" t="s">
        <v>4816</v>
      </c>
      <c r="K652" s="124" t="s">
        <v>4817</v>
      </c>
      <c r="L652" s="128" t="str">
        <f>+52 55 8581 8420</f>
        <v>#ERROR!</v>
      </c>
      <c r="M652" s="124" t="s">
        <v>4818</v>
      </c>
      <c r="N652" s="124" t="s">
        <v>4819</v>
      </c>
      <c r="O652" s="128" t="str">
        <f>+52 55 1297 9783</f>
        <v>#ERROR!</v>
      </c>
      <c r="P652" s="129">
        <v>16.0</v>
      </c>
      <c r="Q652" s="130">
        <v>46021.816782407404</v>
      </c>
      <c r="R652" s="124" t="s">
        <v>107</v>
      </c>
      <c r="S652" s="124" t="s">
        <v>109</v>
      </c>
      <c r="T652" s="124" t="s">
        <v>192</v>
      </c>
      <c r="U652" s="124" t="s">
        <v>505</v>
      </c>
      <c r="V652" s="124" t="s">
        <v>506</v>
      </c>
      <c r="W652" s="124" t="s">
        <v>507</v>
      </c>
      <c r="X652" s="124" t="s">
        <v>120</v>
      </c>
      <c r="Y652" s="128"/>
      <c r="Z652" s="124" t="s">
        <v>120</v>
      </c>
      <c r="AA652" s="128"/>
      <c r="AB652" s="124" t="s">
        <v>120</v>
      </c>
      <c r="AC652" s="128"/>
      <c r="AD652" s="128"/>
      <c r="AE652" s="124" t="s">
        <v>120</v>
      </c>
      <c r="AF652" s="128"/>
      <c r="AG652" s="124" t="s">
        <v>120</v>
      </c>
      <c r="AH652" s="128"/>
      <c r="AI652" s="124" t="s">
        <v>120</v>
      </c>
      <c r="AJ652" s="128"/>
      <c r="AK652" s="128"/>
      <c r="AL652" s="124" t="s">
        <v>185</v>
      </c>
      <c r="AM652" s="124" t="s">
        <v>156</v>
      </c>
      <c r="AN652" s="124" t="s">
        <v>138</v>
      </c>
      <c r="AO652" s="124" t="s">
        <v>216</v>
      </c>
      <c r="AP652" s="124"/>
    </row>
    <row r="653">
      <c r="A653" s="124" t="s">
        <v>4820</v>
      </c>
      <c r="B653" s="124" t="s">
        <v>4821</v>
      </c>
      <c r="C653" s="124" t="s">
        <v>4822</v>
      </c>
      <c r="D653" s="127">
        <v>41225.0</v>
      </c>
      <c r="E653" s="124" t="s">
        <v>177</v>
      </c>
      <c r="F653" s="124">
        <v>5.63463835E9</v>
      </c>
      <c r="G653" s="124" t="s">
        <v>4823</v>
      </c>
      <c r="H653" s="124" t="s">
        <v>101</v>
      </c>
      <c r="I653" s="124" t="s">
        <v>4824</v>
      </c>
      <c r="J653" s="124" t="s">
        <v>4825</v>
      </c>
      <c r="K653" s="124" t="s">
        <v>4826</v>
      </c>
      <c r="L653" s="124">
        <v>5.573514899E9</v>
      </c>
      <c r="M653" s="128"/>
      <c r="N653" s="128"/>
      <c r="O653" s="128"/>
      <c r="P653" s="129">
        <v>13.0</v>
      </c>
      <c r="Q653" s="130">
        <v>46033.50462962963</v>
      </c>
      <c r="R653" s="124" t="s">
        <v>107</v>
      </c>
      <c r="S653" s="124" t="s">
        <v>109</v>
      </c>
      <c r="T653" s="124" t="s">
        <v>127</v>
      </c>
      <c r="U653" s="124" t="s">
        <v>766</v>
      </c>
      <c r="V653" s="124" t="s">
        <v>767</v>
      </c>
      <c r="W653" s="124" t="s">
        <v>768</v>
      </c>
      <c r="X653" s="124" t="s">
        <v>120</v>
      </c>
      <c r="Y653" s="128"/>
      <c r="Z653" s="124" t="s">
        <v>120</v>
      </c>
      <c r="AA653" s="128"/>
      <c r="AB653" s="124" t="s">
        <v>120</v>
      </c>
      <c r="AC653" s="128"/>
      <c r="AD653" s="128"/>
      <c r="AE653" s="124" t="s">
        <v>120</v>
      </c>
      <c r="AF653" s="128"/>
      <c r="AG653" s="124" t="s">
        <v>120</v>
      </c>
      <c r="AH653" s="128"/>
      <c r="AI653" s="124" t="s">
        <v>120</v>
      </c>
      <c r="AJ653" s="128"/>
      <c r="AK653" s="128"/>
      <c r="AL653" s="124" t="s">
        <v>185</v>
      </c>
      <c r="AM653" s="124" t="s">
        <v>126</v>
      </c>
      <c r="AN653" s="124" t="s">
        <v>156</v>
      </c>
      <c r="AO653" s="124" t="s">
        <v>124</v>
      </c>
      <c r="AP653" s="124"/>
    </row>
    <row r="654">
      <c r="A654" s="124" t="s">
        <v>438</v>
      </c>
      <c r="B654" s="124" t="s">
        <v>441</v>
      </c>
      <c r="C654" s="124" t="s">
        <v>442</v>
      </c>
      <c r="D654" s="127">
        <v>39799.0</v>
      </c>
      <c r="E654" s="124" t="s">
        <v>177</v>
      </c>
      <c r="F654" s="124">
        <v>5.636625277E9</v>
      </c>
      <c r="G654" s="124" t="s">
        <v>443</v>
      </c>
      <c r="H654" s="124" t="s">
        <v>382</v>
      </c>
      <c r="I654" s="124" t="s">
        <v>447</v>
      </c>
      <c r="J654" s="124" t="s">
        <v>448</v>
      </c>
      <c r="K654" s="124" t="s">
        <v>449</v>
      </c>
      <c r="L654" s="124">
        <v>5.571338792E9</v>
      </c>
      <c r="M654" s="128"/>
      <c r="N654" s="128"/>
      <c r="O654" s="128"/>
      <c r="P654" s="129">
        <v>17.0</v>
      </c>
      <c r="Q654" s="130">
        <v>46023.49899305555</v>
      </c>
      <c r="R654" s="124" t="s">
        <v>107</v>
      </c>
      <c r="S654" s="124" t="s">
        <v>109</v>
      </c>
      <c r="T654" s="124" t="s">
        <v>111</v>
      </c>
      <c r="U654" s="124" t="s">
        <v>398</v>
      </c>
      <c r="V654" s="124" t="s">
        <v>399</v>
      </c>
      <c r="W654" s="124" t="s">
        <v>400</v>
      </c>
      <c r="X654" s="124" t="s">
        <v>117</v>
      </c>
      <c r="Y654" s="124" t="s">
        <v>458</v>
      </c>
      <c r="Z654" s="124" t="s">
        <v>117</v>
      </c>
      <c r="AA654" s="124" t="s">
        <v>459</v>
      </c>
      <c r="AB654" s="124" t="s">
        <v>120</v>
      </c>
      <c r="AC654" s="124" t="s">
        <v>117</v>
      </c>
      <c r="AD654" s="124" t="s">
        <v>135</v>
      </c>
      <c r="AE654" s="124" t="s">
        <v>120</v>
      </c>
      <c r="AF654" s="124" t="s">
        <v>135</v>
      </c>
      <c r="AG654" s="124" t="s">
        <v>120</v>
      </c>
      <c r="AH654" s="124" t="s">
        <v>135</v>
      </c>
      <c r="AI654" s="124" t="s">
        <v>120</v>
      </c>
      <c r="AJ654" s="124" t="s">
        <v>135</v>
      </c>
      <c r="AK654" s="124" t="s">
        <v>135</v>
      </c>
      <c r="AL654" s="124" t="s">
        <v>185</v>
      </c>
      <c r="AM654" s="124" t="s">
        <v>242</v>
      </c>
      <c r="AN654" s="124" t="s">
        <v>156</v>
      </c>
      <c r="AO654" s="124" t="s">
        <v>126</v>
      </c>
      <c r="AP654" s="124"/>
    </row>
    <row r="655">
      <c r="A655" s="124" t="s">
        <v>4827</v>
      </c>
      <c r="B655" s="124" t="s">
        <v>4828</v>
      </c>
      <c r="C655" s="124" t="s">
        <v>4829</v>
      </c>
      <c r="D655" s="127">
        <v>39099.0</v>
      </c>
      <c r="E655" s="124" t="s">
        <v>177</v>
      </c>
      <c r="F655" s="124">
        <v>7.472550042E9</v>
      </c>
      <c r="G655" s="124" t="s">
        <v>4830</v>
      </c>
      <c r="H655" s="124" t="s">
        <v>140</v>
      </c>
      <c r="I655" s="128"/>
      <c r="J655" s="124" t="s">
        <v>4831</v>
      </c>
      <c r="K655" s="124" t="s">
        <v>4832</v>
      </c>
      <c r="L655" s="124">
        <v>7.471866434E9</v>
      </c>
      <c r="M655" s="128"/>
      <c r="N655" s="128"/>
      <c r="O655" s="128"/>
      <c r="P655" s="129">
        <v>19.0</v>
      </c>
      <c r="Q655" s="130">
        <v>46040.73546296296</v>
      </c>
      <c r="R655" s="124" t="s">
        <v>107</v>
      </c>
      <c r="S655" s="124" t="s">
        <v>125</v>
      </c>
      <c r="T655" s="124" t="s">
        <v>208</v>
      </c>
      <c r="U655" s="124" t="s">
        <v>428</v>
      </c>
      <c r="V655" s="124" t="s">
        <v>429</v>
      </c>
      <c r="W655" s="124" t="s">
        <v>430</v>
      </c>
      <c r="X655" s="124" t="s">
        <v>120</v>
      </c>
      <c r="Y655" s="128"/>
      <c r="Z655" s="124" t="s">
        <v>120</v>
      </c>
      <c r="AA655" s="128"/>
      <c r="AB655" s="124" t="s">
        <v>120</v>
      </c>
      <c r="AC655" s="128"/>
      <c r="AD655" s="128"/>
      <c r="AE655" s="124" t="s">
        <v>120</v>
      </c>
      <c r="AF655" s="128"/>
      <c r="AG655" s="124" t="s">
        <v>120</v>
      </c>
      <c r="AH655" s="128"/>
      <c r="AI655" s="124" t="s">
        <v>120</v>
      </c>
      <c r="AJ655" s="128"/>
      <c r="AK655" s="128"/>
      <c r="AL655" s="124" t="s">
        <v>141</v>
      </c>
      <c r="AM655" s="124" t="s">
        <v>242</v>
      </c>
      <c r="AN655" s="124" t="s">
        <v>156</v>
      </c>
      <c r="AO655" s="124" t="s">
        <v>185</v>
      </c>
      <c r="AP655" s="124"/>
    </row>
    <row r="656">
      <c r="A656" s="124" t="s">
        <v>4695</v>
      </c>
      <c r="B656" s="124" t="s">
        <v>3686</v>
      </c>
      <c r="C656" s="124" t="s">
        <v>4833</v>
      </c>
      <c r="D656" s="127">
        <v>40063.0</v>
      </c>
      <c r="E656" s="124" t="s">
        <v>177</v>
      </c>
      <c r="F656" s="124">
        <v>5.561575047E9</v>
      </c>
      <c r="G656" s="124" t="s">
        <v>4834</v>
      </c>
      <c r="H656" s="124" t="s">
        <v>101</v>
      </c>
      <c r="I656" s="124" t="s">
        <v>2343</v>
      </c>
      <c r="J656" s="124" t="s">
        <v>3689</v>
      </c>
      <c r="K656" s="124" t="s">
        <v>3690</v>
      </c>
      <c r="L656" s="124">
        <v>5.518134754E9</v>
      </c>
      <c r="M656" s="124" t="s">
        <v>3691</v>
      </c>
      <c r="N656" s="124" t="s">
        <v>3692</v>
      </c>
      <c r="O656" s="124">
        <v>5.518290991E9</v>
      </c>
      <c r="P656" s="129">
        <v>16.0</v>
      </c>
      <c r="Q656" s="130">
        <v>46033.58550925926</v>
      </c>
      <c r="R656" s="124" t="s">
        <v>107</v>
      </c>
      <c r="S656" s="124" t="s">
        <v>109</v>
      </c>
      <c r="T656" s="124" t="s">
        <v>171</v>
      </c>
      <c r="U656" s="124" t="s">
        <v>444</v>
      </c>
      <c r="V656" s="124" t="s">
        <v>445</v>
      </c>
      <c r="W656" s="124" t="s">
        <v>446</v>
      </c>
      <c r="X656" s="124" t="s">
        <v>120</v>
      </c>
      <c r="Y656" s="128"/>
      <c r="Z656" s="124" t="s">
        <v>120</v>
      </c>
      <c r="AA656" s="128"/>
      <c r="AB656" s="124" t="s">
        <v>120</v>
      </c>
      <c r="AC656" s="124" t="s">
        <v>120</v>
      </c>
      <c r="AD656" s="128"/>
      <c r="AE656" s="124" t="s">
        <v>120</v>
      </c>
      <c r="AF656" s="128"/>
      <c r="AG656" s="124" t="s">
        <v>120</v>
      </c>
      <c r="AH656" s="128"/>
      <c r="AI656" s="124" t="s">
        <v>120</v>
      </c>
      <c r="AJ656" s="128"/>
      <c r="AK656" s="128"/>
      <c r="AL656" s="124" t="s">
        <v>242</v>
      </c>
      <c r="AM656" s="124" t="s">
        <v>240</v>
      </c>
      <c r="AN656" s="124" t="s">
        <v>216</v>
      </c>
      <c r="AO656" s="124" t="s">
        <v>124</v>
      </c>
      <c r="AP656" s="124"/>
    </row>
    <row r="657">
      <c r="A657" s="124" t="s">
        <v>4835</v>
      </c>
      <c r="B657" s="124" t="s">
        <v>4836</v>
      </c>
      <c r="C657" s="124" t="s">
        <v>4837</v>
      </c>
      <c r="D657" s="127">
        <v>40286.0</v>
      </c>
      <c r="E657" s="124" t="s">
        <v>177</v>
      </c>
      <c r="F657" s="124">
        <v>5.664038018E9</v>
      </c>
      <c r="G657" s="124" t="s">
        <v>4838</v>
      </c>
      <c r="H657" s="124" t="s">
        <v>140</v>
      </c>
      <c r="I657" s="128"/>
      <c r="J657" s="124" t="s">
        <v>4839</v>
      </c>
      <c r="K657" s="124" t="s">
        <v>4840</v>
      </c>
      <c r="L657" s="124">
        <v>5.631212286E9</v>
      </c>
      <c r="M657" s="128"/>
      <c r="N657" s="128"/>
      <c r="O657" s="128"/>
      <c r="P657" s="129">
        <v>15.0</v>
      </c>
      <c r="Q657" s="130">
        <v>46041.346134259256</v>
      </c>
      <c r="R657" s="124" t="s">
        <v>107</v>
      </c>
      <c r="S657" s="124" t="s">
        <v>109</v>
      </c>
      <c r="T657" s="124" t="s">
        <v>111</v>
      </c>
      <c r="U657" s="124" t="s">
        <v>2283</v>
      </c>
      <c r="V657" s="124" t="s">
        <v>2285</v>
      </c>
      <c r="W657" s="124" t="s">
        <v>2286</v>
      </c>
      <c r="X657" s="124" t="s">
        <v>120</v>
      </c>
      <c r="Y657" s="128"/>
      <c r="Z657" s="124" t="s">
        <v>120</v>
      </c>
      <c r="AA657" s="128"/>
      <c r="AB657" s="124" t="s">
        <v>120</v>
      </c>
      <c r="AC657" s="128"/>
      <c r="AD657" s="128"/>
      <c r="AE657" s="124" t="s">
        <v>120</v>
      </c>
      <c r="AF657" s="128"/>
      <c r="AG657" s="124" t="s">
        <v>120</v>
      </c>
      <c r="AH657" s="128"/>
      <c r="AI657" s="124" t="s">
        <v>120</v>
      </c>
      <c r="AJ657" s="128"/>
      <c r="AK657" s="128"/>
      <c r="AL657" s="124" t="s">
        <v>240</v>
      </c>
      <c r="AM657" s="124" t="s">
        <v>185</v>
      </c>
      <c r="AN657" s="124" t="s">
        <v>141</v>
      </c>
      <c r="AO657" s="124" t="s">
        <v>156</v>
      </c>
      <c r="AP657" s="124"/>
    </row>
    <row r="658">
      <c r="A658" s="124" t="s">
        <v>4841</v>
      </c>
      <c r="B658" s="124" t="s">
        <v>3127</v>
      </c>
      <c r="C658" s="124" t="s">
        <v>4842</v>
      </c>
      <c r="D658" s="127">
        <v>40464.0</v>
      </c>
      <c r="E658" s="124" t="s">
        <v>98</v>
      </c>
      <c r="F658" s="124" t="s">
        <v>4843</v>
      </c>
      <c r="G658" s="124" t="s">
        <v>4844</v>
      </c>
      <c r="H658" s="124" t="s">
        <v>101</v>
      </c>
      <c r="I658" s="124" t="s">
        <v>4845</v>
      </c>
      <c r="J658" s="124" t="s">
        <v>4846</v>
      </c>
      <c r="K658" s="124" t="s">
        <v>4847</v>
      </c>
      <c r="L658" s="124">
        <v>5.611709577E9</v>
      </c>
      <c r="M658" s="128"/>
      <c r="N658" s="128"/>
      <c r="O658" s="128"/>
      <c r="P658" s="129">
        <v>15.0</v>
      </c>
      <c r="Q658" s="130">
        <v>46035.84725694444</v>
      </c>
      <c r="R658" s="124" t="s">
        <v>107</v>
      </c>
      <c r="S658" s="124" t="s">
        <v>109</v>
      </c>
      <c r="T658" s="124" t="s">
        <v>204</v>
      </c>
      <c r="U658" s="124" t="s">
        <v>357</v>
      </c>
      <c r="V658" s="124" t="s">
        <v>359</v>
      </c>
      <c r="W658" s="124" t="s">
        <v>362</v>
      </c>
      <c r="X658" s="124" t="s">
        <v>120</v>
      </c>
      <c r="Y658" s="128"/>
      <c r="Z658" s="124" t="s">
        <v>120</v>
      </c>
      <c r="AA658" s="128"/>
      <c r="AB658" s="124" t="s">
        <v>120</v>
      </c>
      <c r="AC658" s="128"/>
      <c r="AD658" s="128"/>
      <c r="AE658" s="124" t="s">
        <v>120</v>
      </c>
      <c r="AF658" s="128"/>
      <c r="AG658" s="124" t="s">
        <v>120</v>
      </c>
      <c r="AH658" s="128"/>
      <c r="AI658" s="124" t="s">
        <v>120</v>
      </c>
      <c r="AJ658" s="128"/>
      <c r="AK658" s="124" t="s">
        <v>1969</v>
      </c>
      <c r="AL658" s="124" t="s">
        <v>138</v>
      </c>
      <c r="AM658" s="124" t="s">
        <v>240</v>
      </c>
      <c r="AN658" s="124" t="s">
        <v>185</v>
      </c>
      <c r="AO658" s="124" t="s">
        <v>156</v>
      </c>
      <c r="AP658" s="124"/>
    </row>
    <row r="659">
      <c r="A659" s="124" t="s">
        <v>4848</v>
      </c>
      <c r="B659" s="124" t="s">
        <v>4341</v>
      </c>
      <c r="C659" s="124" t="s">
        <v>4849</v>
      </c>
      <c r="D659" s="127">
        <v>40156.0</v>
      </c>
      <c r="E659" s="124" t="s">
        <v>98</v>
      </c>
      <c r="F659" s="124">
        <v>5.574700465E9</v>
      </c>
      <c r="G659" s="124" t="s">
        <v>4850</v>
      </c>
      <c r="H659" s="124" t="s">
        <v>101</v>
      </c>
      <c r="I659" s="128"/>
      <c r="J659" s="124" t="s">
        <v>4344</v>
      </c>
      <c r="K659" s="124" t="s">
        <v>4345</v>
      </c>
      <c r="L659" s="124">
        <v>5.516551661E9</v>
      </c>
      <c r="M659" s="124" t="s">
        <v>4346</v>
      </c>
      <c r="N659" s="124" t="s">
        <v>4347</v>
      </c>
      <c r="O659" s="124">
        <v>5.521722275E9</v>
      </c>
      <c r="P659" s="129">
        <v>16.0</v>
      </c>
      <c r="Q659" s="130">
        <v>46024.98706018519</v>
      </c>
      <c r="R659" s="124" t="s">
        <v>107</v>
      </c>
      <c r="S659" s="124" t="s">
        <v>109</v>
      </c>
      <c r="T659" s="124" t="s">
        <v>111</v>
      </c>
      <c r="U659" s="124" t="s">
        <v>112</v>
      </c>
      <c r="V659" s="124" t="s">
        <v>114</v>
      </c>
      <c r="W659" s="124" t="s">
        <v>115</v>
      </c>
      <c r="X659" s="124" t="s">
        <v>120</v>
      </c>
      <c r="Y659" s="128"/>
      <c r="Z659" s="124" t="s">
        <v>120</v>
      </c>
      <c r="AA659" s="128"/>
      <c r="AB659" s="124" t="s">
        <v>120</v>
      </c>
      <c r="AC659" s="128"/>
      <c r="AD659" s="128"/>
      <c r="AE659" s="124" t="s">
        <v>120</v>
      </c>
      <c r="AF659" s="128"/>
      <c r="AG659" s="124" t="s">
        <v>120</v>
      </c>
      <c r="AH659" s="128"/>
      <c r="AI659" s="124" t="s">
        <v>120</v>
      </c>
      <c r="AJ659" s="128"/>
      <c r="AK659" s="128"/>
      <c r="AL659" s="124" t="s">
        <v>185</v>
      </c>
      <c r="AM659" s="124" t="s">
        <v>156</v>
      </c>
      <c r="AN659" s="124" t="s">
        <v>216</v>
      </c>
      <c r="AO659" s="124" t="s">
        <v>141</v>
      </c>
      <c r="AP659" s="124"/>
    </row>
    <row r="660">
      <c r="A660" s="124" t="s">
        <v>563</v>
      </c>
      <c r="B660" s="124" t="s">
        <v>489</v>
      </c>
      <c r="C660" s="124" t="s">
        <v>565</v>
      </c>
      <c r="D660" s="127">
        <v>38319.0</v>
      </c>
      <c r="E660" s="124" t="s">
        <v>98</v>
      </c>
      <c r="F660" s="124">
        <v>5.543881403E9</v>
      </c>
      <c r="G660" s="124" t="s">
        <v>569</v>
      </c>
      <c r="H660" s="124" t="s">
        <v>150</v>
      </c>
      <c r="I660" s="124" t="s">
        <v>573</v>
      </c>
      <c r="J660" s="124" t="s">
        <v>574</v>
      </c>
      <c r="K660" s="124" t="s">
        <v>496</v>
      </c>
      <c r="L660" s="124">
        <v>5.520848283E9</v>
      </c>
      <c r="M660" s="128"/>
      <c r="N660" s="128"/>
      <c r="O660" s="128"/>
      <c r="P660" s="129">
        <v>21.0</v>
      </c>
      <c r="Q660" s="130">
        <v>46026.789375</v>
      </c>
      <c r="R660" s="124" t="s">
        <v>107</v>
      </c>
      <c r="S660" s="124" t="s">
        <v>125</v>
      </c>
      <c r="T660" s="124" t="s">
        <v>160</v>
      </c>
      <c r="U660" s="124" t="s">
        <v>161</v>
      </c>
      <c r="V660" s="124" t="s">
        <v>163</v>
      </c>
      <c r="W660" s="124" t="s">
        <v>165</v>
      </c>
      <c r="X660" s="124" t="s">
        <v>120</v>
      </c>
      <c r="Y660" s="128"/>
      <c r="Z660" s="124" t="s">
        <v>117</v>
      </c>
      <c r="AA660" s="124" t="s">
        <v>579</v>
      </c>
      <c r="AB660" s="124" t="s">
        <v>120</v>
      </c>
      <c r="AC660" s="124" t="s">
        <v>120</v>
      </c>
      <c r="AD660" s="128"/>
      <c r="AE660" s="124" t="s">
        <v>120</v>
      </c>
      <c r="AF660" s="128"/>
      <c r="AG660" s="124" t="s">
        <v>120</v>
      </c>
      <c r="AH660" s="128"/>
      <c r="AI660" s="124" t="s">
        <v>120</v>
      </c>
      <c r="AJ660" s="128"/>
      <c r="AK660" s="128"/>
      <c r="AL660" s="124" t="s">
        <v>126</v>
      </c>
      <c r="AM660" s="124" t="s">
        <v>128</v>
      </c>
      <c r="AN660" s="124" t="s">
        <v>124</v>
      </c>
      <c r="AO660" s="124" t="s">
        <v>138</v>
      </c>
      <c r="AP660" s="124"/>
    </row>
    <row r="661">
      <c r="A661" s="124" t="s">
        <v>4851</v>
      </c>
      <c r="B661" s="124" t="s">
        <v>4852</v>
      </c>
      <c r="C661" s="124" t="s">
        <v>4853</v>
      </c>
      <c r="D661" s="127">
        <v>40024.0</v>
      </c>
      <c r="E661" s="124" t="s">
        <v>177</v>
      </c>
      <c r="F661" s="124">
        <v>5.53513727E9</v>
      </c>
      <c r="G661" s="124" t="s">
        <v>4854</v>
      </c>
      <c r="H661" s="124" t="s">
        <v>101</v>
      </c>
      <c r="I661" s="128"/>
      <c r="J661" s="124" t="s">
        <v>4855</v>
      </c>
      <c r="K661" s="124" t="s">
        <v>4856</v>
      </c>
      <c r="L661" s="124">
        <v>5.58812619E9</v>
      </c>
      <c r="M661" s="128"/>
      <c r="N661" s="128"/>
      <c r="O661" s="128"/>
      <c r="P661" s="129">
        <v>16.0</v>
      </c>
      <c r="Q661" s="130">
        <v>46047.56563657407</v>
      </c>
      <c r="R661" s="124" t="s">
        <v>107</v>
      </c>
      <c r="S661" s="124" t="s">
        <v>109</v>
      </c>
      <c r="T661" s="124" t="s">
        <v>160</v>
      </c>
      <c r="U661" s="124" t="s">
        <v>1739</v>
      </c>
      <c r="V661" s="124" t="s">
        <v>1740</v>
      </c>
      <c r="W661" s="124" t="s">
        <v>1741</v>
      </c>
      <c r="X661" s="124" t="s">
        <v>120</v>
      </c>
      <c r="Y661" s="128"/>
      <c r="Z661" s="124" t="s">
        <v>120</v>
      </c>
      <c r="AA661" s="128"/>
      <c r="AB661" s="124" t="s">
        <v>120</v>
      </c>
      <c r="AC661" s="128"/>
      <c r="AD661" s="128"/>
      <c r="AE661" s="124" t="s">
        <v>120</v>
      </c>
      <c r="AF661" s="128"/>
      <c r="AG661" s="124" t="s">
        <v>120</v>
      </c>
      <c r="AH661" s="128"/>
      <c r="AI661" s="124" t="s">
        <v>120</v>
      </c>
      <c r="AJ661" s="128"/>
      <c r="AK661" s="128"/>
      <c r="AL661" s="124" t="s">
        <v>126</v>
      </c>
      <c r="AM661" s="124" t="s">
        <v>156</v>
      </c>
      <c r="AN661" s="124" t="s">
        <v>240</v>
      </c>
      <c r="AO661" s="124" t="s">
        <v>138</v>
      </c>
      <c r="AP661" s="124"/>
    </row>
    <row r="662">
      <c r="A662" s="124" t="s">
        <v>4857</v>
      </c>
      <c r="B662" s="124" t="s">
        <v>4858</v>
      </c>
      <c r="C662" s="124" t="s">
        <v>4859</v>
      </c>
      <c r="D662" s="127">
        <v>39835.0</v>
      </c>
      <c r="E662" s="124" t="s">
        <v>98</v>
      </c>
      <c r="F662" s="124">
        <v>5.531012883E9</v>
      </c>
      <c r="G662" s="124" t="s">
        <v>4860</v>
      </c>
      <c r="H662" s="124" t="s">
        <v>101</v>
      </c>
      <c r="I662" s="128"/>
      <c r="J662" s="124" t="s">
        <v>3140</v>
      </c>
      <c r="K662" s="124" t="s">
        <v>3141</v>
      </c>
      <c r="L662" s="124">
        <v>5.544817532E9</v>
      </c>
      <c r="M662" s="128"/>
      <c r="N662" s="128"/>
      <c r="O662" s="128"/>
      <c r="P662" s="129">
        <v>17.0</v>
      </c>
      <c r="Q662" s="130">
        <v>46024.96076388889</v>
      </c>
      <c r="R662" s="124" t="s">
        <v>107</v>
      </c>
      <c r="S662" s="124" t="s">
        <v>109</v>
      </c>
      <c r="T662" s="124" t="s">
        <v>204</v>
      </c>
      <c r="U662" s="124" t="s">
        <v>295</v>
      </c>
      <c r="V662" s="124" t="s">
        <v>298</v>
      </c>
      <c r="W662" s="124" t="s">
        <v>299</v>
      </c>
      <c r="X662" s="124" t="s">
        <v>120</v>
      </c>
      <c r="Y662" s="128"/>
      <c r="Z662" s="124" t="s">
        <v>120</v>
      </c>
      <c r="AA662" s="128"/>
      <c r="AB662" s="124" t="s">
        <v>120</v>
      </c>
      <c r="AC662" s="128"/>
      <c r="AD662" s="128"/>
      <c r="AE662" s="124" t="s">
        <v>120</v>
      </c>
      <c r="AF662" s="128"/>
      <c r="AG662" s="124" t="s">
        <v>120</v>
      </c>
      <c r="AH662" s="128"/>
      <c r="AI662" s="124" t="s">
        <v>120</v>
      </c>
      <c r="AJ662" s="128"/>
      <c r="AK662" s="128"/>
      <c r="AL662" s="124" t="s">
        <v>141</v>
      </c>
      <c r="AM662" s="124" t="s">
        <v>156</v>
      </c>
      <c r="AN662" s="124" t="s">
        <v>216</v>
      </c>
      <c r="AO662" s="124" t="s">
        <v>124</v>
      </c>
      <c r="AP662" s="124"/>
    </row>
    <row r="663">
      <c r="A663" s="124" t="s">
        <v>3307</v>
      </c>
      <c r="B663" s="124" t="s">
        <v>3043</v>
      </c>
      <c r="C663" s="124" t="s">
        <v>3308</v>
      </c>
      <c r="D663" s="127">
        <v>38254.0</v>
      </c>
      <c r="E663" s="124" t="s">
        <v>98</v>
      </c>
      <c r="F663" s="124">
        <v>5.635404775E9</v>
      </c>
      <c r="G663" s="124" t="s">
        <v>3048</v>
      </c>
      <c r="H663" s="124" t="s">
        <v>150</v>
      </c>
      <c r="I663" s="124" t="s">
        <v>135</v>
      </c>
      <c r="J663" s="124" t="s">
        <v>3309</v>
      </c>
      <c r="K663" s="124" t="s">
        <v>3310</v>
      </c>
      <c r="L663" s="124">
        <v>5.524139574E9</v>
      </c>
      <c r="M663" s="124" t="s">
        <v>3311</v>
      </c>
      <c r="N663" s="124" t="s">
        <v>3312</v>
      </c>
      <c r="O663" s="124">
        <v>5.514488616E9</v>
      </c>
      <c r="P663" s="129">
        <v>21.0</v>
      </c>
      <c r="Q663" s="130">
        <v>46039.62173611111</v>
      </c>
      <c r="R663" s="124" t="s">
        <v>107</v>
      </c>
      <c r="S663" s="124" t="s">
        <v>125</v>
      </c>
      <c r="T663" s="124" t="s">
        <v>127</v>
      </c>
      <c r="U663" s="124" t="s">
        <v>130</v>
      </c>
      <c r="V663" s="124" t="s">
        <v>131</v>
      </c>
      <c r="W663" s="124" t="s">
        <v>132</v>
      </c>
      <c r="X663" s="124" t="s">
        <v>120</v>
      </c>
      <c r="Y663" s="124" t="s">
        <v>135</v>
      </c>
      <c r="Z663" s="124" t="s">
        <v>120</v>
      </c>
      <c r="AA663" s="124" t="s">
        <v>135</v>
      </c>
      <c r="AB663" s="124" t="s">
        <v>120</v>
      </c>
      <c r="AC663" s="124" t="s">
        <v>120</v>
      </c>
      <c r="AD663" s="124" t="s">
        <v>135</v>
      </c>
      <c r="AE663" s="124" t="s">
        <v>120</v>
      </c>
      <c r="AF663" s="124" t="s">
        <v>135</v>
      </c>
      <c r="AG663" s="124" t="s">
        <v>120</v>
      </c>
      <c r="AH663" s="124" t="s">
        <v>135</v>
      </c>
      <c r="AI663" s="124" t="s">
        <v>120</v>
      </c>
      <c r="AJ663" s="124" t="s">
        <v>135</v>
      </c>
      <c r="AK663" s="124" t="s">
        <v>135</v>
      </c>
      <c r="AL663" s="124" t="s">
        <v>129</v>
      </c>
      <c r="AM663" s="124" t="s">
        <v>124</v>
      </c>
      <c r="AN663" s="124" t="s">
        <v>242</v>
      </c>
      <c r="AO663" s="124" t="s">
        <v>216</v>
      </c>
      <c r="AP663" s="124"/>
    </row>
    <row r="664">
      <c r="A664" s="124" t="s">
        <v>4861</v>
      </c>
      <c r="B664" s="124" t="s">
        <v>4862</v>
      </c>
      <c r="C664" s="124" t="s">
        <v>4863</v>
      </c>
      <c r="D664" s="127">
        <v>40999.0</v>
      </c>
      <c r="E664" s="124" t="s">
        <v>177</v>
      </c>
      <c r="F664" s="124">
        <v>5.539944632E9</v>
      </c>
      <c r="G664" s="124" t="s">
        <v>4864</v>
      </c>
      <c r="H664" s="124" t="s">
        <v>101</v>
      </c>
      <c r="I664" s="128"/>
      <c r="J664" s="124" t="s">
        <v>4865</v>
      </c>
      <c r="K664" s="124" t="s">
        <v>4866</v>
      </c>
      <c r="L664" s="124">
        <v>5.5399446332E10</v>
      </c>
      <c r="M664" s="128"/>
      <c r="N664" s="128"/>
      <c r="O664" s="128"/>
      <c r="P664" s="129">
        <v>13.0</v>
      </c>
      <c r="Q664" s="130">
        <v>46035.72516203704</v>
      </c>
      <c r="R664" s="124" t="s">
        <v>107</v>
      </c>
      <c r="S664" s="124" t="s">
        <v>109</v>
      </c>
      <c r="T664" s="124" t="s">
        <v>204</v>
      </c>
      <c r="U664" s="124" t="s">
        <v>357</v>
      </c>
      <c r="V664" s="124" t="s">
        <v>359</v>
      </c>
      <c r="W664" s="124" t="s">
        <v>362</v>
      </c>
      <c r="X664" s="124" t="s">
        <v>120</v>
      </c>
      <c r="Y664" s="128"/>
      <c r="Z664" s="124" t="s">
        <v>120</v>
      </c>
      <c r="AA664" s="128"/>
      <c r="AB664" s="124" t="s">
        <v>120</v>
      </c>
      <c r="AC664" s="124" t="s">
        <v>120</v>
      </c>
      <c r="AD664" s="128"/>
      <c r="AE664" s="124" t="s">
        <v>120</v>
      </c>
      <c r="AF664" s="128"/>
      <c r="AG664" s="124" t="s">
        <v>120</v>
      </c>
      <c r="AH664" s="128"/>
      <c r="AI664" s="124" t="s">
        <v>120</v>
      </c>
      <c r="AJ664" s="128"/>
      <c r="AK664" s="128"/>
      <c r="AL664" s="124" t="s">
        <v>141</v>
      </c>
      <c r="AM664" s="124" t="s">
        <v>129</v>
      </c>
      <c r="AN664" s="124" t="s">
        <v>240</v>
      </c>
      <c r="AO664" s="124" t="s">
        <v>156</v>
      </c>
      <c r="AP664" s="124"/>
    </row>
    <row r="665">
      <c r="A665" s="124" t="s">
        <v>760</v>
      </c>
      <c r="B665" s="124" t="s">
        <v>762</v>
      </c>
      <c r="C665" s="124" t="s">
        <v>763</v>
      </c>
      <c r="D665" s="127">
        <v>40719.0</v>
      </c>
      <c r="E665" s="124" t="s">
        <v>98</v>
      </c>
      <c r="F665" s="124">
        <v>5.534749703E9</v>
      </c>
      <c r="G665" s="124" t="s">
        <v>764</v>
      </c>
      <c r="H665" s="124" t="s">
        <v>140</v>
      </c>
      <c r="I665" s="128"/>
      <c r="J665" s="124" t="s">
        <v>765</v>
      </c>
      <c r="K665" s="124" t="s">
        <v>764</v>
      </c>
      <c r="L665" s="124">
        <v>5.581061672E9</v>
      </c>
      <c r="M665" s="128"/>
      <c r="N665" s="128"/>
      <c r="O665" s="128"/>
      <c r="P665" s="129">
        <v>14.0</v>
      </c>
      <c r="Q665" s="130">
        <v>46040.77322916667</v>
      </c>
      <c r="R665" s="124" t="s">
        <v>107</v>
      </c>
      <c r="S665" s="124" t="s">
        <v>109</v>
      </c>
      <c r="T665" s="124" t="s">
        <v>111</v>
      </c>
      <c r="U665" s="124" t="s">
        <v>407</v>
      </c>
      <c r="V665" s="124" t="s">
        <v>408</v>
      </c>
      <c r="W665" s="124" t="s">
        <v>409</v>
      </c>
      <c r="X665" s="124" t="s">
        <v>117</v>
      </c>
      <c r="Y665" s="128"/>
      <c r="Z665" s="124" t="s">
        <v>117</v>
      </c>
      <c r="AA665" s="128"/>
      <c r="AB665" s="124" t="s">
        <v>117</v>
      </c>
      <c r="AC665" s="124" t="s">
        <v>117</v>
      </c>
      <c r="AD665" s="128"/>
      <c r="AE665" s="124" t="s">
        <v>117</v>
      </c>
      <c r="AF665" s="128"/>
      <c r="AG665" s="124" t="s">
        <v>117</v>
      </c>
      <c r="AH665" s="128"/>
      <c r="AI665" s="124" t="s">
        <v>117</v>
      </c>
      <c r="AJ665" s="128"/>
      <c r="AK665" s="128"/>
      <c r="AL665" s="124" t="s">
        <v>128</v>
      </c>
      <c r="AM665" s="124" t="s">
        <v>156</v>
      </c>
      <c r="AN665" s="124" t="s">
        <v>138</v>
      </c>
      <c r="AO665" s="124" t="s">
        <v>242</v>
      </c>
      <c r="AP665" s="124"/>
    </row>
    <row r="666">
      <c r="A666" s="124" t="s">
        <v>4867</v>
      </c>
      <c r="B666" s="124" t="s">
        <v>4868</v>
      </c>
      <c r="C666" s="124" t="s">
        <v>4869</v>
      </c>
      <c r="D666" s="127">
        <v>41199.0</v>
      </c>
      <c r="E666" s="124" t="s">
        <v>177</v>
      </c>
      <c r="F666" s="124" t="s">
        <v>4870</v>
      </c>
      <c r="G666" s="124" t="s">
        <v>4871</v>
      </c>
      <c r="H666" s="124" t="s">
        <v>101</v>
      </c>
      <c r="I666" s="128"/>
      <c r="J666" s="124" t="s">
        <v>4872</v>
      </c>
      <c r="K666" s="124" t="s">
        <v>4873</v>
      </c>
      <c r="L666" s="124">
        <v>5.517761294E9</v>
      </c>
      <c r="M666" s="128"/>
      <c r="N666" s="128"/>
      <c r="O666" s="128"/>
      <c r="P666" s="129">
        <v>13.0</v>
      </c>
      <c r="Q666" s="130">
        <v>46033.57958333333</v>
      </c>
      <c r="R666" s="124" t="s">
        <v>107</v>
      </c>
      <c r="S666" s="124" t="s">
        <v>109</v>
      </c>
      <c r="T666" s="124" t="s">
        <v>208</v>
      </c>
      <c r="U666" s="124" t="s">
        <v>1599</v>
      </c>
      <c r="V666" s="124" t="s">
        <v>1600</v>
      </c>
      <c r="W666" s="124" t="s">
        <v>1602</v>
      </c>
      <c r="X666" s="124" t="s">
        <v>120</v>
      </c>
      <c r="Y666" s="128"/>
      <c r="Z666" s="124" t="s">
        <v>120</v>
      </c>
      <c r="AA666" s="128"/>
      <c r="AB666" s="124" t="s">
        <v>120</v>
      </c>
      <c r="AC666" s="124" t="s">
        <v>120</v>
      </c>
      <c r="AD666" s="128"/>
      <c r="AE666" s="124" t="s">
        <v>120</v>
      </c>
      <c r="AF666" s="128"/>
      <c r="AG666" s="124" t="s">
        <v>120</v>
      </c>
      <c r="AH666" s="128"/>
      <c r="AI666" s="124" t="s">
        <v>120</v>
      </c>
      <c r="AJ666" s="128"/>
      <c r="AK666" s="128"/>
      <c r="AL666" s="124" t="s">
        <v>185</v>
      </c>
      <c r="AM666" s="124" t="s">
        <v>242</v>
      </c>
      <c r="AN666" s="124" t="s">
        <v>216</v>
      </c>
      <c r="AO666" s="124" t="s">
        <v>138</v>
      </c>
      <c r="AP666" s="124"/>
    </row>
    <row r="667">
      <c r="A667" s="124" t="s">
        <v>4874</v>
      </c>
      <c r="B667" s="124" t="s">
        <v>4875</v>
      </c>
      <c r="C667" s="124" t="s">
        <v>4876</v>
      </c>
      <c r="D667" s="127">
        <v>39805.0</v>
      </c>
      <c r="E667" s="124" t="s">
        <v>177</v>
      </c>
      <c r="F667" s="124">
        <v>5.577555101E9</v>
      </c>
      <c r="G667" s="124" t="s">
        <v>4877</v>
      </c>
      <c r="H667" s="124" t="s">
        <v>101</v>
      </c>
      <c r="I667" s="124" t="s">
        <v>1325</v>
      </c>
      <c r="J667" s="124" t="s">
        <v>4878</v>
      </c>
      <c r="K667" s="124" t="s">
        <v>4879</v>
      </c>
      <c r="L667" s="124">
        <v>9.983381798E9</v>
      </c>
      <c r="M667" s="128"/>
      <c r="N667" s="128"/>
      <c r="O667" s="128"/>
      <c r="P667" s="129">
        <v>17.0</v>
      </c>
      <c r="Q667" s="130">
        <v>46040.782685185186</v>
      </c>
      <c r="R667" s="124" t="s">
        <v>107</v>
      </c>
      <c r="S667" s="124" t="s">
        <v>109</v>
      </c>
      <c r="T667" s="124" t="s">
        <v>111</v>
      </c>
      <c r="U667" s="124" t="s">
        <v>398</v>
      </c>
      <c r="V667" s="124" t="s">
        <v>399</v>
      </c>
      <c r="W667" s="124" t="s">
        <v>400</v>
      </c>
      <c r="X667" s="124" t="s">
        <v>120</v>
      </c>
      <c r="Y667" s="128"/>
      <c r="Z667" s="124" t="s">
        <v>120</v>
      </c>
      <c r="AA667" s="128"/>
      <c r="AB667" s="124" t="s">
        <v>120</v>
      </c>
      <c r="AC667" s="128"/>
      <c r="AD667" s="128"/>
      <c r="AE667" s="124" t="s">
        <v>120</v>
      </c>
      <c r="AF667" s="128"/>
      <c r="AG667" s="124" t="s">
        <v>120</v>
      </c>
      <c r="AH667" s="128"/>
      <c r="AI667" s="124" t="s">
        <v>120</v>
      </c>
      <c r="AJ667" s="128"/>
      <c r="AK667" s="128"/>
      <c r="AL667" s="124" t="s">
        <v>240</v>
      </c>
      <c r="AM667" s="124" t="s">
        <v>242</v>
      </c>
      <c r="AN667" s="124" t="s">
        <v>242</v>
      </c>
      <c r="AO667" s="124" t="s">
        <v>185</v>
      </c>
      <c r="AP667" s="124"/>
    </row>
    <row r="668">
      <c r="A668" s="124" t="s">
        <v>4880</v>
      </c>
      <c r="B668" s="124" t="s">
        <v>3453</v>
      </c>
      <c r="C668" s="124" t="s">
        <v>4881</v>
      </c>
      <c r="D668" s="127">
        <v>39496.0</v>
      </c>
      <c r="E668" s="124" t="s">
        <v>98</v>
      </c>
      <c r="F668" s="124">
        <v>5.547007192E9</v>
      </c>
      <c r="G668" s="124" t="s">
        <v>4882</v>
      </c>
      <c r="H668" s="124" t="s">
        <v>101</v>
      </c>
      <c r="I668" s="128"/>
      <c r="J668" s="124" t="s">
        <v>3455</v>
      </c>
      <c r="K668" s="124" t="s">
        <v>3456</v>
      </c>
      <c r="L668" s="124">
        <v>5.528588083E9</v>
      </c>
      <c r="M668" s="124" t="s">
        <v>3457</v>
      </c>
      <c r="N668" s="124" t="s">
        <v>3458</v>
      </c>
      <c r="O668" s="124">
        <v>5.539736627E9</v>
      </c>
      <c r="P668" s="129">
        <v>18.0</v>
      </c>
      <c r="Q668" s="130">
        <v>46018.803611111114</v>
      </c>
      <c r="R668" s="124" t="s">
        <v>107</v>
      </c>
      <c r="S668" s="124" t="s">
        <v>109</v>
      </c>
      <c r="T668" s="124" t="s">
        <v>127</v>
      </c>
      <c r="U668" s="124" t="s">
        <v>234</v>
      </c>
      <c r="V668" s="124" t="s">
        <v>227</v>
      </c>
      <c r="W668" s="124" t="s">
        <v>236</v>
      </c>
      <c r="X668" s="124" t="s">
        <v>120</v>
      </c>
      <c r="Y668" s="128"/>
      <c r="Z668" s="124" t="s">
        <v>120</v>
      </c>
      <c r="AA668" s="128"/>
      <c r="AB668" s="124" t="s">
        <v>120</v>
      </c>
      <c r="AC668" s="128"/>
      <c r="AD668" s="128"/>
      <c r="AE668" s="124" t="s">
        <v>120</v>
      </c>
      <c r="AF668" s="128"/>
      <c r="AG668" s="124" t="s">
        <v>120</v>
      </c>
      <c r="AH668" s="128"/>
      <c r="AI668" s="124" t="s">
        <v>120</v>
      </c>
      <c r="AJ668" s="128"/>
      <c r="AK668" s="128"/>
      <c r="AL668" s="124" t="s">
        <v>185</v>
      </c>
      <c r="AM668" s="124" t="s">
        <v>129</v>
      </c>
      <c r="AN668" s="124" t="s">
        <v>124</v>
      </c>
      <c r="AO668" s="124" t="s">
        <v>138</v>
      </c>
      <c r="AP668" s="124"/>
    </row>
    <row r="669">
      <c r="A669" s="124" t="s">
        <v>1081</v>
      </c>
      <c r="B669" s="124" t="s">
        <v>1082</v>
      </c>
      <c r="C669" s="124" t="s">
        <v>1083</v>
      </c>
      <c r="D669" s="127">
        <v>39780.0</v>
      </c>
      <c r="E669" s="124" t="s">
        <v>177</v>
      </c>
      <c r="F669" s="124">
        <v>5.520929535E9</v>
      </c>
      <c r="G669" s="124" t="s">
        <v>1085</v>
      </c>
      <c r="H669" s="124" t="s">
        <v>150</v>
      </c>
      <c r="I669" s="128"/>
      <c r="J669" s="124" t="s">
        <v>1088</v>
      </c>
      <c r="K669" s="124" t="s">
        <v>1089</v>
      </c>
      <c r="L669" s="124">
        <v>5.522400873E9</v>
      </c>
      <c r="M669" s="124" t="s">
        <v>1091</v>
      </c>
      <c r="N669" s="124" t="s">
        <v>1092</v>
      </c>
      <c r="O669" s="124">
        <v>5.574772409E9</v>
      </c>
      <c r="P669" s="129">
        <v>17.0</v>
      </c>
      <c r="Q669" s="130">
        <v>46028.95768518518</v>
      </c>
      <c r="R669" s="124" t="s">
        <v>107</v>
      </c>
      <c r="S669" s="124" t="s">
        <v>109</v>
      </c>
      <c r="T669" s="124" t="s">
        <v>171</v>
      </c>
      <c r="U669" s="124" t="s">
        <v>173</v>
      </c>
      <c r="V669" s="124" t="s">
        <v>167</v>
      </c>
      <c r="W669" s="124" t="s">
        <v>175</v>
      </c>
      <c r="X669" s="124" t="s">
        <v>120</v>
      </c>
      <c r="Y669" s="128"/>
      <c r="Z669" s="124" t="s">
        <v>117</v>
      </c>
      <c r="AA669" s="124" t="s">
        <v>1087</v>
      </c>
      <c r="AB669" s="124" t="s">
        <v>120</v>
      </c>
      <c r="AC669" s="128"/>
      <c r="AD669" s="128"/>
      <c r="AE669" s="124" t="s">
        <v>120</v>
      </c>
      <c r="AF669" s="128"/>
      <c r="AG669" s="124" t="s">
        <v>120</v>
      </c>
      <c r="AH669" s="128"/>
      <c r="AI669" s="124" t="s">
        <v>120</v>
      </c>
      <c r="AJ669" s="128"/>
      <c r="AK669" s="128"/>
      <c r="AL669" s="124" t="s">
        <v>156</v>
      </c>
      <c r="AM669" s="124" t="s">
        <v>185</v>
      </c>
      <c r="AN669" s="124" t="s">
        <v>216</v>
      </c>
      <c r="AO669" s="124" t="s">
        <v>129</v>
      </c>
      <c r="AP669" s="124"/>
    </row>
    <row r="670">
      <c r="A670" s="124" t="s">
        <v>4883</v>
      </c>
      <c r="B670" s="124" t="s">
        <v>3411</v>
      </c>
      <c r="C670" s="124" t="s">
        <v>4884</v>
      </c>
      <c r="D670" s="127">
        <v>34912.0</v>
      </c>
      <c r="E670" s="124" t="s">
        <v>177</v>
      </c>
      <c r="F670" s="124" t="s">
        <v>4885</v>
      </c>
      <c r="G670" s="124" t="s">
        <v>4886</v>
      </c>
      <c r="H670" s="124" t="s">
        <v>110</v>
      </c>
      <c r="I670" s="128"/>
      <c r="J670" s="124" t="s">
        <v>4887</v>
      </c>
      <c r="K670" s="124" t="s">
        <v>3415</v>
      </c>
      <c r="L670" s="124">
        <v>5.527791704E9</v>
      </c>
      <c r="M670" s="128"/>
      <c r="N670" s="128"/>
      <c r="O670" s="128"/>
      <c r="P670" s="129">
        <v>30.0</v>
      </c>
      <c r="Q670" s="130">
        <v>46027.52321759259</v>
      </c>
      <c r="R670" s="124" t="s">
        <v>107</v>
      </c>
      <c r="S670" s="124" t="s">
        <v>125</v>
      </c>
      <c r="T670" s="124" t="s">
        <v>208</v>
      </c>
      <c r="U670" s="124" t="s">
        <v>601</v>
      </c>
      <c r="V670" s="124" t="s">
        <v>602</v>
      </c>
      <c r="W670" s="124" t="s">
        <v>603</v>
      </c>
      <c r="X670" s="124" t="s">
        <v>120</v>
      </c>
      <c r="Y670" s="128"/>
      <c r="Z670" s="124" t="s">
        <v>120</v>
      </c>
      <c r="AA670" s="128"/>
      <c r="AB670" s="124" t="s">
        <v>120</v>
      </c>
      <c r="AC670" s="128"/>
      <c r="AD670" s="128"/>
      <c r="AE670" s="124" t="s">
        <v>120</v>
      </c>
      <c r="AF670" s="128"/>
      <c r="AG670" s="124" t="s">
        <v>120</v>
      </c>
      <c r="AH670" s="128"/>
      <c r="AI670" s="124" t="s">
        <v>120</v>
      </c>
      <c r="AJ670" s="128"/>
      <c r="AK670" s="128"/>
      <c r="AL670" s="124" t="s">
        <v>242</v>
      </c>
      <c r="AM670" s="124" t="s">
        <v>126</v>
      </c>
      <c r="AN670" s="124" t="s">
        <v>156</v>
      </c>
      <c r="AO670" s="124" t="s">
        <v>216</v>
      </c>
      <c r="AP670" s="124"/>
    </row>
    <row r="671">
      <c r="A671" s="124" t="s">
        <v>1183</v>
      </c>
      <c r="B671" s="124" t="s">
        <v>1185</v>
      </c>
      <c r="C671" s="124" t="s">
        <v>1187</v>
      </c>
      <c r="D671" s="127">
        <v>37994.0</v>
      </c>
      <c r="E671" s="124" t="s">
        <v>177</v>
      </c>
      <c r="F671" s="124">
        <v>7.44295339E9</v>
      </c>
      <c r="G671" s="124" t="s">
        <v>1189</v>
      </c>
      <c r="H671" s="124" t="s">
        <v>101</v>
      </c>
      <c r="I671" s="128"/>
      <c r="J671" s="124" t="s">
        <v>1194</v>
      </c>
      <c r="K671" s="124" t="s">
        <v>1195</v>
      </c>
      <c r="L671" s="124">
        <v>7.441656366E9</v>
      </c>
      <c r="M671" s="128"/>
      <c r="N671" s="128"/>
      <c r="O671" s="128"/>
      <c r="P671" s="129">
        <v>22.0</v>
      </c>
      <c r="Q671" s="130">
        <v>46033.462534722225</v>
      </c>
      <c r="R671" s="124" t="s">
        <v>107</v>
      </c>
      <c r="S671" s="124" t="s">
        <v>125</v>
      </c>
      <c r="T671" s="124" t="s">
        <v>1200</v>
      </c>
      <c r="U671" s="124" t="s">
        <v>1201</v>
      </c>
      <c r="V671" s="124" t="s">
        <v>1203</v>
      </c>
      <c r="W671" s="124" t="s">
        <v>1204</v>
      </c>
      <c r="X671" s="124" t="s">
        <v>120</v>
      </c>
      <c r="Y671" s="128"/>
      <c r="Z671" s="124" t="s">
        <v>117</v>
      </c>
      <c r="AA671" s="124" t="s">
        <v>1191</v>
      </c>
      <c r="AB671" s="124" t="s">
        <v>120</v>
      </c>
      <c r="AC671" s="128"/>
      <c r="AD671" s="128"/>
      <c r="AE671" s="124" t="s">
        <v>120</v>
      </c>
      <c r="AF671" s="128"/>
      <c r="AG671" s="124" t="s">
        <v>120</v>
      </c>
      <c r="AH671" s="128"/>
      <c r="AI671" s="124" t="s">
        <v>120</v>
      </c>
      <c r="AJ671" s="128"/>
      <c r="AK671" s="128"/>
      <c r="AL671" s="124" t="s">
        <v>156</v>
      </c>
      <c r="AM671" s="124" t="s">
        <v>124</v>
      </c>
      <c r="AN671" s="124" t="s">
        <v>129</v>
      </c>
      <c r="AO671" s="124" t="s">
        <v>126</v>
      </c>
      <c r="AP671" s="124"/>
    </row>
    <row r="672">
      <c r="A672" s="124" t="s">
        <v>828</v>
      </c>
      <c r="B672" s="124" t="s">
        <v>829</v>
      </c>
      <c r="C672" s="124" t="s">
        <v>830</v>
      </c>
      <c r="D672" s="127">
        <v>37443.0</v>
      </c>
      <c r="E672" s="124" t="s">
        <v>177</v>
      </c>
      <c r="F672" s="124">
        <v>5.640040994E9</v>
      </c>
      <c r="G672" s="124" t="s">
        <v>831</v>
      </c>
      <c r="H672" s="124" t="s">
        <v>150</v>
      </c>
      <c r="I672" s="124" t="s">
        <v>832</v>
      </c>
      <c r="J672" s="124" t="s">
        <v>833</v>
      </c>
      <c r="K672" s="124" t="s">
        <v>834</v>
      </c>
      <c r="L672" s="124">
        <v>5.53040827E9</v>
      </c>
      <c r="M672" s="128"/>
      <c r="N672" s="128"/>
      <c r="O672" s="128"/>
      <c r="P672" s="129">
        <v>23.0</v>
      </c>
      <c r="Q672" s="130">
        <v>46033.85322916666</v>
      </c>
      <c r="R672" s="124" t="s">
        <v>107</v>
      </c>
      <c r="S672" s="124" t="s">
        <v>125</v>
      </c>
      <c r="T672" s="124" t="s">
        <v>127</v>
      </c>
      <c r="U672" s="124" t="s">
        <v>234</v>
      </c>
      <c r="V672" s="124" t="s">
        <v>227</v>
      </c>
      <c r="W672" s="124" t="s">
        <v>236</v>
      </c>
      <c r="X672" s="124" t="s">
        <v>120</v>
      </c>
      <c r="Y672" s="128"/>
      <c r="Z672" s="124" t="s">
        <v>120</v>
      </c>
      <c r="AA672" s="128"/>
      <c r="AB672" s="124" t="s">
        <v>120</v>
      </c>
      <c r="AC672" s="124" t="s">
        <v>120</v>
      </c>
      <c r="AD672" s="128"/>
      <c r="AE672" s="124" t="s">
        <v>117</v>
      </c>
      <c r="AF672" s="124" t="s">
        <v>843</v>
      </c>
      <c r="AG672" s="124" t="s">
        <v>120</v>
      </c>
      <c r="AH672" s="128"/>
      <c r="AI672" s="124" t="s">
        <v>120</v>
      </c>
      <c r="AJ672" s="128"/>
      <c r="AK672" s="128"/>
      <c r="AL672" s="124" t="s">
        <v>129</v>
      </c>
      <c r="AM672" s="124" t="s">
        <v>126</v>
      </c>
      <c r="AN672" s="124" t="s">
        <v>138</v>
      </c>
      <c r="AO672" s="124" t="s">
        <v>156</v>
      </c>
      <c r="AP672" s="124"/>
    </row>
    <row r="673">
      <c r="A673" s="124" t="s">
        <v>3335</v>
      </c>
      <c r="B673" s="124" t="s">
        <v>3339</v>
      </c>
      <c r="C673" s="124" t="s">
        <v>3340</v>
      </c>
      <c r="D673" s="127">
        <v>35593.0</v>
      </c>
      <c r="E673" s="124" t="s">
        <v>177</v>
      </c>
      <c r="F673" s="124">
        <v>3.333527793E9</v>
      </c>
      <c r="G673" s="124" t="s">
        <v>3341</v>
      </c>
      <c r="H673" s="124" t="s">
        <v>382</v>
      </c>
      <c r="I673" s="128"/>
      <c r="J673" s="124" t="s">
        <v>3342</v>
      </c>
      <c r="K673" s="124" t="s">
        <v>3344</v>
      </c>
      <c r="L673" s="124" t="s">
        <v>3346</v>
      </c>
      <c r="M673" s="128"/>
      <c r="N673" s="128"/>
      <c r="O673" s="128"/>
      <c r="P673" s="129">
        <v>28.0</v>
      </c>
      <c r="Q673" s="130">
        <v>46025.92083333333</v>
      </c>
      <c r="R673" s="124" t="s">
        <v>260</v>
      </c>
      <c r="S673" s="124" t="s">
        <v>125</v>
      </c>
      <c r="T673" s="124" t="s">
        <v>192</v>
      </c>
      <c r="U673" s="124" t="s">
        <v>505</v>
      </c>
      <c r="V673" s="124" t="s">
        <v>506</v>
      </c>
      <c r="W673" s="124" t="s">
        <v>507</v>
      </c>
      <c r="X673" s="124" t="s">
        <v>120</v>
      </c>
      <c r="Y673" s="128"/>
      <c r="Z673" s="124" t="s">
        <v>120</v>
      </c>
      <c r="AA673" s="128"/>
      <c r="AB673" s="124" t="s">
        <v>120</v>
      </c>
      <c r="AC673" s="124" t="s">
        <v>120</v>
      </c>
      <c r="AD673" s="128"/>
      <c r="AE673" s="124" t="s">
        <v>120</v>
      </c>
      <c r="AF673" s="128"/>
      <c r="AG673" s="124" t="s">
        <v>120</v>
      </c>
      <c r="AH673" s="128"/>
      <c r="AI673" s="124" t="s">
        <v>120</v>
      </c>
      <c r="AJ673" s="128"/>
      <c r="AK673" s="128"/>
      <c r="AL673" s="124" t="s">
        <v>156</v>
      </c>
      <c r="AM673" s="124" t="s">
        <v>129</v>
      </c>
      <c r="AN673" s="124" t="s">
        <v>240</v>
      </c>
      <c r="AO673" s="124" t="s">
        <v>138</v>
      </c>
      <c r="AP673" s="124"/>
    </row>
    <row r="674">
      <c r="A674" s="124" t="s">
        <v>3693</v>
      </c>
      <c r="B674" s="124" t="s">
        <v>4888</v>
      </c>
      <c r="C674" s="124" t="s">
        <v>4889</v>
      </c>
      <c r="D674" s="127">
        <v>40516.0</v>
      </c>
      <c r="E674" s="124" t="s">
        <v>177</v>
      </c>
      <c r="F674" s="124">
        <v>5.534383771E9</v>
      </c>
      <c r="G674" s="124" t="s">
        <v>4890</v>
      </c>
      <c r="H674" s="124" t="s">
        <v>150</v>
      </c>
      <c r="I674" s="124" t="s">
        <v>1325</v>
      </c>
      <c r="J674" s="124" t="s">
        <v>3868</v>
      </c>
      <c r="K674" s="124" t="s">
        <v>4891</v>
      </c>
      <c r="L674" s="124">
        <v>5.579973753E9</v>
      </c>
      <c r="M674" s="128"/>
      <c r="N674" s="128"/>
      <c r="O674" s="128"/>
      <c r="P674" s="129">
        <v>15.0</v>
      </c>
      <c r="Q674" s="130">
        <v>46038.78900462963</v>
      </c>
      <c r="R674" s="124" t="s">
        <v>107</v>
      </c>
      <c r="S674" s="124" t="s">
        <v>109</v>
      </c>
      <c r="T674" s="124" t="s">
        <v>111</v>
      </c>
      <c r="U674" s="124" t="s">
        <v>112</v>
      </c>
      <c r="V674" s="124" t="s">
        <v>114</v>
      </c>
      <c r="W674" s="124" t="s">
        <v>115</v>
      </c>
      <c r="X674" s="124" t="s">
        <v>120</v>
      </c>
      <c r="Y674" s="128"/>
      <c r="Z674" s="124" t="s">
        <v>120</v>
      </c>
      <c r="AA674" s="128"/>
      <c r="AB674" s="124" t="s">
        <v>120</v>
      </c>
      <c r="AC674" s="128"/>
      <c r="AD674" s="128"/>
      <c r="AE674" s="124" t="s">
        <v>120</v>
      </c>
      <c r="AF674" s="128"/>
      <c r="AG674" s="124" t="s">
        <v>120</v>
      </c>
      <c r="AH674" s="128"/>
      <c r="AI674" s="124" t="s">
        <v>120</v>
      </c>
      <c r="AJ674" s="128"/>
      <c r="AK674" s="128"/>
      <c r="AL674" s="124" t="s">
        <v>242</v>
      </c>
      <c r="AM674" s="124" t="s">
        <v>185</v>
      </c>
      <c r="AN674" s="124" t="s">
        <v>156</v>
      </c>
      <c r="AO674" s="124" t="s">
        <v>216</v>
      </c>
      <c r="AP674" s="124"/>
    </row>
    <row r="675">
      <c r="A675" s="124" t="s">
        <v>844</v>
      </c>
      <c r="B675" s="124" t="s">
        <v>845</v>
      </c>
      <c r="C675" s="124" t="s">
        <v>846</v>
      </c>
      <c r="D675" s="127">
        <v>37208.0</v>
      </c>
      <c r="E675" s="124" t="s">
        <v>98</v>
      </c>
      <c r="F675" s="124">
        <v>5.512431305E9</v>
      </c>
      <c r="G675" s="124" t="s">
        <v>847</v>
      </c>
      <c r="H675" s="124" t="s">
        <v>101</v>
      </c>
      <c r="I675" s="124" t="s">
        <v>848</v>
      </c>
      <c r="J675" s="124" t="s">
        <v>849</v>
      </c>
      <c r="K675" s="124" t="s">
        <v>850</v>
      </c>
      <c r="L675" s="128" t="str">
        <f>+52 55 3126 4487</f>
        <v>#ERROR!</v>
      </c>
      <c r="M675" s="128"/>
      <c r="N675" s="128"/>
      <c r="O675" s="128"/>
      <c r="P675" s="129">
        <v>24.0</v>
      </c>
      <c r="Q675" s="130">
        <v>46025.724699074075</v>
      </c>
      <c r="R675" s="124" t="s">
        <v>107</v>
      </c>
      <c r="S675" s="124" t="s">
        <v>125</v>
      </c>
      <c r="T675" s="124" t="s">
        <v>208</v>
      </c>
      <c r="U675" s="124" t="s">
        <v>428</v>
      </c>
      <c r="V675" s="124" t="s">
        <v>429</v>
      </c>
      <c r="W675" s="124" t="s">
        <v>430</v>
      </c>
      <c r="X675" s="124" t="s">
        <v>120</v>
      </c>
      <c r="Y675" s="128"/>
      <c r="Z675" s="124" t="s">
        <v>120</v>
      </c>
      <c r="AA675" s="128"/>
      <c r="AB675" s="124" t="s">
        <v>120</v>
      </c>
      <c r="AC675" s="128"/>
      <c r="AD675" s="128"/>
      <c r="AE675" s="124" t="s">
        <v>120</v>
      </c>
      <c r="AF675" s="128"/>
      <c r="AG675" s="124" t="s">
        <v>120</v>
      </c>
      <c r="AH675" s="128"/>
      <c r="AI675" s="124" t="s">
        <v>120</v>
      </c>
      <c r="AJ675" s="128"/>
      <c r="AK675" s="128"/>
      <c r="AL675" s="124" t="s">
        <v>242</v>
      </c>
      <c r="AM675" s="124" t="s">
        <v>128</v>
      </c>
      <c r="AN675" s="124" t="s">
        <v>156</v>
      </c>
      <c r="AO675" s="124" t="s">
        <v>124</v>
      </c>
      <c r="AP675" s="124"/>
    </row>
    <row r="676">
      <c r="A676" s="124" t="s">
        <v>1788</v>
      </c>
      <c r="B676" s="124" t="s">
        <v>1789</v>
      </c>
      <c r="C676" s="124" t="s">
        <v>1790</v>
      </c>
      <c r="D676" s="127">
        <v>40320.0</v>
      </c>
      <c r="E676" s="124" t="s">
        <v>177</v>
      </c>
      <c r="F676" s="124">
        <v>5.572136304E9</v>
      </c>
      <c r="G676" s="124" t="s">
        <v>1795</v>
      </c>
      <c r="H676" s="124" t="s">
        <v>101</v>
      </c>
      <c r="I676" s="124" t="s">
        <v>1797</v>
      </c>
      <c r="J676" s="124" t="s">
        <v>1798</v>
      </c>
      <c r="K676" s="124" t="s">
        <v>1799</v>
      </c>
      <c r="L676" s="124">
        <v>5.515042862E9</v>
      </c>
      <c r="M676" s="124" t="s">
        <v>1800</v>
      </c>
      <c r="N676" s="124" t="s">
        <v>1801</v>
      </c>
      <c r="O676" s="124">
        <v>5.548364007E9</v>
      </c>
      <c r="P676" s="129">
        <v>15.0</v>
      </c>
      <c r="Q676" s="130">
        <v>46034.513032407405</v>
      </c>
      <c r="R676" s="124" t="s">
        <v>107</v>
      </c>
      <c r="S676" s="124" t="s">
        <v>109</v>
      </c>
      <c r="T676" s="124" t="s">
        <v>171</v>
      </c>
      <c r="U676" s="124" t="s">
        <v>526</v>
      </c>
      <c r="V676" s="124" t="s">
        <v>527</v>
      </c>
      <c r="W676" s="124" t="s">
        <v>528</v>
      </c>
      <c r="X676" s="124" t="s">
        <v>120</v>
      </c>
      <c r="Y676" s="128"/>
      <c r="Z676" s="124" t="s">
        <v>120</v>
      </c>
      <c r="AA676" s="128"/>
      <c r="AB676" s="124" t="s">
        <v>120</v>
      </c>
      <c r="AC676" s="128"/>
      <c r="AD676" s="128"/>
      <c r="AE676" s="124" t="s">
        <v>120</v>
      </c>
      <c r="AF676" s="128"/>
      <c r="AG676" s="124" t="s">
        <v>120</v>
      </c>
      <c r="AH676" s="128"/>
      <c r="AI676" s="124" t="s">
        <v>120</v>
      </c>
      <c r="AJ676" s="128"/>
      <c r="AK676" s="128"/>
      <c r="AL676" s="124" t="s">
        <v>129</v>
      </c>
      <c r="AM676" s="124" t="s">
        <v>242</v>
      </c>
      <c r="AN676" s="124" t="s">
        <v>156</v>
      </c>
      <c r="AO676" s="124" t="s">
        <v>138</v>
      </c>
      <c r="AP676" s="124"/>
    </row>
    <row r="677">
      <c r="A677" s="124" t="s">
        <v>772</v>
      </c>
      <c r="B677" s="124" t="s">
        <v>774</v>
      </c>
      <c r="C677" s="124" t="s">
        <v>775</v>
      </c>
      <c r="D677" s="127">
        <v>39823.0</v>
      </c>
      <c r="E677" s="124" t="s">
        <v>98</v>
      </c>
      <c r="F677" s="124">
        <v>5.543873856E9</v>
      </c>
      <c r="G677" s="124" t="s">
        <v>777</v>
      </c>
      <c r="H677" s="124" t="s">
        <v>140</v>
      </c>
      <c r="I677" s="128"/>
      <c r="J677" s="124" t="s">
        <v>778</v>
      </c>
      <c r="K677" s="124" t="s">
        <v>408</v>
      </c>
      <c r="L677" s="124">
        <v>5.584756348E9</v>
      </c>
      <c r="M677" s="128"/>
      <c r="N677" s="128"/>
      <c r="O677" s="128"/>
      <c r="P677" s="129">
        <v>17.0</v>
      </c>
      <c r="Q677" s="130">
        <v>46038.765625</v>
      </c>
      <c r="R677" s="124" t="s">
        <v>107</v>
      </c>
      <c r="S677" s="124" t="s">
        <v>109</v>
      </c>
      <c r="T677" s="124" t="s">
        <v>111</v>
      </c>
      <c r="U677" s="124" t="s">
        <v>407</v>
      </c>
      <c r="V677" s="124" t="s">
        <v>408</v>
      </c>
      <c r="W677" s="124" t="s">
        <v>409</v>
      </c>
      <c r="X677" s="124" t="s">
        <v>117</v>
      </c>
      <c r="Y677" s="128"/>
      <c r="Z677" s="124" t="s">
        <v>117</v>
      </c>
      <c r="AA677" s="128"/>
      <c r="AB677" s="124" t="s">
        <v>117</v>
      </c>
      <c r="AC677" s="124" t="s">
        <v>117</v>
      </c>
      <c r="AD677" s="128"/>
      <c r="AE677" s="124" t="s">
        <v>117</v>
      </c>
      <c r="AF677" s="128"/>
      <c r="AG677" s="124" t="s">
        <v>117</v>
      </c>
      <c r="AH677" s="128"/>
      <c r="AI677" s="124" t="s">
        <v>117</v>
      </c>
      <c r="AJ677" s="128"/>
      <c r="AK677" s="128"/>
      <c r="AL677" s="124" t="s">
        <v>138</v>
      </c>
      <c r="AM677" s="124" t="s">
        <v>124</v>
      </c>
      <c r="AN677" s="124" t="s">
        <v>128</v>
      </c>
      <c r="AO677" s="124" t="s">
        <v>242</v>
      </c>
      <c r="AP677" s="124"/>
    </row>
    <row r="678">
      <c r="A678" s="124" t="s">
        <v>4892</v>
      </c>
      <c r="B678" s="124" t="s">
        <v>4893</v>
      </c>
      <c r="C678" s="124" t="s">
        <v>4894</v>
      </c>
      <c r="D678" s="127">
        <v>40016.0</v>
      </c>
      <c r="E678" s="124" t="s">
        <v>98</v>
      </c>
      <c r="F678" s="124">
        <v>5.534922022E9</v>
      </c>
      <c r="G678" s="124" t="s">
        <v>4895</v>
      </c>
      <c r="H678" s="124" t="s">
        <v>101</v>
      </c>
      <c r="I678" s="128"/>
      <c r="J678" s="124" t="s">
        <v>4896</v>
      </c>
      <c r="K678" s="124" t="s">
        <v>4895</v>
      </c>
      <c r="L678" s="124">
        <v>5.534922022E9</v>
      </c>
      <c r="M678" s="128"/>
      <c r="N678" s="128"/>
      <c r="O678" s="128"/>
      <c r="P678" s="129">
        <v>16.0</v>
      </c>
      <c r="Q678" s="130">
        <v>46033.94994212963</v>
      </c>
      <c r="R678" s="124" t="s">
        <v>107</v>
      </c>
      <c r="S678" s="124" t="s">
        <v>109</v>
      </c>
      <c r="T678" s="124" t="s">
        <v>160</v>
      </c>
      <c r="U678" s="124" t="s">
        <v>1739</v>
      </c>
      <c r="V678" s="124" t="s">
        <v>1740</v>
      </c>
      <c r="W678" s="124" t="s">
        <v>1741</v>
      </c>
      <c r="X678" s="124" t="s">
        <v>120</v>
      </c>
      <c r="Y678" s="128"/>
      <c r="Z678" s="124" t="s">
        <v>120</v>
      </c>
      <c r="AA678" s="128"/>
      <c r="AB678" s="124" t="s">
        <v>120</v>
      </c>
      <c r="AC678" s="128"/>
      <c r="AD678" s="128"/>
      <c r="AE678" s="124" t="s">
        <v>120</v>
      </c>
      <c r="AF678" s="128"/>
      <c r="AG678" s="124" t="s">
        <v>120</v>
      </c>
      <c r="AH678" s="128"/>
      <c r="AI678" s="124" t="s">
        <v>120</v>
      </c>
      <c r="AJ678" s="128"/>
      <c r="AK678" s="128"/>
      <c r="AL678" s="124" t="s">
        <v>138</v>
      </c>
      <c r="AM678" s="124" t="s">
        <v>156</v>
      </c>
      <c r="AN678" s="124" t="s">
        <v>242</v>
      </c>
      <c r="AO678" s="124" t="s">
        <v>185</v>
      </c>
      <c r="AP678" s="124"/>
    </row>
    <row r="679">
      <c r="A679" s="124" t="s">
        <v>4897</v>
      </c>
      <c r="B679" s="124" t="s">
        <v>4898</v>
      </c>
      <c r="C679" s="124" t="s">
        <v>4899</v>
      </c>
      <c r="D679" s="127">
        <v>40616.0</v>
      </c>
      <c r="E679" s="124" t="s">
        <v>98</v>
      </c>
      <c r="F679" s="124">
        <v>5.51820121E9</v>
      </c>
      <c r="G679" s="124" t="s">
        <v>4900</v>
      </c>
      <c r="H679" s="124" t="s">
        <v>382</v>
      </c>
      <c r="I679" s="128"/>
      <c r="J679" s="124" t="s">
        <v>4901</v>
      </c>
      <c r="K679" s="124" t="s">
        <v>4902</v>
      </c>
      <c r="L679" s="124">
        <v>5.566304741E9</v>
      </c>
      <c r="M679" s="128"/>
      <c r="N679" s="128"/>
      <c r="O679" s="128"/>
      <c r="P679" s="129">
        <v>14.0</v>
      </c>
      <c r="Q679" s="130">
        <v>46021.62365740741</v>
      </c>
      <c r="R679" s="124" t="s">
        <v>107</v>
      </c>
      <c r="S679" s="124" t="s">
        <v>109</v>
      </c>
      <c r="T679" s="124" t="s">
        <v>204</v>
      </c>
      <c r="U679" s="124" t="s">
        <v>367</v>
      </c>
      <c r="V679" s="124" t="s">
        <v>368</v>
      </c>
      <c r="W679" s="124" t="s">
        <v>369</v>
      </c>
      <c r="X679" s="124" t="s">
        <v>120</v>
      </c>
      <c r="Y679" s="128"/>
      <c r="Z679" s="124" t="s">
        <v>120</v>
      </c>
      <c r="AA679" s="128"/>
      <c r="AB679" s="124" t="s">
        <v>120</v>
      </c>
      <c r="AC679" s="128"/>
      <c r="AD679" s="128"/>
      <c r="AE679" s="124" t="s">
        <v>120</v>
      </c>
      <c r="AF679" s="128"/>
      <c r="AG679" s="124" t="s">
        <v>120</v>
      </c>
      <c r="AH679" s="128"/>
      <c r="AI679" s="124" t="s">
        <v>120</v>
      </c>
      <c r="AJ679" s="128"/>
      <c r="AK679" s="128"/>
      <c r="AL679" s="124" t="s">
        <v>185</v>
      </c>
      <c r="AM679" s="124" t="s">
        <v>216</v>
      </c>
      <c r="AN679" s="124" t="s">
        <v>126</v>
      </c>
      <c r="AO679" s="124" t="s">
        <v>124</v>
      </c>
      <c r="AP679" s="124"/>
    </row>
    <row r="680">
      <c r="A680" s="124" t="s">
        <v>861</v>
      </c>
      <c r="B680" s="124" t="s">
        <v>862</v>
      </c>
      <c r="C680" s="124" t="s">
        <v>863</v>
      </c>
      <c r="D680" s="127">
        <v>38496.0</v>
      </c>
      <c r="E680" s="124" t="s">
        <v>98</v>
      </c>
      <c r="F680" s="124">
        <v>7.331244389E9</v>
      </c>
      <c r="G680" s="124" t="s">
        <v>864</v>
      </c>
      <c r="H680" s="124" t="s">
        <v>101</v>
      </c>
      <c r="I680" s="124" t="s">
        <v>867</v>
      </c>
      <c r="J680" s="124" t="s">
        <v>868</v>
      </c>
      <c r="K680" s="124" t="s">
        <v>870</v>
      </c>
      <c r="L680" s="124">
        <v>7.331244389E9</v>
      </c>
      <c r="M680" s="124" t="s">
        <v>871</v>
      </c>
      <c r="N680" s="124" t="s">
        <v>872</v>
      </c>
      <c r="O680" s="124">
        <v>7.331550592E9</v>
      </c>
      <c r="P680" s="129">
        <v>20.0</v>
      </c>
      <c r="Q680" s="130">
        <v>46037.789351851854</v>
      </c>
      <c r="R680" s="124" t="s">
        <v>107</v>
      </c>
      <c r="S680" s="124" t="s">
        <v>125</v>
      </c>
      <c r="T680" s="124" t="s">
        <v>877</v>
      </c>
      <c r="U680" s="124" t="s">
        <v>878</v>
      </c>
      <c r="V680" s="124" t="s">
        <v>879</v>
      </c>
      <c r="W680" s="124" t="s">
        <v>880</v>
      </c>
      <c r="X680" s="124" t="s">
        <v>120</v>
      </c>
      <c r="Y680" s="128"/>
      <c r="Z680" s="124" t="s">
        <v>117</v>
      </c>
      <c r="AA680" s="124" t="s">
        <v>882</v>
      </c>
      <c r="AB680" s="124" t="s">
        <v>117</v>
      </c>
      <c r="AC680" s="128"/>
      <c r="AD680" s="124" t="s">
        <v>886</v>
      </c>
      <c r="AE680" s="124" t="s">
        <v>120</v>
      </c>
      <c r="AF680" s="128"/>
      <c r="AG680" s="124" t="s">
        <v>120</v>
      </c>
      <c r="AH680" s="128"/>
      <c r="AI680" s="124" t="s">
        <v>120</v>
      </c>
      <c r="AJ680" s="128"/>
      <c r="AK680" s="128"/>
      <c r="AL680" s="124" t="s">
        <v>185</v>
      </c>
      <c r="AM680" s="124" t="s">
        <v>242</v>
      </c>
      <c r="AN680" s="124" t="s">
        <v>124</v>
      </c>
      <c r="AO680" s="124" t="s">
        <v>216</v>
      </c>
      <c r="AP680" s="124"/>
    </row>
    <row r="681">
      <c r="A681" s="124" t="s">
        <v>4903</v>
      </c>
      <c r="B681" s="124" t="s">
        <v>4904</v>
      </c>
      <c r="C681" s="124" t="s">
        <v>4905</v>
      </c>
      <c r="D681" s="127">
        <v>39734.0</v>
      </c>
      <c r="E681" s="124" t="s">
        <v>98</v>
      </c>
      <c r="F681" s="124">
        <v>5.545270137E9</v>
      </c>
      <c r="G681" s="124" t="s">
        <v>4906</v>
      </c>
      <c r="H681" s="124" t="s">
        <v>101</v>
      </c>
      <c r="I681" s="124" t="s">
        <v>4907</v>
      </c>
      <c r="J681" s="124" t="s">
        <v>4908</v>
      </c>
      <c r="K681" s="124" t="s">
        <v>4909</v>
      </c>
      <c r="L681" s="124">
        <v>5.610658194E9</v>
      </c>
      <c r="M681" s="128"/>
      <c r="N681" s="128"/>
      <c r="O681" s="128"/>
      <c r="P681" s="129">
        <v>17.0</v>
      </c>
      <c r="Q681" s="130">
        <v>46038.98033564815</v>
      </c>
      <c r="R681" s="124" t="s">
        <v>107</v>
      </c>
      <c r="S681" s="124" t="s">
        <v>109</v>
      </c>
      <c r="T681" s="124" t="s">
        <v>160</v>
      </c>
      <c r="U681" s="124" t="s">
        <v>1739</v>
      </c>
      <c r="V681" s="124" t="s">
        <v>1740</v>
      </c>
      <c r="W681" s="124" t="s">
        <v>1741</v>
      </c>
      <c r="X681" s="124" t="s">
        <v>120</v>
      </c>
      <c r="Y681" s="128"/>
      <c r="Z681" s="124" t="s">
        <v>120</v>
      </c>
      <c r="AA681" s="128"/>
      <c r="AB681" s="124" t="s">
        <v>120</v>
      </c>
      <c r="AC681" s="124" t="s">
        <v>120</v>
      </c>
      <c r="AD681" s="128"/>
      <c r="AE681" s="124" t="s">
        <v>120</v>
      </c>
      <c r="AF681" s="128"/>
      <c r="AG681" s="124" t="s">
        <v>120</v>
      </c>
      <c r="AH681" s="128"/>
      <c r="AI681" s="124" t="s">
        <v>120</v>
      </c>
      <c r="AJ681" s="128"/>
      <c r="AK681" s="128"/>
      <c r="AL681" s="124" t="s">
        <v>156</v>
      </c>
      <c r="AM681" s="124" t="s">
        <v>138</v>
      </c>
      <c r="AN681" s="124" t="s">
        <v>126</v>
      </c>
      <c r="AO681" s="124" t="s">
        <v>242</v>
      </c>
      <c r="AP681" s="124"/>
    </row>
    <row r="682">
      <c r="A682" s="124" t="s">
        <v>2534</v>
      </c>
      <c r="B682" s="124" t="s">
        <v>2536</v>
      </c>
      <c r="C682" s="124" t="s">
        <v>2537</v>
      </c>
      <c r="D682" s="127">
        <v>41120.0</v>
      </c>
      <c r="E682" s="124" t="s">
        <v>98</v>
      </c>
      <c r="F682" s="124">
        <v>5.643570733E9</v>
      </c>
      <c r="G682" s="124" t="s">
        <v>1386</v>
      </c>
      <c r="H682" s="124" t="s">
        <v>101</v>
      </c>
      <c r="I682" s="128"/>
      <c r="J682" s="124" t="s">
        <v>1383</v>
      </c>
      <c r="K682" s="124" t="s">
        <v>1386</v>
      </c>
      <c r="L682" s="124">
        <v>5.518388891E9</v>
      </c>
      <c r="M682" s="128"/>
      <c r="N682" s="128"/>
      <c r="O682" s="128"/>
      <c r="P682" s="129">
        <v>13.0</v>
      </c>
      <c r="Q682" s="130">
        <v>46033.51528935185</v>
      </c>
      <c r="R682" s="124" t="s">
        <v>107</v>
      </c>
      <c r="S682" s="124" t="s">
        <v>109</v>
      </c>
      <c r="T682" s="124" t="s">
        <v>160</v>
      </c>
      <c r="U682" s="124" t="s">
        <v>1265</v>
      </c>
      <c r="V682" s="124" t="s">
        <v>1267</v>
      </c>
      <c r="W682" s="124" t="s">
        <v>1268</v>
      </c>
      <c r="X682" s="124" t="s">
        <v>120</v>
      </c>
      <c r="Y682" s="128"/>
      <c r="Z682" s="124" t="s">
        <v>120</v>
      </c>
      <c r="AA682" s="128"/>
      <c r="AB682" s="124" t="s">
        <v>120</v>
      </c>
      <c r="AC682" s="128"/>
      <c r="AD682" s="128"/>
      <c r="AE682" s="124" t="s">
        <v>117</v>
      </c>
      <c r="AF682" s="124" t="s">
        <v>2556</v>
      </c>
      <c r="AG682" s="124" t="s">
        <v>120</v>
      </c>
      <c r="AH682" s="128"/>
      <c r="AI682" s="124" t="s">
        <v>120</v>
      </c>
      <c r="AJ682" s="128"/>
      <c r="AK682" s="128"/>
      <c r="AL682" s="124" t="s">
        <v>124</v>
      </c>
      <c r="AM682" s="124" t="s">
        <v>240</v>
      </c>
      <c r="AN682" s="124" t="s">
        <v>156</v>
      </c>
      <c r="AO682" s="124" t="s">
        <v>126</v>
      </c>
      <c r="AP682" s="124"/>
    </row>
    <row r="683">
      <c r="A683" s="124" t="s">
        <v>4910</v>
      </c>
      <c r="B683" s="124" t="s">
        <v>4911</v>
      </c>
      <c r="C683" s="124" t="s">
        <v>4912</v>
      </c>
      <c r="D683" s="127">
        <v>39702.0</v>
      </c>
      <c r="E683" s="124" t="s">
        <v>177</v>
      </c>
      <c r="F683" s="124">
        <v>5.5820051E9</v>
      </c>
      <c r="G683" s="124" t="s">
        <v>4913</v>
      </c>
      <c r="H683" s="124" t="s">
        <v>140</v>
      </c>
      <c r="I683" s="124" t="s">
        <v>135</v>
      </c>
      <c r="J683" s="124" t="s">
        <v>4914</v>
      </c>
      <c r="K683" s="124" t="s">
        <v>4915</v>
      </c>
      <c r="L683" s="124">
        <v>5.5820051E9</v>
      </c>
      <c r="M683" s="124" t="s">
        <v>4916</v>
      </c>
      <c r="N683" s="124" t="s">
        <v>4915</v>
      </c>
      <c r="O683" s="124">
        <v>5.636297242E9</v>
      </c>
      <c r="P683" s="129">
        <v>17.0</v>
      </c>
      <c r="Q683" s="130">
        <v>46032.73840277778</v>
      </c>
      <c r="R683" s="124" t="s">
        <v>107</v>
      </c>
      <c r="S683" s="124" t="s">
        <v>109</v>
      </c>
      <c r="T683" s="124" t="s">
        <v>171</v>
      </c>
      <c r="U683" s="124" t="s">
        <v>638</v>
      </c>
      <c r="V683" s="124" t="s">
        <v>639</v>
      </c>
      <c r="W683" s="124" t="s">
        <v>641</v>
      </c>
      <c r="X683" s="124" t="s">
        <v>120</v>
      </c>
      <c r="Y683" s="124" t="s">
        <v>1537</v>
      </c>
      <c r="Z683" s="124" t="s">
        <v>120</v>
      </c>
      <c r="AA683" s="128"/>
      <c r="AB683" s="124" t="s">
        <v>120</v>
      </c>
      <c r="AC683" s="128"/>
      <c r="AD683" s="128"/>
      <c r="AE683" s="124" t="s">
        <v>120</v>
      </c>
      <c r="AF683" s="128"/>
      <c r="AG683" s="124" t="s">
        <v>120</v>
      </c>
      <c r="AH683" s="128"/>
      <c r="AI683" s="124" t="s">
        <v>120</v>
      </c>
      <c r="AJ683" s="128"/>
      <c r="AK683" s="128"/>
      <c r="AL683" s="124" t="s">
        <v>240</v>
      </c>
      <c r="AM683" s="124" t="s">
        <v>126</v>
      </c>
      <c r="AN683" s="124" t="s">
        <v>185</v>
      </c>
      <c r="AO683" s="124" t="s">
        <v>242</v>
      </c>
      <c r="AP683" s="124"/>
    </row>
    <row r="684">
      <c r="A684" s="124" t="s">
        <v>1155</v>
      </c>
      <c r="B684" s="124" t="s">
        <v>4917</v>
      </c>
      <c r="C684" s="124" t="s">
        <v>4918</v>
      </c>
      <c r="D684" s="127">
        <v>39471.0</v>
      </c>
      <c r="E684" s="124" t="s">
        <v>98</v>
      </c>
      <c r="F684" s="124">
        <v>5.627383416E9</v>
      </c>
      <c r="G684" s="124" t="s">
        <v>4919</v>
      </c>
      <c r="H684" s="124" t="s">
        <v>140</v>
      </c>
      <c r="I684" s="124" t="s">
        <v>4920</v>
      </c>
      <c r="J684" s="124" t="s">
        <v>4921</v>
      </c>
      <c r="K684" s="124" t="s">
        <v>4922</v>
      </c>
      <c r="L684" s="124">
        <v>5.540460204E9</v>
      </c>
      <c r="M684" s="128"/>
      <c r="N684" s="128"/>
      <c r="O684" s="128"/>
      <c r="P684" s="129">
        <v>18.0</v>
      </c>
      <c r="Q684" s="130">
        <v>46024.72758101852</v>
      </c>
      <c r="R684" s="124" t="s">
        <v>107</v>
      </c>
      <c r="S684" s="124" t="s">
        <v>109</v>
      </c>
      <c r="T684" s="124" t="s">
        <v>127</v>
      </c>
      <c r="U684" s="124" t="s">
        <v>531</v>
      </c>
      <c r="V684" s="124" t="s">
        <v>532</v>
      </c>
      <c r="W684" s="124" t="s">
        <v>534</v>
      </c>
      <c r="X684" s="124" t="s">
        <v>120</v>
      </c>
      <c r="Y684" s="128"/>
      <c r="Z684" s="124" t="s">
        <v>120</v>
      </c>
      <c r="AA684" s="128"/>
      <c r="AB684" s="124" t="s">
        <v>120</v>
      </c>
      <c r="AC684" s="128"/>
      <c r="AD684" s="128"/>
      <c r="AE684" s="124" t="s">
        <v>120</v>
      </c>
      <c r="AF684" s="128"/>
      <c r="AG684" s="124" t="s">
        <v>120</v>
      </c>
      <c r="AH684" s="128"/>
      <c r="AI684" s="124" t="s">
        <v>120</v>
      </c>
      <c r="AJ684" s="128"/>
      <c r="AK684" s="128"/>
      <c r="AL684" s="124" t="s">
        <v>126</v>
      </c>
      <c r="AM684" s="124" t="s">
        <v>138</v>
      </c>
      <c r="AN684" s="124" t="s">
        <v>129</v>
      </c>
      <c r="AO684" s="124" t="s">
        <v>124</v>
      </c>
      <c r="AP684" s="124"/>
    </row>
    <row r="685">
      <c r="A685" s="124" t="s">
        <v>4923</v>
      </c>
      <c r="B685" s="124" t="s">
        <v>4924</v>
      </c>
      <c r="C685" s="124" t="s">
        <v>4925</v>
      </c>
      <c r="D685" s="127">
        <v>40116.0</v>
      </c>
      <c r="E685" s="124" t="s">
        <v>98</v>
      </c>
      <c r="F685" s="124">
        <v>5.539071015E9</v>
      </c>
      <c r="G685" s="124" t="s">
        <v>4926</v>
      </c>
      <c r="H685" s="124" t="s">
        <v>150</v>
      </c>
      <c r="I685" s="128"/>
      <c r="J685" s="124" t="s">
        <v>4927</v>
      </c>
      <c r="K685" s="124" t="s">
        <v>4928</v>
      </c>
      <c r="L685" s="124">
        <v>5.513446602E9</v>
      </c>
      <c r="M685" s="124" t="s">
        <v>4929</v>
      </c>
      <c r="N685" s="124" t="s">
        <v>2770</v>
      </c>
      <c r="O685" s="124">
        <v>5.56494955E9</v>
      </c>
      <c r="P685" s="129">
        <v>16.0</v>
      </c>
      <c r="Q685" s="130">
        <v>46024.878541666665</v>
      </c>
      <c r="R685" s="124" t="s">
        <v>107</v>
      </c>
      <c r="S685" s="124" t="s">
        <v>109</v>
      </c>
      <c r="T685" s="124" t="s">
        <v>171</v>
      </c>
      <c r="U685" s="124" t="s">
        <v>173</v>
      </c>
      <c r="V685" s="124" t="s">
        <v>167</v>
      </c>
      <c r="W685" s="124" t="s">
        <v>175</v>
      </c>
      <c r="X685" s="124" t="s">
        <v>120</v>
      </c>
      <c r="Y685" s="128"/>
      <c r="Z685" s="124" t="s">
        <v>120</v>
      </c>
      <c r="AA685" s="128"/>
      <c r="AB685" s="124" t="s">
        <v>120</v>
      </c>
      <c r="AC685" s="128"/>
      <c r="AD685" s="128"/>
      <c r="AE685" s="124" t="s">
        <v>120</v>
      </c>
      <c r="AF685" s="128"/>
      <c r="AG685" s="124" t="s">
        <v>120</v>
      </c>
      <c r="AH685" s="128"/>
      <c r="AI685" s="124" t="s">
        <v>120</v>
      </c>
      <c r="AJ685" s="128"/>
      <c r="AK685" s="128"/>
      <c r="AL685" s="124" t="s">
        <v>185</v>
      </c>
      <c r="AM685" s="124" t="s">
        <v>242</v>
      </c>
      <c r="AN685" s="124" t="s">
        <v>126</v>
      </c>
      <c r="AO685" s="124" t="s">
        <v>240</v>
      </c>
      <c r="AP685" s="124"/>
    </row>
    <row r="686">
      <c r="A686" s="124" t="s">
        <v>4930</v>
      </c>
      <c r="B686" s="124" t="s">
        <v>4931</v>
      </c>
      <c r="C686" s="124" t="s">
        <v>4932</v>
      </c>
      <c r="D686" s="127">
        <v>40936.0</v>
      </c>
      <c r="E686" s="124" t="s">
        <v>177</v>
      </c>
      <c r="F686" s="124">
        <v>5.62593313E9</v>
      </c>
      <c r="G686" s="124" t="s">
        <v>4933</v>
      </c>
      <c r="H686" s="124" t="s">
        <v>101</v>
      </c>
      <c r="I686" s="128"/>
      <c r="J686" s="124" t="s">
        <v>4934</v>
      </c>
      <c r="K686" s="124" t="s">
        <v>4935</v>
      </c>
      <c r="L686" s="124">
        <v>5.511330167E9</v>
      </c>
      <c r="M686" s="128"/>
      <c r="N686" s="128"/>
      <c r="O686" s="128"/>
      <c r="P686" s="129">
        <v>14.0</v>
      </c>
      <c r="Q686" s="130">
        <v>46040.59753472222</v>
      </c>
      <c r="R686" s="124" t="s">
        <v>107</v>
      </c>
      <c r="S686" s="124" t="s">
        <v>109</v>
      </c>
      <c r="T686" s="124" t="s">
        <v>192</v>
      </c>
      <c r="U686" s="124" t="s">
        <v>485</v>
      </c>
      <c r="V686" s="124" t="s">
        <v>486</v>
      </c>
      <c r="W686" s="124" t="s">
        <v>487</v>
      </c>
      <c r="X686" s="124" t="s">
        <v>120</v>
      </c>
      <c r="Y686" s="128"/>
      <c r="Z686" s="124" t="s">
        <v>120</v>
      </c>
      <c r="AA686" s="128"/>
      <c r="AB686" s="124" t="s">
        <v>120</v>
      </c>
      <c r="AC686" s="128"/>
      <c r="AD686" s="128"/>
      <c r="AE686" s="124" t="s">
        <v>120</v>
      </c>
      <c r="AF686" s="128"/>
      <c r="AG686" s="124" t="s">
        <v>120</v>
      </c>
      <c r="AH686" s="128"/>
      <c r="AI686" s="124" t="s">
        <v>120</v>
      </c>
      <c r="AJ686" s="128"/>
      <c r="AK686" s="128"/>
      <c r="AL686" s="124" t="s">
        <v>156</v>
      </c>
      <c r="AM686" s="124" t="s">
        <v>240</v>
      </c>
      <c r="AN686" s="124" t="s">
        <v>128</v>
      </c>
      <c r="AO686" s="124" t="s">
        <v>216</v>
      </c>
      <c r="AP686" s="124"/>
    </row>
    <row r="687">
      <c r="A687" s="124" t="s">
        <v>2560</v>
      </c>
      <c r="B687" s="124" t="s">
        <v>2561</v>
      </c>
      <c r="C687" s="124" t="s">
        <v>2562</v>
      </c>
      <c r="D687" s="127">
        <v>40418.0</v>
      </c>
      <c r="E687" s="124" t="s">
        <v>98</v>
      </c>
      <c r="F687" s="124">
        <v>5.536641243E9</v>
      </c>
      <c r="G687" s="124" t="s">
        <v>2563</v>
      </c>
      <c r="H687" s="124" t="s">
        <v>150</v>
      </c>
      <c r="I687" s="124" t="s">
        <v>1325</v>
      </c>
      <c r="J687" s="124" t="s">
        <v>2565</v>
      </c>
      <c r="K687" s="124" t="s">
        <v>2567</v>
      </c>
      <c r="L687" s="124">
        <v>5.532344415E9</v>
      </c>
      <c r="M687" s="124" t="s">
        <v>2569</v>
      </c>
      <c r="N687" s="124" t="s">
        <v>2571</v>
      </c>
      <c r="O687" s="124">
        <v>5.527534772E9</v>
      </c>
      <c r="P687" s="129">
        <v>15.0</v>
      </c>
      <c r="Q687" s="130">
        <v>46040.48479166667</v>
      </c>
      <c r="R687" s="124" t="s">
        <v>107</v>
      </c>
      <c r="S687" s="124" t="s">
        <v>109</v>
      </c>
      <c r="T687" s="124" t="s">
        <v>111</v>
      </c>
      <c r="U687" s="124" t="s">
        <v>398</v>
      </c>
      <c r="V687" s="124" t="s">
        <v>399</v>
      </c>
      <c r="W687" s="124" t="s">
        <v>400</v>
      </c>
      <c r="X687" s="124" t="s">
        <v>120</v>
      </c>
      <c r="Y687" s="128"/>
      <c r="Z687" s="124" t="s">
        <v>120</v>
      </c>
      <c r="AA687" s="128"/>
      <c r="AB687" s="124" t="s">
        <v>120</v>
      </c>
      <c r="AC687" s="128"/>
      <c r="AD687" s="128"/>
      <c r="AE687" s="124" t="s">
        <v>117</v>
      </c>
      <c r="AF687" s="124" t="s">
        <v>2584</v>
      </c>
      <c r="AG687" s="124" t="s">
        <v>120</v>
      </c>
      <c r="AH687" s="128"/>
      <c r="AI687" s="124" t="s">
        <v>120</v>
      </c>
      <c r="AJ687" s="128"/>
      <c r="AK687" s="128"/>
      <c r="AL687" s="124" t="s">
        <v>185</v>
      </c>
      <c r="AM687" s="124" t="s">
        <v>138</v>
      </c>
      <c r="AN687" s="124" t="s">
        <v>156</v>
      </c>
      <c r="AO687" s="124" t="s">
        <v>216</v>
      </c>
      <c r="AP687" s="124"/>
    </row>
    <row r="688">
      <c r="A688" s="124" t="s">
        <v>4936</v>
      </c>
      <c r="B688" s="124" t="s">
        <v>4937</v>
      </c>
      <c r="C688" s="124" t="s">
        <v>4938</v>
      </c>
      <c r="D688" s="127">
        <v>41268.0</v>
      </c>
      <c r="E688" s="124" t="s">
        <v>177</v>
      </c>
      <c r="F688" s="124">
        <v>5.616056793E9</v>
      </c>
      <c r="G688" s="124" t="s">
        <v>4939</v>
      </c>
      <c r="H688" s="124" t="s">
        <v>101</v>
      </c>
      <c r="I688" s="124" t="s">
        <v>4940</v>
      </c>
      <c r="J688" s="124" t="s">
        <v>4941</v>
      </c>
      <c r="K688" s="124" t="s">
        <v>4942</v>
      </c>
      <c r="L688" s="124">
        <v>5.642348508E9</v>
      </c>
      <c r="M688" s="124" t="s">
        <v>4943</v>
      </c>
      <c r="N688" s="124" t="s">
        <v>4939</v>
      </c>
      <c r="O688" s="124">
        <v>5.616056793E9</v>
      </c>
      <c r="P688" s="129">
        <v>13.0</v>
      </c>
      <c r="Q688" s="130">
        <v>46043.39387731482</v>
      </c>
      <c r="R688" s="124" t="s">
        <v>107</v>
      </c>
      <c r="S688" s="124" t="s">
        <v>109</v>
      </c>
      <c r="T688" s="124" t="s">
        <v>204</v>
      </c>
      <c r="U688" s="124" t="s">
        <v>357</v>
      </c>
      <c r="V688" s="124" t="s">
        <v>359</v>
      </c>
      <c r="W688" s="124" t="s">
        <v>362</v>
      </c>
      <c r="X688" s="124" t="s">
        <v>120</v>
      </c>
      <c r="Y688" s="128"/>
      <c r="Z688" s="124" t="s">
        <v>120</v>
      </c>
      <c r="AA688" s="128"/>
      <c r="AB688" s="124" t="s">
        <v>120</v>
      </c>
      <c r="AC688" s="128"/>
      <c r="AD688" s="128"/>
      <c r="AE688" s="124" t="s">
        <v>120</v>
      </c>
      <c r="AF688" s="128"/>
      <c r="AG688" s="124" t="s">
        <v>120</v>
      </c>
      <c r="AH688" s="128"/>
      <c r="AI688" s="124" t="s">
        <v>120</v>
      </c>
      <c r="AJ688" s="128"/>
      <c r="AK688" s="128"/>
      <c r="AL688" s="124" t="s">
        <v>185</v>
      </c>
      <c r="AM688" s="124" t="s">
        <v>129</v>
      </c>
      <c r="AN688" s="124" t="s">
        <v>216</v>
      </c>
      <c r="AO688" s="124" t="s">
        <v>128</v>
      </c>
      <c r="AP688" s="124"/>
    </row>
    <row r="689">
      <c r="A689" s="124" t="s">
        <v>4944</v>
      </c>
      <c r="B689" s="124" t="s">
        <v>4626</v>
      </c>
      <c r="C689" s="124" t="s">
        <v>4945</v>
      </c>
      <c r="D689" s="127">
        <v>40988.0</v>
      </c>
      <c r="E689" s="124" t="s">
        <v>177</v>
      </c>
      <c r="F689" s="124">
        <v>5.648621872E9</v>
      </c>
      <c r="G689" s="124" t="s">
        <v>4946</v>
      </c>
      <c r="H689" s="124" t="s">
        <v>382</v>
      </c>
      <c r="I689" s="128"/>
      <c r="J689" s="124" t="s">
        <v>4629</v>
      </c>
      <c r="K689" s="124" t="s">
        <v>4630</v>
      </c>
      <c r="L689" s="124">
        <v>5.566343985E9</v>
      </c>
      <c r="M689" s="124" t="s">
        <v>4631</v>
      </c>
      <c r="N689" s="124" t="s">
        <v>4632</v>
      </c>
      <c r="O689" s="124">
        <v>5.614541283E9</v>
      </c>
      <c r="P689" s="129">
        <v>13.0</v>
      </c>
      <c r="Q689" s="130">
        <v>46033.465636574074</v>
      </c>
      <c r="R689" s="124" t="s">
        <v>107</v>
      </c>
      <c r="S689" s="124" t="s">
        <v>109</v>
      </c>
      <c r="T689" s="124" t="s">
        <v>111</v>
      </c>
      <c r="U689" s="124" t="s">
        <v>1979</v>
      </c>
      <c r="V689" s="124" t="s">
        <v>1980</v>
      </c>
      <c r="W689" s="124" t="s">
        <v>1981</v>
      </c>
      <c r="X689" s="124" t="s">
        <v>120</v>
      </c>
      <c r="Y689" s="128"/>
      <c r="Z689" s="124" t="s">
        <v>120</v>
      </c>
      <c r="AA689" s="128"/>
      <c r="AB689" s="124" t="s">
        <v>120</v>
      </c>
      <c r="AC689" s="128"/>
      <c r="AD689" s="128"/>
      <c r="AE689" s="124" t="s">
        <v>120</v>
      </c>
      <c r="AF689" s="128"/>
      <c r="AG689" s="124" t="s">
        <v>120</v>
      </c>
      <c r="AH689" s="128"/>
      <c r="AI689" s="124" t="s">
        <v>120</v>
      </c>
      <c r="AJ689" s="128"/>
      <c r="AK689" s="128"/>
      <c r="AL689" s="124" t="s">
        <v>141</v>
      </c>
      <c r="AM689" s="124" t="s">
        <v>129</v>
      </c>
      <c r="AN689" s="124" t="s">
        <v>156</v>
      </c>
      <c r="AO689" s="124" t="s">
        <v>124</v>
      </c>
      <c r="AP689" s="124"/>
    </row>
    <row r="690">
      <c r="A690" s="124" t="s">
        <v>4947</v>
      </c>
      <c r="B690" s="124" t="s">
        <v>4948</v>
      </c>
      <c r="C690" s="124" t="s">
        <v>4949</v>
      </c>
      <c r="D690" s="127">
        <v>39531.0</v>
      </c>
      <c r="E690" s="124" t="s">
        <v>177</v>
      </c>
      <c r="F690" s="128" t="str">
        <f>+52 56 3468 0010</f>
        <v>#ERROR!</v>
      </c>
      <c r="G690" s="124" t="s">
        <v>4950</v>
      </c>
      <c r="H690" s="124" t="s">
        <v>150</v>
      </c>
      <c r="I690" s="128"/>
      <c r="J690" s="124" t="s">
        <v>4951</v>
      </c>
      <c r="K690" s="124" t="s">
        <v>4952</v>
      </c>
      <c r="L690" s="124">
        <v>5.5296628E9</v>
      </c>
      <c r="M690" s="124" t="s">
        <v>4953</v>
      </c>
      <c r="N690" s="124" t="s">
        <v>4954</v>
      </c>
      <c r="O690" s="124">
        <v>5.527116402E9</v>
      </c>
      <c r="P690" s="129">
        <v>17.0</v>
      </c>
      <c r="Q690" s="130">
        <v>46024.78296296296</v>
      </c>
      <c r="R690" s="124" t="s">
        <v>107</v>
      </c>
      <c r="S690" s="124" t="s">
        <v>109</v>
      </c>
      <c r="T690" s="124" t="s">
        <v>127</v>
      </c>
      <c r="U690" s="124" t="s">
        <v>672</v>
      </c>
      <c r="V690" s="124" t="s">
        <v>673</v>
      </c>
      <c r="W690" s="124" t="s">
        <v>674</v>
      </c>
      <c r="X690" s="124" t="s">
        <v>120</v>
      </c>
      <c r="Y690" s="128"/>
      <c r="Z690" s="124" t="s">
        <v>120</v>
      </c>
      <c r="AA690" s="128"/>
      <c r="AB690" s="124" t="s">
        <v>120</v>
      </c>
      <c r="AC690" s="124" t="s">
        <v>120</v>
      </c>
      <c r="AD690" s="128"/>
      <c r="AE690" s="124" t="s">
        <v>120</v>
      </c>
      <c r="AF690" s="128"/>
      <c r="AG690" s="124" t="s">
        <v>120</v>
      </c>
      <c r="AH690" s="128"/>
      <c r="AI690" s="124" t="s">
        <v>120</v>
      </c>
      <c r="AJ690" s="128"/>
      <c r="AK690" s="128"/>
      <c r="AL690" s="124" t="s">
        <v>156</v>
      </c>
      <c r="AM690" s="124" t="s">
        <v>240</v>
      </c>
      <c r="AN690" s="124" t="s">
        <v>129</v>
      </c>
      <c r="AO690" s="124" t="s">
        <v>128</v>
      </c>
      <c r="AP690" s="124"/>
    </row>
    <row r="691">
      <c r="A691" s="124" t="s">
        <v>4955</v>
      </c>
      <c r="B691" s="124" t="s">
        <v>4286</v>
      </c>
      <c r="C691" s="124" t="s">
        <v>4956</v>
      </c>
      <c r="D691" s="127">
        <v>40256.0</v>
      </c>
      <c r="E691" s="124" t="s">
        <v>98</v>
      </c>
      <c r="F691" s="124" t="s">
        <v>4288</v>
      </c>
      <c r="G691" s="124" t="s">
        <v>4289</v>
      </c>
      <c r="H691" s="124" t="s">
        <v>140</v>
      </c>
      <c r="I691" s="128"/>
      <c r="J691" s="124" t="s">
        <v>4291</v>
      </c>
      <c r="K691" s="124" t="s">
        <v>4289</v>
      </c>
      <c r="L691" s="124">
        <v>5.524335264E9</v>
      </c>
      <c r="M691" s="124" t="s">
        <v>4292</v>
      </c>
      <c r="N691" s="124" t="s">
        <v>4293</v>
      </c>
      <c r="O691" s="124">
        <v>5.514018369E9</v>
      </c>
      <c r="P691" s="129">
        <v>15.0</v>
      </c>
      <c r="Q691" s="130">
        <v>46034.54723379629</v>
      </c>
      <c r="R691" s="124" t="s">
        <v>107</v>
      </c>
      <c r="S691" s="124" t="s">
        <v>109</v>
      </c>
      <c r="T691" s="124" t="s">
        <v>204</v>
      </c>
      <c r="U691" s="124" t="s">
        <v>295</v>
      </c>
      <c r="V691" s="124" t="s">
        <v>298</v>
      </c>
      <c r="W691" s="124" t="s">
        <v>299</v>
      </c>
      <c r="X691" s="124" t="s">
        <v>120</v>
      </c>
      <c r="Y691" s="128"/>
      <c r="Z691" s="124" t="s">
        <v>120</v>
      </c>
      <c r="AA691" s="128"/>
      <c r="AB691" s="124" t="s">
        <v>120</v>
      </c>
      <c r="AC691" s="128"/>
      <c r="AD691" s="128"/>
      <c r="AE691" s="124" t="s">
        <v>120</v>
      </c>
      <c r="AF691" s="128"/>
      <c r="AG691" s="124" t="s">
        <v>120</v>
      </c>
      <c r="AH691" s="128"/>
      <c r="AI691" s="124" t="s">
        <v>120</v>
      </c>
      <c r="AJ691" s="128"/>
      <c r="AK691" s="128"/>
      <c r="AL691" s="124" t="s">
        <v>242</v>
      </c>
      <c r="AM691" s="124" t="s">
        <v>156</v>
      </c>
      <c r="AN691" s="124" t="s">
        <v>242</v>
      </c>
      <c r="AO691" s="124" t="s">
        <v>138</v>
      </c>
      <c r="AP691" s="124"/>
    </row>
    <row r="692">
      <c r="A692" s="124" t="s">
        <v>508</v>
      </c>
      <c r="B692" s="124" t="s">
        <v>509</v>
      </c>
      <c r="C692" s="124" t="s">
        <v>511</v>
      </c>
      <c r="D692" s="127">
        <v>39940.0</v>
      </c>
      <c r="E692" s="124" t="s">
        <v>177</v>
      </c>
      <c r="F692" s="124">
        <v>5.533345076E9</v>
      </c>
      <c r="G692" s="124" t="s">
        <v>515</v>
      </c>
      <c r="H692" s="124" t="s">
        <v>382</v>
      </c>
      <c r="I692" s="124" t="s">
        <v>518</v>
      </c>
      <c r="J692" s="124" t="s">
        <v>520</v>
      </c>
      <c r="K692" s="124" t="s">
        <v>522</v>
      </c>
      <c r="L692" s="124">
        <v>5.662527794E9</v>
      </c>
      <c r="M692" s="124" t="s">
        <v>523</v>
      </c>
      <c r="N692" s="124" t="s">
        <v>524</v>
      </c>
      <c r="O692" s="124">
        <v>5.61861044E9</v>
      </c>
      <c r="P692" s="129">
        <v>16.0</v>
      </c>
      <c r="Q692" s="130">
        <v>46025.05503472222</v>
      </c>
      <c r="R692" s="124" t="s">
        <v>107</v>
      </c>
      <c r="S692" s="124" t="s">
        <v>109</v>
      </c>
      <c r="T692" s="124" t="s">
        <v>127</v>
      </c>
      <c r="U692" s="124" t="s">
        <v>531</v>
      </c>
      <c r="V692" s="124" t="s">
        <v>532</v>
      </c>
      <c r="W692" s="124" t="s">
        <v>534</v>
      </c>
      <c r="X692" s="124" t="s">
        <v>117</v>
      </c>
      <c r="Y692" s="124" t="s">
        <v>538</v>
      </c>
      <c r="Z692" s="124" t="s">
        <v>117</v>
      </c>
      <c r="AA692" s="124" t="s">
        <v>4957</v>
      </c>
      <c r="AB692" s="124" t="s">
        <v>117</v>
      </c>
      <c r="AC692" s="124" t="s">
        <v>117</v>
      </c>
      <c r="AD692" s="124" t="s">
        <v>540</v>
      </c>
      <c r="AE692" s="124" t="s">
        <v>120</v>
      </c>
      <c r="AF692" s="128"/>
      <c r="AG692" s="124" t="s">
        <v>120</v>
      </c>
      <c r="AH692" s="128"/>
      <c r="AI692" s="124" t="s">
        <v>120</v>
      </c>
      <c r="AJ692" s="128"/>
      <c r="AK692" s="124" t="s">
        <v>135</v>
      </c>
      <c r="AL692" s="124" t="s">
        <v>141</v>
      </c>
      <c r="AM692" s="124" t="s">
        <v>185</v>
      </c>
      <c r="AN692" s="124" t="s">
        <v>124</v>
      </c>
      <c r="AO692" s="124" t="s">
        <v>138</v>
      </c>
      <c r="AP692" s="124"/>
    </row>
    <row r="693">
      <c r="A693" s="124" t="s">
        <v>2696</v>
      </c>
      <c r="B693" s="124" t="s">
        <v>4088</v>
      </c>
      <c r="C693" s="124" t="s">
        <v>4958</v>
      </c>
      <c r="D693" s="127">
        <v>39450.0</v>
      </c>
      <c r="E693" s="124" t="s">
        <v>98</v>
      </c>
      <c r="F693" s="124">
        <v>5.619608339E9</v>
      </c>
      <c r="G693" s="124" t="s">
        <v>4959</v>
      </c>
      <c r="H693" s="124" t="s">
        <v>101</v>
      </c>
      <c r="I693" s="124" t="s">
        <v>135</v>
      </c>
      <c r="J693" s="124" t="s">
        <v>4091</v>
      </c>
      <c r="K693" s="124" t="s">
        <v>4092</v>
      </c>
      <c r="L693" s="124">
        <v>5.585591381E9</v>
      </c>
      <c r="M693" s="128"/>
      <c r="N693" s="128"/>
      <c r="O693" s="128"/>
      <c r="P693" s="129">
        <v>18.0</v>
      </c>
      <c r="Q693" s="130">
        <v>46033.79822916666</v>
      </c>
      <c r="R693" s="124" t="s">
        <v>107</v>
      </c>
      <c r="S693" s="124" t="s">
        <v>109</v>
      </c>
      <c r="T693" s="124" t="s">
        <v>160</v>
      </c>
      <c r="U693" s="124" t="s">
        <v>279</v>
      </c>
      <c r="V693" s="124" t="s">
        <v>280</v>
      </c>
      <c r="W693" s="124" t="s">
        <v>282</v>
      </c>
      <c r="X693" s="124" t="s">
        <v>120</v>
      </c>
      <c r="Y693" s="128"/>
      <c r="Z693" s="124" t="s">
        <v>120</v>
      </c>
      <c r="AA693" s="128"/>
      <c r="AB693" s="124" t="s">
        <v>120</v>
      </c>
      <c r="AC693" s="124" t="s">
        <v>120</v>
      </c>
      <c r="AD693" s="128"/>
      <c r="AE693" s="124" t="s">
        <v>120</v>
      </c>
      <c r="AF693" s="128"/>
      <c r="AG693" s="124" t="s">
        <v>120</v>
      </c>
      <c r="AH693" s="128"/>
      <c r="AI693" s="124" t="s">
        <v>120</v>
      </c>
      <c r="AJ693" s="128"/>
      <c r="AK693" s="124" t="s">
        <v>4960</v>
      </c>
      <c r="AL693" s="124" t="s">
        <v>128</v>
      </c>
      <c r="AM693" s="124" t="s">
        <v>141</v>
      </c>
      <c r="AN693" s="124" t="s">
        <v>138</v>
      </c>
      <c r="AO693" s="124" t="s">
        <v>156</v>
      </c>
      <c r="AP693" s="124"/>
    </row>
    <row r="694">
      <c r="A694" s="124" t="s">
        <v>4961</v>
      </c>
      <c r="B694" s="124" t="s">
        <v>1060</v>
      </c>
      <c r="C694" s="124" t="s">
        <v>4962</v>
      </c>
      <c r="D694" s="127">
        <v>40918.0</v>
      </c>
      <c r="E694" s="124" t="s">
        <v>98</v>
      </c>
      <c r="F694" s="124">
        <v>5.522447508E9</v>
      </c>
      <c r="G694" s="124" t="s">
        <v>4963</v>
      </c>
      <c r="H694" s="124" t="s">
        <v>150</v>
      </c>
      <c r="I694" s="128"/>
      <c r="J694" s="124" t="s">
        <v>4964</v>
      </c>
      <c r="K694" s="124" t="s">
        <v>4963</v>
      </c>
      <c r="L694" s="124">
        <v>5.522447508E9</v>
      </c>
      <c r="M694" s="128"/>
      <c r="N694" s="128"/>
      <c r="O694" s="128"/>
      <c r="P694" s="129">
        <v>14.0</v>
      </c>
      <c r="Q694" s="130">
        <v>46036.80537037037</v>
      </c>
      <c r="R694" s="124" t="s">
        <v>107</v>
      </c>
      <c r="S694" s="124" t="s">
        <v>109</v>
      </c>
      <c r="T694" s="124" t="s">
        <v>171</v>
      </c>
      <c r="U694" s="124" t="s">
        <v>2149</v>
      </c>
      <c r="V694" s="124" t="s">
        <v>2141</v>
      </c>
      <c r="W694" s="124" t="s">
        <v>2151</v>
      </c>
      <c r="X694" s="124" t="s">
        <v>120</v>
      </c>
      <c r="Y694" s="128"/>
      <c r="Z694" s="124" t="s">
        <v>120</v>
      </c>
      <c r="AA694" s="128"/>
      <c r="AB694" s="124" t="s">
        <v>120</v>
      </c>
      <c r="AC694" s="124" t="s">
        <v>120</v>
      </c>
      <c r="AD694" s="128"/>
      <c r="AE694" s="124" t="s">
        <v>120</v>
      </c>
      <c r="AF694" s="128"/>
      <c r="AG694" s="124" t="s">
        <v>120</v>
      </c>
      <c r="AH694" s="128"/>
      <c r="AI694" s="124" t="s">
        <v>120</v>
      </c>
      <c r="AJ694" s="128"/>
      <c r="AK694" s="128"/>
      <c r="AL694" s="124" t="s">
        <v>138</v>
      </c>
      <c r="AM694" s="124" t="s">
        <v>156</v>
      </c>
      <c r="AN694" s="124" t="s">
        <v>185</v>
      </c>
      <c r="AO694" s="124" t="s">
        <v>124</v>
      </c>
      <c r="AP694" s="124"/>
    </row>
    <row r="695">
      <c r="A695" s="124" t="s">
        <v>4965</v>
      </c>
      <c r="B695" s="124" t="s">
        <v>3719</v>
      </c>
      <c r="C695" s="124" t="s">
        <v>4966</v>
      </c>
      <c r="D695" s="127">
        <v>39956.0</v>
      </c>
      <c r="E695" s="124" t="s">
        <v>177</v>
      </c>
      <c r="F695" s="124">
        <v>5.630855096E9</v>
      </c>
      <c r="G695" s="124" t="s">
        <v>4967</v>
      </c>
      <c r="H695" s="124" t="s">
        <v>101</v>
      </c>
      <c r="I695" s="128"/>
      <c r="J695" s="124" t="s">
        <v>3722</v>
      </c>
      <c r="K695" s="124" t="s">
        <v>3723</v>
      </c>
      <c r="L695" s="124">
        <v>5.621157172E9</v>
      </c>
      <c r="M695" s="124" t="s">
        <v>3724</v>
      </c>
      <c r="N695" s="124" t="s">
        <v>3725</v>
      </c>
      <c r="O695" s="124">
        <v>5.585792169E9</v>
      </c>
      <c r="P695" s="129">
        <v>16.0</v>
      </c>
      <c r="Q695" s="130">
        <v>46033.385462962964</v>
      </c>
      <c r="R695" s="124" t="s">
        <v>107</v>
      </c>
      <c r="S695" s="124" t="s">
        <v>109</v>
      </c>
      <c r="T695" s="124" t="s">
        <v>192</v>
      </c>
      <c r="U695" s="124" t="s">
        <v>485</v>
      </c>
      <c r="V695" s="124" t="s">
        <v>486</v>
      </c>
      <c r="W695" s="124" t="s">
        <v>487</v>
      </c>
      <c r="X695" s="124" t="s">
        <v>120</v>
      </c>
      <c r="Y695" s="128"/>
      <c r="Z695" s="124" t="s">
        <v>120</v>
      </c>
      <c r="AA695" s="128"/>
      <c r="AB695" s="124" t="s">
        <v>120</v>
      </c>
      <c r="AC695" s="128"/>
      <c r="AD695" s="128"/>
      <c r="AE695" s="124" t="s">
        <v>120</v>
      </c>
      <c r="AF695" s="128"/>
      <c r="AG695" s="124" t="s">
        <v>120</v>
      </c>
      <c r="AH695" s="128"/>
      <c r="AI695" s="124" t="s">
        <v>120</v>
      </c>
      <c r="AJ695" s="128"/>
      <c r="AK695" s="128"/>
      <c r="AL695" s="124" t="s">
        <v>141</v>
      </c>
      <c r="AM695" s="124" t="s">
        <v>138</v>
      </c>
      <c r="AN695" s="124" t="s">
        <v>216</v>
      </c>
      <c r="AO695" s="124" t="s">
        <v>156</v>
      </c>
      <c r="AP695" s="124"/>
    </row>
    <row r="696">
      <c r="A696" s="124" t="s">
        <v>4968</v>
      </c>
      <c r="B696" s="124" t="s">
        <v>4021</v>
      </c>
      <c r="C696" s="124" t="s">
        <v>4969</v>
      </c>
      <c r="D696" s="127">
        <v>39874.0</v>
      </c>
      <c r="E696" s="124" t="s">
        <v>177</v>
      </c>
      <c r="F696" s="124">
        <v>5.518505018E9</v>
      </c>
      <c r="G696" s="124" t="s">
        <v>4970</v>
      </c>
      <c r="H696" s="124" t="s">
        <v>101</v>
      </c>
      <c r="I696" s="128"/>
      <c r="J696" s="124" t="s">
        <v>4025</v>
      </c>
      <c r="K696" s="124" t="s">
        <v>4026</v>
      </c>
      <c r="L696" s="124">
        <v>5.518505018E9</v>
      </c>
      <c r="M696" s="128"/>
      <c r="N696" s="128"/>
      <c r="O696" s="128"/>
      <c r="P696" s="129">
        <v>17.0</v>
      </c>
      <c r="Q696" s="130">
        <v>46040.95197916667</v>
      </c>
      <c r="R696" s="124" t="s">
        <v>107</v>
      </c>
      <c r="S696" s="124" t="s">
        <v>109</v>
      </c>
      <c r="T696" s="124" t="s">
        <v>192</v>
      </c>
      <c r="U696" s="124" t="s">
        <v>749</v>
      </c>
      <c r="V696" s="124" t="s">
        <v>750</v>
      </c>
      <c r="W696" s="124" t="s">
        <v>751</v>
      </c>
      <c r="X696" s="124" t="s">
        <v>120</v>
      </c>
      <c r="Y696" s="128"/>
      <c r="Z696" s="124" t="s">
        <v>120</v>
      </c>
      <c r="AA696" s="128"/>
      <c r="AB696" s="124" t="s">
        <v>120</v>
      </c>
      <c r="AC696" s="124" t="s">
        <v>120</v>
      </c>
      <c r="AD696" s="128"/>
      <c r="AE696" s="124" t="s">
        <v>120</v>
      </c>
      <c r="AF696" s="128"/>
      <c r="AG696" s="124" t="s">
        <v>120</v>
      </c>
      <c r="AH696" s="128"/>
      <c r="AI696" s="124" t="s">
        <v>120</v>
      </c>
      <c r="AJ696" s="128"/>
      <c r="AK696" s="128"/>
      <c r="AL696" s="124" t="s">
        <v>128</v>
      </c>
      <c r="AM696" s="124" t="s">
        <v>129</v>
      </c>
      <c r="AN696" s="124" t="s">
        <v>124</v>
      </c>
      <c r="AO696" s="124" t="s">
        <v>141</v>
      </c>
      <c r="AP696" s="124"/>
    </row>
    <row r="697">
      <c r="A697" s="124" t="s">
        <v>890</v>
      </c>
      <c r="B697" s="124" t="s">
        <v>891</v>
      </c>
      <c r="C697" s="124" t="s">
        <v>892</v>
      </c>
      <c r="D697" s="127">
        <v>37876.0</v>
      </c>
      <c r="E697" s="124" t="s">
        <v>98</v>
      </c>
      <c r="F697" s="124">
        <v>5.582241852E9</v>
      </c>
      <c r="G697" s="124" t="s">
        <v>894</v>
      </c>
      <c r="H697" s="124" t="s">
        <v>101</v>
      </c>
      <c r="I697" s="124" t="s">
        <v>896</v>
      </c>
      <c r="J697" s="124" t="s">
        <v>897</v>
      </c>
      <c r="K697" s="124" t="s">
        <v>898</v>
      </c>
      <c r="L697" s="124">
        <v>5.628280987E9</v>
      </c>
      <c r="M697" s="128"/>
      <c r="N697" s="128"/>
      <c r="O697" s="128"/>
      <c r="P697" s="129">
        <v>22.0</v>
      </c>
      <c r="Q697" s="130">
        <v>46024.77825231481</v>
      </c>
      <c r="R697" s="124" t="s">
        <v>107</v>
      </c>
      <c r="S697" s="124" t="s">
        <v>125</v>
      </c>
      <c r="T697" s="124" t="s">
        <v>127</v>
      </c>
      <c r="U697" s="124" t="s">
        <v>672</v>
      </c>
      <c r="V697" s="124" t="s">
        <v>673</v>
      </c>
      <c r="W697" s="124" t="s">
        <v>674</v>
      </c>
      <c r="X697" s="124" t="s">
        <v>120</v>
      </c>
      <c r="Y697" s="128"/>
      <c r="Z697" s="124" t="s">
        <v>117</v>
      </c>
      <c r="AA697" s="124" t="s">
        <v>901</v>
      </c>
      <c r="AB697" s="124" t="s">
        <v>117</v>
      </c>
      <c r="AC697" s="124" t="s">
        <v>117</v>
      </c>
      <c r="AD697" s="128"/>
      <c r="AE697" s="124" t="s">
        <v>120</v>
      </c>
      <c r="AF697" s="128"/>
      <c r="AG697" s="124" t="s">
        <v>120</v>
      </c>
      <c r="AH697" s="128"/>
      <c r="AI697" s="124" t="s">
        <v>120</v>
      </c>
      <c r="AJ697" s="128"/>
      <c r="AK697" s="128"/>
      <c r="AL697" s="124" t="s">
        <v>156</v>
      </c>
      <c r="AM697" s="124" t="s">
        <v>124</v>
      </c>
      <c r="AN697" s="124" t="s">
        <v>138</v>
      </c>
      <c r="AO697" s="124" t="s">
        <v>240</v>
      </c>
      <c r="AP697" s="124"/>
    </row>
    <row r="698">
      <c r="A698" s="124" t="s">
        <v>2810</v>
      </c>
      <c r="B698" s="124" t="s">
        <v>3374</v>
      </c>
      <c r="C698" s="124" t="s">
        <v>3375</v>
      </c>
      <c r="D698" s="127">
        <v>36609.0</v>
      </c>
      <c r="E698" s="124" t="s">
        <v>177</v>
      </c>
      <c r="F698" s="124">
        <v>5.569692927E9</v>
      </c>
      <c r="G698" s="124" t="s">
        <v>3376</v>
      </c>
      <c r="H698" s="124" t="s">
        <v>150</v>
      </c>
      <c r="I698" s="128"/>
      <c r="J698" s="124" t="s">
        <v>3378</v>
      </c>
      <c r="K698" s="124" t="s">
        <v>3376</v>
      </c>
      <c r="L698" s="124">
        <v>5.569692927E9</v>
      </c>
      <c r="M698" s="128"/>
      <c r="N698" s="128"/>
      <c r="O698" s="128"/>
      <c r="P698" s="129">
        <v>25.0</v>
      </c>
      <c r="Q698" s="130">
        <v>45998.91142361111</v>
      </c>
      <c r="R698" s="124" t="s">
        <v>107</v>
      </c>
      <c r="S698" s="124" t="s">
        <v>125</v>
      </c>
      <c r="T698" s="124" t="s">
        <v>2309</v>
      </c>
      <c r="U698" s="124" t="s">
        <v>3391</v>
      </c>
      <c r="V698" s="124" t="s">
        <v>3392</v>
      </c>
      <c r="W698" s="124" t="s">
        <v>3393</v>
      </c>
      <c r="X698" s="124" t="s">
        <v>120</v>
      </c>
      <c r="Y698" s="124" t="s">
        <v>2397</v>
      </c>
      <c r="Z698" s="124" t="s">
        <v>120</v>
      </c>
      <c r="AA698" s="124" t="s">
        <v>2397</v>
      </c>
      <c r="AB698" s="124" t="s">
        <v>120</v>
      </c>
      <c r="AC698" s="124" t="s">
        <v>120</v>
      </c>
      <c r="AD698" s="124" t="s">
        <v>2397</v>
      </c>
      <c r="AE698" s="124" t="s">
        <v>120</v>
      </c>
      <c r="AF698" s="124" t="s">
        <v>2397</v>
      </c>
      <c r="AG698" s="124" t="s">
        <v>120</v>
      </c>
      <c r="AH698" s="124" t="s">
        <v>2397</v>
      </c>
      <c r="AI698" s="124" t="s">
        <v>120</v>
      </c>
      <c r="AJ698" s="124" t="s">
        <v>2397</v>
      </c>
      <c r="AK698" s="124" t="s">
        <v>2397</v>
      </c>
      <c r="AL698" s="124" t="s">
        <v>129</v>
      </c>
      <c r="AM698" s="124" t="s">
        <v>138</v>
      </c>
      <c r="AN698" s="124" t="s">
        <v>156</v>
      </c>
      <c r="AO698" s="124" t="s">
        <v>124</v>
      </c>
      <c r="AP698" s="124"/>
    </row>
    <row r="699">
      <c r="A699" s="124" t="s">
        <v>902</v>
      </c>
      <c r="B699" s="124" t="s">
        <v>903</v>
      </c>
      <c r="C699" s="124" t="s">
        <v>904</v>
      </c>
      <c r="D699" s="127">
        <v>33983.0</v>
      </c>
      <c r="E699" s="124" t="s">
        <v>177</v>
      </c>
      <c r="F699" s="124">
        <v>5.520846165E9</v>
      </c>
      <c r="G699" s="124" t="s">
        <v>908</v>
      </c>
      <c r="H699" s="124" t="s">
        <v>140</v>
      </c>
      <c r="I699" s="124" t="s">
        <v>909</v>
      </c>
      <c r="J699" s="124" t="s">
        <v>910</v>
      </c>
      <c r="K699" s="124" t="s">
        <v>912</v>
      </c>
      <c r="L699" s="124">
        <v>5.574702664E9</v>
      </c>
      <c r="M699" s="128"/>
      <c r="N699" s="128"/>
      <c r="O699" s="128"/>
      <c r="P699" s="129">
        <v>33.0</v>
      </c>
      <c r="Q699" s="130">
        <v>46025.92459490741</v>
      </c>
      <c r="R699" s="124" t="s">
        <v>107</v>
      </c>
      <c r="S699" s="124" t="s">
        <v>125</v>
      </c>
      <c r="T699" s="124" t="s">
        <v>111</v>
      </c>
      <c r="U699" s="124" t="s">
        <v>657</v>
      </c>
      <c r="V699" s="124" t="s">
        <v>659</v>
      </c>
      <c r="W699" s="124" t="s">
        <v>662</v>
      </c>
      <c r="X699" s="124" t="s">
        <v>120</v>
      </c>
      <c r="Y699" s="128"/>
      <c r="Z699" s="124" t="s">
        <v>117</v>
      </c>
      <c r="AA699" s="124" t="s">
        <v>917</v>
      </c>
      <c r="AB699" s="124" t="s">
        <v>120</v>
      </c>
      <c r="AC699" s="128"/>
      <c r="AD699" s="128"/>
      <c r="AE699" s="124" t="s">
        <v>120</v>
      </c>
      <c r="AF699" s="128"/>
      <c r="AG699" s="124" t="s">
        <v>120</v>
      </c>
      <c r="AH699" s="128"/>
      <c r="AI699" s="124" t="s">
        <v>120</v>
      </c>
      <c r="AJ699" s="128"/>
      <c r="AK699" s="128"/>
      <c r="AL699" s="124" t="s">
        <v>156</v>
      </c>
      <c r="AM699" s="124" t="s">
        <v>240</v>
      </c>
      <c r="AN699" s="124" t="s">
        <v>126</v>
      </c>
      <c r="AO699" s="124" t="s">
        <v>242</v>
      </c>
      <c r="AP699" s="124"/>
    </row>
    <row r="700">
      <c r="A700" s="124" t="s">
        <v>4971</v>
      </c>
      <c r="B700" s="124" t="s">
        <v>4972</v>
      </c>
      <c r="C700" s="124" t="s">
        <v>4973</v>
      </c>
      <c r="D700" s="127">
        <v>40233.0</v>
      </c>
      <c r="E700" s="124" t="s">
        <v>98</v>
      </c>
      <c r="F700" s="124">
        <v>5.535331335E9</v>
      </c>
      <c r="G700" s="124" t="s">
        <v>4974</v>
      </c>
      <c r="H700" s="124" t="s">
        <v>101</v>
      </c>
      <c r="I700" s="128"/>
      <c r="J700" s="124" t="s">
        <v>3670</v>
      </c>
      <c r="K700" s="124" t="s">
        <v>1600</v>
      </c>
      <c r="L700" s="124">
        <v>5.535331335E9</v>
      </c>
      <c r="M700" s="128"/>
      <c r="N700" s="128"/>
      <c r="O700" s="128"/>
      <c r="P700" s="129">
        <v>16.0</v>
      </c>
      <c r="Q700" s="130">
        <v>46039.90416666667</v>
      </c>
      <c r="R700" s="124" t="s">
        <v>107</v>
      </c>
      <c r="S700" s="124" t="s">
        <v>109</v>
      </c>
      <c r="T700" s="124" t="s">
        <v>208</v>
      </c>
      <c r="U700" s="124" t="s">
        <v>1599</v>
      </c>
      <c r="V700" s="124" t="s">
        <v>1600</v>
      </c>
      <c r="W700" s="124" t="s">
        <v>1602</v>
      </c>
      <c r="X700" s="124" t="s">
        <v>120</v>
      </c>
      <c r="Y700" s="128"/>
      <c r="Z700" s="124" t="s">
        <v>120</v>
      </c>
      <c r="AA700" s="128"/>
      <c r="AB700" s="124" t="s">
        <v>120</v>
      </c>
      <c r="AC700" s="124" t="s">
        <v>120</v>
      </c>
      <c r="AD700" s="128"/>
      <c r="AE700" s="124" t="s">
        <v>120</v>
      </c>
      <c r="AF700" s="128"/>
      <c r="AG700" s="124" t="s">
        <v>120</v>
      </c>
      <c r="AH700" s="128"/>
      <c r="AI700" s="124" t="s">
        <v>120</v>
      </c>
      <c r="AJ700" s="128"/>
      <c r="AK700" s="128"/>
      <c r="AL700" s="124" t="s">
        <v>240</v>
      </c>
      <c r="AM700" s="124" t="s">
        <v>138</v>
      </c>
      <c r="AN700" s="124" t="s">
        <v>242</v>
      </c>
      <c r="AO700" s="124" t="s">
        <v>129</v>
      </c>
      <c r="AP700" s="124"/>
    </row>
    <row r="701">
      <c r="A701" s="124" t="s">
        <v>1836</v>
      </c>
      <c r="B701" s="124" t="s">
        <v>1837</v>
      </c>
      <c r="C701" s="124" t="s">
        <v>1839</v>
      </c>
      <c r="D701" s="127">
        <v>39570.0</v>
      </c>
      <c r="E701" s="124" t="s">
        <v>177</v>
      </c>
      <c r="F701" s="124">
        <v>5.656256913E9</v>
      </c>
      <c r="G701" s="124" t="s">
        <v>1842</v>
      </c>
      <c r="H701" s="124" t="s">
        <v>382</v>
      </c>
      <c r="I701" s="124" t="s">
        <v>1843</v>
      </c>
      <c r="J701" s="124" t="s">
        <v>1844</v>
      </c>
      <c r="K701" s="124" t="s">
        <v>1845</v>
      </c>
      <c r="L701" s="124">
        <v>5.546512579E9</v>
      </c>
      <c r="M701" s="128"/>
      <c r="N701" s="128"/>
      <c r="O701" s="128"/>
      <c r="P701" s="129">
        <v>17.0</v>
      </c>
      <c r="Q701" s="130">
        <v>46031.7859837963</v>
      </c>
      <c r="R701" s="124" t="s">
        <v>107</v>
      </c>
      <c r="S701" s="124" t="s">
        <v>109</v>
      </c>
      <c r="T701" s="124" t="s">
        <v>127</v>
      </c>
      <c r="U701" s="124" t="s">
        <v>234</v>
      </c>
      <c r="V701" s="124" t="s">
        <v>227</v>
      </c>
      <c r="W701" s="124" t="s">
        <v>236</v>
      </c>
      <c r="X701" s="124" t="s">
        <v>120</v>
      </c>
      <c r="Y701" s="128"/>
      <c r="Z701" s="124" t="s">
        <v>120</v>
      </c>
      <c r="AA701" s="128"/>
      <c r="AB701" s="124" t="s">
        <v>120</v>
      </c>
      <c r="AC701" s="128"/>
      <c r="AD701" s="128"/>
      <c r="AE701" s="124" t="s">
        <v>120</v>
      </c>
      <c r="AF701" s="128"/>
      <c r="AG701" s="124" t="s">
        <v>120</v>
      </c>
      <c r="AH701" s="128"/>
      <c r="AI701" s="124" t="s">
        <v>120</v>
      </c>
      <c r="AJ701" s="128"/>
      <c r="AK701" s="128"/>
      <c r="AL701" s="124" t="s">
        <v>185</v>
      </c>
      <c r="AM701" s="124" t="s">
        <v>124</v>
      </c>
      <c r="AN701" s="124" t="s">
        <v>126</v>
      </c>
      <c r="AO701" s="124" t="s">
        <v>126</v>
      </c>
      <c r="AP701" s="124"/>
    </row>
    <row r="702">
      <c r="A702" s="124" t="s">
        <v>4975</v>
      </c>
      <c r="B702" s="124" t="s">
        <v>4976</v>
      </c>
      <c r="C702" s="124" t="s">
        <v>4977</v>
      </c>
      <c r="D702" s="127">
        <v>40407.0</v>
      </c>
      <c r="E702" s="124" t="s">
        <v>98</v>
      </c>
      <c r="F702" s="124" t="s">
        <v>4978</v>
      </c>
      <c r="G702" s="124" t="s">
        <v>4979</v>
      </c>
      <c r="H702" s="124" t="s">
        <v>140</v>
      </c>
      <c r="I702" s="128"/>
      <c r="J702" s="124" t="s">
        <v>4980</v>
      </c>
      <c r="K702" s="124" t="s">
        <v>4981</v>
      </c>
      <c r="L702" s="124" t="s">
        <v>4982</v>
      </c>
      <c r="M702" s="124" t="s">
        <v>4983</v>
      </c>
      <c r="N702" s="124" t="s">
        <v>4984</v>
      </c>
      <c r="O702" s="124" t="s">
        <v>4985</v>
      </c>
      <c r="P702" s="129">
        <v>15.0</v>
      </c>
      <c r="Q702" s="130">
        <v>46040.62206018518</v>
      </c>
      <c r="R702" s="124" t="s">
        <v>107</v>
      </c>
      <c r="S702" s="124" t="s">
        <v>109</v>
      </c>
      <c r="T702" s="124" t="s">
        <v>171</v>
      </c>
      <c r="U702" s="124" t="s">
        <v>444</v>
      </c>
      <c r="V702" s="124" t="s">
        <v>445</v>
      </c>
      <c r="W702" s="124" t="s">
        <v>446</v>
      </c>
      <c r="X702" s="124" t="s">
        <v>120</v>
      </c>
      <c r="Y702" s="128"/>
      <c r="Z702" s="124" t="s">
        <v>120</v>
      </c>
      <c r="AA702" s="128"/>
      <c r="AB702" s="124" t="s">
        <v>120</v>
      </c>
      <c r="AC702" s="128"/>
      <c r="AD702" s="128"/>
      <c r="AE702" s="124" t="s">
        <v>120</v>
      </c>
      <c r="AF702" s="128"/>
      <c r="AG702" s="124" t="s">
        <v>120</v>
      </c>
      <c r="AH702" s="128"/>
      <c r="AI702" s="124" t="s">
        <v>120</v>
      </c>
      <c r="AJ702" s="128"/>
      <c r="AK702" s="128"/>
      <c r="AL702" s="124" t="s">
        <v>156</v>
      </c>
      <c r="AM702" s="124" t="s">
        <v>216</v>
      </c>
      <c r="AN702" s="124" t="s">
        <v>124</v>
      </c>
      <c r="AO702" s="124" t="s">
        <v>242</v>
      </c>
      <c r="AP702" s="124"/>
    </row>
    <row r="703">
      <c r="A703" s="124" t="s">
        <v>4986</v>
      </c>
      <c r="B703" s="124" t="s">
        <v>2124</v>
      </c>
      <c r="C703" s="124" t="s">
        <v>4987</v>
      </c>
      <c r="D703" s="127">
        <v>39684.0</v>
      </c>
      <c r="E703" s="124" t="s">
        <v>98</v>
      </c>
      <c r="F703" s="124">
        <v>5.57460804E9</v>
      </c>
      <c r="G703" s="124" t="s">
        <v>4988</v>
      </c>
      <c r="H703" s="124" t="s">
        <v>140</v>
      </c>
      <c r="I703" s="128"/>
      <c r="J703" s="124" t="s">
        <v>2128</v>
      </c>
      <c r="K703" s="124" t="s">
        <v>2129</v>
      </c>
      <c r="L703" s="124">
        <v>5.520727404E9</v>
      </c>
      <c r="M703" s="128"/>
      <c r="N703" s="128"/>
      <c r="O703" s="128"/>
      <c r="P703" s="129">
        <v>17.0</v>
      </c>
      <c r="Q703" s="130">
        <v>46026.560740740744</v>
      </c>
      <c r="R703" s="124" t="s">
        <v>107</v>
      </c>
      <c r="S703" s="124" t="s">
        <v>109</v>
      </c>
      <c r="T703" s="124" t="s">
        <v>192</v>
      </c>
      <c r="U703" s="124" t="s">
        <v>749</v>
      </c>
      <c r="V703" s="124" t="s">
        <v>750</v>
      </c>
      <c r="W703" s="124" t="s">
        <v>751</v>
      </c>
      <c r="X703" s="124" t="s">
        <v>120</v>
      </c>
      <c r="Y703" s="128"/>
      <c r="Z703" s="124" t="s">
        <v>117</v>
      </c>
      <c r="AA703" s="124" t="s">
        <v>2136</v>
      </c>
      <c r="AB703" s="124" t="s">
        <v>120</v>
      </c>
      <c r="AC703" s="124" t="s">
        <v>120</v>
      </c>
      <c r="AD703" s="128"/>
      <c r="AE703" s="124" t="s">
        <v>120</v>
      </c>
      <c r="AF703" s="128"/>
      <c r="AG703" s="124" t="s">
        <v>120</v>
      </c>
      <c r="AH703" s="128"/>
      <c r="AI703" s="124" t="s">
        <v>120</v>
      </c>
      <c r="AJ703" s="128"/>
      <c r="AK703" s="128"/>
      <c r="AL703" s="124" t="s">
        <v>185</v>
      </c>
      <c r="AM703" s="124" t="s">
        <v>124</v>
      </c>
      <c r="AN703" s="124" t="s">
        <v>156</v>
      </c>
      <c r="AO703" s="124" t="s">
        <v>216</v>
      </c>
      <c r="AP703" s="124"/>
    </row>
    <row r="704">
      <c r="A704" s="124" t="s">
        <v>918</v>
      </c>
      <c r="B704" s="124" t="s">
        <v>921</v>
      </c>
      <c r="C704" s="124" t="s">
        <v>922</v>
      </c>
      <c r="D704" s="127">
        <v>35789.0</v>
      </c>
      <c r="E704" s="124" t="s">
        <v>98</v>
      </c>
      <c r="F704" s="124" t="s">
        <v>924</v>
      </c>
      <c r="G704" s="124" t="s">
        <v>926</v>
      </c>
      <c r="H704" s="124" t="s">
        <v>101</v>
      </c>
      <c r="I704" s="124" t="s">
        <v>927</v>
      </c>
      <c r="J704" s="124" t="s">
        <v>929</v>
      </c>
      <c r="K704" s="124" t="s">
        <v>930</v>
      </c>
      <c r="L704" s="124" t="s">
        <v>931</v>
      </c>
      <c r="M704" s="124" t="s">
        <v>932</v>
      </c>
      <c r="N704" s="124" t="s">
        <v>933</v>
      </c>
      <c r="O704" s="124">
        <v>5.5193217E9</v>
      </c>
      <c r="P704" s="129">
        <v>28.0</v>
      </c>
      <c r="Q704" s="130">
        <v>45970.35019675926</v>
      </c>
      <c r="R704" s="124" t="s">
        <v>107</v>
      </c>
      <c r="S704" s="124" t="s">
        <v>125</v>
      </c>
      <c r="T704" s="124" t="s">
        <v>192</v>
      </c>
      <c r="U704" s="124" t="s">
        <v>485</v>
      </c>
      <c r="V704" s="124" t="s">
        <v>486</v>
      </c>
      <c r="W704" s="124" t="s">
        <v>487</v>
      </c>
      <c r="X704" s="124" t="s">
        <v>120</v>
      </c>
      <c r="Y704" s="128"/>
      <c r="Z704" s="124" t="s">
        <v>120</v>
      </c>
      <c r="AA704" s="128"/>
      <c r="AB704" s="124" t="s">
        <v>120</v>
      </c>
      <c r="AC704" s="128"/>
      <c r="AD704" s="128"/>
      <c r="AE704" s="124" t="s">
        <v>120</v>
      </c>
      <c r="AF704" s="128"/>
      <c r="AG704" s="124" t="s">
        <v>120</v>
      </c>
      <c r="AH704" s="128"/>
      <c r="AI704" s="124" t="s">
        <v>120</v>
      </c>
      <c r="AJ704" s="128"/>
      <c r="AK704" s="128"/>
      <c r="AL704" s="124" t="s">
        <v>156</v>
      </c>
      <c r="AM704" s="124" t="s">
        <v>126</v>
      </c>
      <c r="AN704" s="124" t="s">
        <v>138</v>
      </c>
      <c r="AO704" s="124" t="s">
        <v>185</v>
      </c>
      <c r="AP704" s="124"/>
    </row>
    <row r="705">
      <c r="A705" s="124" t="s">
        <v>4989</v>
      </c>
      <c r="B705" s="124" t="s">
        <v>4990</v>
      </c>
      <c r="C705" s="124" t="s">
        <v>4991</v>
      </c>
      <c r="D705" s="127">
        <v>40695.0</v>
      </c>
      <c r="E705" s="124" t="s">
        <v>98</v>
      </c>
      <c r="F705" s="124">
        <v>5.539179787E9</v>
      </c>
      <c r="G705" s="124" t="s">
        <v>4992</v>
      </c>
      <c r="H705" s="124" t="s">
        <v>140</v>
      </c>
      <c r="I705" s="128"/>
      <c r="J705" s="124" t="s">
        <v>4993</v>
      </c>
      <c r="K705" s="124" t="s">
        <v>4992</v>
      </c>
      <c r="L705" s="124">
        <v>5.539179787E9</v>
      </c>
      <c r="M705" s="128"/>
      <c r="N705" s="128"/>
      <c r="O705" s="128"/>
      <c r="P705" s="129">
        <v>14.0</v>
      </c>
      <c r="Q705" s="130">
        <v>46019.74518518519</v>
      </c>
      <c r="R705" s="124" t="s">
        <v>107</v>
      </c>
      <c r="S705" s="124" t="s">
        <v>109</v>
      </c>
      <c r="T705" s="124" t="s">
        <v>127</v>
      </c>
      <c r="U705" s="124" t="s">
        <v>531</v>
      </c>
      <c r="V705" s="124" t="s">
        <v>532</v>
      </c>
      <c r="W705" s="124" t="s">
        <v>534</v>
      </c>
      <c r="X705" s="124" t="s">
        <v>120</v>
      </c>
      <c r="Y705" s="128"/>
      <c r="Z705" s="124" t="s">
        <v>120</v>
      </c>
      <c r="AA705" s="128"/>
      <c r="AB705" s="124" t="s">
        <v>120</v>
      </c>
      <c r="AC705" s="124" t="s">
        <v>120</v>
      </c>
      <c r="AD705" s="128"/>
      <c r="AE705" s="124" t="s">
        <v>120</v>
      </c>
      <c r="AF705" s="128"/>
      <c r="AG705" s="124" t="s">
        <v>120</v>
      </c>
      <c r="AH705" s="128"/>
      <c r="AI705" s="124" t="s">
        <v>120</v>
      </c>
      <c r="AJ705" s="128"/>
      <c r="AK705" s="128"/>
      <c r="AL705" s="124" t="s">
        <v>185</v>
      </c>
      <c r="AM705" s="124" t="s">
        <v>141</v>
      </c>
      <c r="AN705" s="124" t="s">
        <v>242</v>
      </c>
      <c r="AO705" s="124" t="s">
        <v>138</v>
      </c>
      <c r="AP705" s="124"/>
    </row>
    <row r="706">
      <c r="A706" s="124" t="s">
        <v>1213</v>
      </c>
      <c r="B706" s="124" t="s">
        <v>1214</v>
      </c>
      <c r="C706" s="124" t="s">
        <v>1215</v>
      </c>
      <c r="D706" s="127">
        <v>37968.0</v>
      </c>
      <c r="E706" s="124" t="s">
        <v>98</v>
      </c>
      <c r="F706" s="124">
        <v>5.512146309E9</v>
      </c>
      <c r="G706" s="124" t="s">
        <v>1217</v>
      </c>
      <c r="H706" s="124" t="s">
        <v>101</v>
      </c>
      <c r="I706" s="128"/>
      <c r="J706" s="124" t="s">
        <v>1220</v>
      </c>
      <c r="K706" s="124" t="s">
        <v>1222</v>
      </c>
      <c r="L706" s="124">
        <v>5.537170486E9</v>
      </c>
      <c r="M706" s="128"/>
      <c r="N706" s="128"/>
      <c r="O706" s="128"/>
      <c r="P706" s="129">
        <v>22.0</v>
      </c>
      <c r="Q706" s="130">
        <v>46025.944606481484</v>
      </c>
      <c r="R706" s="124" t="s">
        <v>107</v>
      </c>
      <c r="S706" s="124" t="s">
        <v>125</v>
      </c>
      <c r="T706" s="124" t="s">
        <v>171</v>
      </c>
      <c r="U706" s="124" t="s">
        <v>526</v>
      </c>
      <c r="V706" s="124" t="s">
        <v>527</v>
      </c>
      <c r="W706" s="124" t="s">
        <v>528</v>
      </c>
      <c r="X706" s="124" t="s">
        <v>120</v>
      </c>
      <c r="Y706" s="128"/>
      <c r="Z706" s="124" t="s">
        <v>117</v>
      </c>
      <c r="AA706" s="124" t="s">
        <v>1218</v>
      </c>
      <c r="AB706" s="124" t="s">
        <v>120</v>
      </c>
      <c r="AC706" s="124" t="s">
        <v>120</v>
      </c>
      <c r="AD706" s="128"/>
      <c r="AE706" s="124" t="s">
        <v>120</v>
      </c>
      <c r="AF706" s="128"/>
      <c r="AG706" s="124" t="s">
        <v>120</v>
      </c>
      <c r="AH706" s="128"/>
      <c r="AI706" s="124" t="s">
        <v>120</v>
      </c>
      <c r="AJ706" s="128"/>
      <c r="AK706" s="124" t="s">
        <v>1238</v>
      </c>
      <c r="AL706" s="124" t="s">
        <v>141</v>
      </c>
      <c r="AM706" s="124" t="s">
        <v>138</v>
      </c>
      <c r="AN706" s="124" t="s">
        <v>128</v>
      </c>
      <c r="AO706" s="124" t="s">
        <v>156</v>
      </c>
      <c r="AP706" s="124"/>
    </row>
    <row r="707">
      <c r="A707" s="124" t="s">
        <v>4994</v>
      </c>
      <c r="B707" s="124" t="s">
        <v>1171</v>
      </c>
      <c r="C707" s="124" t="s">
        <v>4995</v>
      </c>
      <c r="D707" s="127">
        <v>40703.0</v>
      </c>
      <c r="E707" s="124" t="s">
        <v>98</v>
      </c>
      <c r="F707" s="124">
        <v>5.57459841E9</v>
      </c>
      <c r="G707" s="124" t="s">
        <v>4996</v>
      </c>
      <c r="H707" s="124" t="s">
        <v>140</v>
      </c>
      <c r="I707" s="128"/>
      <c r="J707" s="124" t="s">
        <v>1181</v>
      </c>
      <c r="K707" s="124" t="s">
        <v>1184</v>
      </c>
      <c r="L707" s="124">
        <v>5.529999001E9</v>
      </c>
      <c r="M707" s="128"/>
      <c r="N707" s="128"/>
      <c r="O707" s="128"/>
      <c r="P707" s="129">
        <v>14.0</v>
      </c>
      <c r="Q707" s="130">
        <v>46040.89842592592</v>
      </c>
      <c r="R707" s="124" t="s">
        <v>107</v>
      </c>
      <c r="S707" s="124" t="s">
        <v>109</v>
      </c>
      <c r="T707" s="124" t="s">
        <v>192</v>
      </c>
      <c r="U707" s="124" t="s">
        <v>485</v>
      </c>
      <c r="V707" s="124" t="s">
        <v>486</v>
      </c>
      <c r="W707" s="124" t="s">
        <v>487</v>
      </c>
      <c r="X707" s="124" t="s">
        <v>120</v>
      </c>
      <c r="Y707" s="128"/>
      <c r="Z707" s="124" t="s">
        <v>120</v>
      </c>
      <c r="AA707" s="128"/>
      <c r="AB707" s="124" t="s">
        <v>120</v>
      </c>
      <c r="AC707" s="124" t="s">
        <v>120</v>
      </c>
      <c r="AD707" s="128"/>
      <c r="AE707" s="124" t="s">
        <v>120</v>
      </c>
      <c r="AF707" s="128"/>
      <c r="AG707" s="124" t="s">
        <v>120</v>
      </c>
      <c r="AH707" s="128"/>
      <c r="AI707" s="124" t="s">
        <v>120</v>
      </c>
      <c r="AJ707" s="128"/>
      <c r="AK707" s="128"/>
      <c r="AL707" s="124" t="s">
        <v>240</v>
      </c>
      <c r="AM707" s="124" t="s">
        <v>126</v>
      </c>
      <c r="AN707" s="124" t="s">
        <v>242</v>
      </c>
      <c r="AO707" s="124" t="s">
        <v>156</v>
      </c>
      <c r="AP707" s="124"/>
    </row>
    <row r="708">
      <c r="A708" s="124" t="s">
        <v>4997</v>
      </c>
      <c r="B708" s="124" t="s">
        <v>2220</v>
      </c>
      <c r="C708" s="124" t="s">
        <v>4998</v>
      </c>
      <c r="D708" s="127">
        <v>40005.0</v>
      </c>
      <c r="E708" s="124" t="s">
        <v>98</v>
      </c>
      <c r="F708" s="124">
        <v>5.521817779E9</v>
      </c>
      <c r="G708" s="124" t="s">
        <v>4999</v>
      </c>
      <c r="H708" s="124" t="s">
        <v>150</v>
      </c>
      <c r="I708" s="128"/>
      <c r="J708" s="124" t="s">
        <v>2229</v>
      </c>
      <c r="K708" s="124" t="s">
        <v>2232</v>
      </c>
      <c r="L708" s="124">
        <v>5.534621137E9</v>
      </c>
      <c r="M708" s="128"/>
      <c r="N708" s="128"/>
      <c r="O708" s="128"/>
      <c r="P708" s="129">
        <v>16.0</v>
      </c>
      <c r="Q708" s="130">
        <v>46021.95542824074</v>
      </c>
      <c r="R708" s="124" t="s">
        <v>107</v>
      </c>
      <c r="S708" s="124" t="s">
        <v>109</v>
      </c>
      <c r="T708" s="124" t="s">
        <v>204</v>
      </c>
      <c r="U708" s="124" t="s">
        <v>205</v>
      </c>
      <c r="V708" s="124" t="s">
        <v>206</v>
      </c>
      <c r="W708" s="124" t="s">
        <v>207</v>
      </c>
      <c r="X708" s="124" t="s">
        <v>120</v>
      </c>
      <c r="Y708" s="128"/>
      <c r="Z708" s="124" t="s">
        <v>120</v>
      </c>
      <c r="AA708" s="128"/>
      <c r="AB708" s="124" t="s">
        <v>120</v>
      </c>
      <c r="AC708" s="128"/>
      <c r="AD708" s="128"/>
      <c r="AE708" s="124" t="s">
        <v>120</v>
      </c>
      <c r="AF708" s="128"/>
      <c r="AG708" s="124" t="s">
        <v>120</v>
      </c>
      <c r="AH708" s="128"/>
      <c r="AI708" s="124" t="s">
        <v>120</v>
      </c>
      <c r="AJ708" s="128"/>
      <c r="AK708" s="128"/>
      <c r="AL708" s="124" t="s">
        <v>216</v>
      </c>
      <c r="AM708" s="124" t="s">
        <v>141</v>
      </c>
      <c r="AN708" s="124" t="s">
        <v>240</v>
      </c>
      <c r="AO708" s="124" t="s">
        <v>124</v>
      </c>
      <c r="AP708" s="124"/>
    </row>
    <row r="709">
      <c r="A709" s="124" t="s">
        <v>2324</v>
      </c>
      <c r="B709" s="124" t="s">
        <v>2326</v>
      </c>
      <c r="C709" s="124" t="s">
        <v>2327</v>
      </c>
      <c r="D709" s="127">
        <v>39938.0</v>
      </c>
      <c r="E709" s="124" t="s">
        <v>98</v>
      </c>
      <c r="F709" s="124">
        <v>5.527382073E9</v>
      </c>
      <c r="G709" s="124" t="s">
        <v>2328</v>
      </c>
      <c r="H709" s="124" t="s">
        <v>150</v>
      </c>
      <c r="I709" s="128"/>
      <c r="J709" s="124" t="s">
        <v>2329</v>
      </c>
      <c r="K709" s="124" t="s">
        <v>2328</v>
      </c>
      <c r="L709" s="124">
        <v>5.591686167E9</v>
      </c>
      <c r="M709" s="124" t="s">
        <v>2330</v>
      </c>
      <c r="N709" s="124" t="s">
        <v>2331</v>
      </c>
      <c r="O709" s="124">
        <v>5.536672299E9</v>
      </c>
      <c r="P709" s="129">
        <v>16.0</v>
      </c>
      <c r="Q709" s="130">
        <v>46026.00423611111</v>
      </c>
      <c r="R709" s="124" t="s">
        <v>107</v>
      </c>
      <c r="S709" s="124" t="s">
        <v>109</v>
      </c>
      <c r="T709" s="124" t="s">
        <v>208</v>
      </c>
      <c r="U709" s="124" t="s">
        <v>228</v>
      </c>
      <c r="V709" s="124" t="s">
        <v>229</v>
      </c>
      <c r="W709" s="124" t="s">
        <v>230</v>
      </c>
      <c r="X709" s="124" t="s">
        <v>120</v>
      </c>
      <c r="Y709" s="124" t="s">
        <v>2332</v>
      </c>
      <c r="Z709" s="124" t="s">
        <v>120</v>
      </c>
      <c r="AA709" s="124" t="s">
        <v>2332</v>
      </c>
      <c r="AB709" s="124" t="s">
        <v>120</v>
      </c>
      <c r="AC709" s="124" t="s">
        <v>117</v>
      </c>
      <c r="AD709" s="124" t="s">
        <v>2332</v>
      </c>
      <c r="AE709" s="124" t="s">
        <v>120</v>
      </c>
      <c r="AF709" s="124" t="s">
        <v>2332</v>
      </c>
      <c r="AG709" s="124" t="s">
        <v>117</v>
      </c>
      <c r="AH709" s="124" t="s">
        <v>2333</v>
      </c>
      <c r="AI709" s="124" t="s">
        <v>117</v>
      </c>
      <c r="AJ709" s="124" t="s">
        <v>2334</v>
      </c>
      <c r="AK709" s="124" t="s">
        <v>135</v>
      </c>
      <c r="AL709" s="124" t="s">
        <v>126</v>
      </c>
      <c r="AM709" s="124" t="s">
        <v>138</v>
      </c>
      <c r="AN709" s="124" t="s">
        <v>156</v>
      </c>
      <c r="AO709" s="124" t="s">
        <v>216</v>
      </c>
      <c r="AP709" s="124"/>
    </row>
    <row r="710">
      <c r="A710" s="124" t="s">
        <v>1107</v>
      </c>
      <c r="B710" s="124" t="s">
        <v>1109</v>
      </c>
      <c r="C710" s="124" t="s">
        <v>1110</v>
      </c>
      <c r="D710" s="127">
        <v>41035.0</v>
      </c>
      <c r="E710" s="124" t="s">
        <v>98</v>
      </c>
      <c r="F710" s="124">
        <v>5.587931444E9</v>
      </c>
      <c r="G710" s="124" t="s">
        <v>1114</v>
      </c>
      <c r="H710" s="124" t="s">
        <v>140</v>
      </c>
      <c r="I710" s="124" t="s">
        <v>1116</v>
      </c>
      <c r="J710" s="124" t="s">
        <v>1118</v>
      </c>
      <c r="K710" s="124" t="s">
        <v>1120</v>
      </c>
      <c r="L710" s="124">
        <v>5.587931444E9</v>
      </c>
      <c r="M710" s="128"/>
      <c r="N710" s="128"/>
      <c r="O710" s="128"/>
      <c r="P710" s="129">
        <v>13.0</v>
      </c>
      <c r="Q710" s="130">
        <v>46032.68609953704</v>
      </c>
      <c r="R710" s="124" t="s">
        <v>107</v>
      </c>
      <c r="S710" s="124" t="s">
        <v>109</v>
      </c>
      <c r="T710" s="124" t="s">
        <v>204</v>
      </c>
      <c r="U710" s="124" t="s">
        <v>357</v>
      </c>
      <c r="V710" s="124" t="s">
        <v>359</v>
      </c>
      <c r="W710" s="124" t="s">
        <v>362</v>
      </c>
      <c r="X710" s="124" t="s">
        <v>120</v>
      </c>
      <c r="Y710" s="128"/>
      <c r="Z710" s="124" t="s">
        <v>117</v>
      </c>
      <c r="AA710" s="124" t="s">
        <v>1129</v>
      </c>
      <c r="AB710" s="124" t="s">
        <v>117</v>
      </c>
      <c r="AC710" s="124" t="s">
        <v>117</v>
      </c>
      <c r="AD710" s="124" t="s">
        <v>1131</v>
      </c>
      <c r="AE710" s="124" t="s">
        <v>120</v>
      </c>
      <c r="AF710" s="128"/>
      <c r="AG710" s="124" t="s">
        <v>120</v>
      </c>
      <c r="AH710" s="128"/>
      <c r="AI710" s="124" t="s">
        <v>117</v>
      </c>
      <c r="AJ710" s="124" t="s">
        <v>1137</v>
      </c>
      <c r="AK710" s="128"/>
      <c r="AL710" s="124" t="s">
        <v>216</v>
      </c>
      <c r="AM710" s="124" t="s">
        <v>138</v>
      </c>
      <c r="AN710" s="124" t="s">
        <v>156</v>
      </c>
      <c r="AO710" s="124" t="s">
        <v>141</v>
      </c>
      <c r="AP710" s="124"/>
    </row>
    <row r="711">
      <c r="A711" s="124" t="s">
        <v>4249</v>
      </c>
      <c r="B711" s="124" t="s">
        <v>4157</v>
      </c>
      <c r="C711" s="124" t="s">
        <v>4253</v>
      </c>
      <c r="D711" s="127">
        <v>37482.0</v>
      </c>
      <c r="E711" s="124" t="s">
        <v>177</v>
      </c>
      <c r="F711" s="124">
        <v>5.551638874E9</v>
      </c>
      <c r="G711" s="124" t="s">
        <v>4261</v>
      </c>
      <c r="H711" s="124" t="s">
        <v>150</v>
      </c>
      <c r="I711" s="128"/>
      <c r="J711" s="124" t="s">
        <v>4264</v>
      </c>
      <c r="K711" s="124" t="s">
        <v>4267</v>
      </c>
      <c r="L711" s="124" t="s">
        <v>4271</v>
      </c>
      <c r="M711" s="128"/>
      <c r="N711" s="128"/>
      <c r="O711" s="128"/>
      <c r="P711" s="129">
        <v>23.0</v>
      </c>
      <c r="Q711" s="130">
        <v>46038.7559837963</v>
      </c>
      <c r="R711" s="124" t="s">
        <v>107</v>
      </c>
      <c r="S711" s="124" t="s">
        <v>125</v>
      </c>
      <c r="T711" s="124" t="s">
        <v>204</v>
      </c>
      <c r="U711" s="124" t="s">
        <v>357</v>
      </c>
      <c r="V711" s="124" t="s">
        <v>359</v>
      </c>
      <c r="W711" s="124" t="s">
        <v>362</v>
      </c>
      <c r="X711" s="124" t="s">
        <v>120</v>
      </c>
      <c r="Y711" s="128"/>
      <c r="Z711" s="124" t="s">
        <v>120</v>
      </c>
      <c r="AA711" s="128"/>
      <c r="AB711" s="124" t="s">
        <v>120</v>
      </c>
      <c r="AC711" s="124" t="s">
        <v>120</v>
      </c>
      <c r="AD711" s="128"/>
      <c r="AE711" s="124" t="s">
        <v>117</v>
      </c>
      <c r="AF711" s="124" t="s">
        <v>4278</v>
      </c>
      <c r="AG711" s="124" t="s">
        <v>120</v>
      </c>
      <c r="AH711" s="128"/>
      <c r="AI711" s="124" t="s">
        <v>120</v>
      </c>
      <c r="AJ711" s="128"/>
      <c r="AK711" s="128"/>
      <c r="AL711" s="124" t="s">
        <v>240</v>
      </c>
      <c r="AM711" s="124" t="s">
        <v>216</v>
      </c>
      <c r="AN711" s="124" t="s">
        <v>129</v>
      </c>
      <c r="AO711" s="124" t="s">
        <v>156</v>
      </c>
      <c r="AP711" s="124"/>
    </row>
    <row r="712">
      <c r="A712" s="124" t="s">
        <v>3410</v>
      </c>
      <c r="B712" s="124" t="s">
        <v>3411</v>
      </c>
      <c r="C712" s="124" t="s">
        <v>3412</v>
      </c>
      <c r="D712" s="127">
        <v>37186.0</v>
      </c>
      <c r="E712" s="124" t="s">
        <v>177</v>
      </c>
      <c r="F712" s="124">
        <v>5.560682873E9</v>
      </c>
      <c r="G712" s="124" t="s">
        <v>3413</v>
      </c>
      <c r="H712" s="124" t="s">
        <v>150</v>
      </c>
      <c r="I712" s="128"/>
      <c r="J712" s="124" t="s">
        <v>3414</v>
      </c>
      <c r="K712" s="124" t="s">
        <v>3415</v>
      </c>
      <c r="L712" s="124">
        <v>5.527791704E9</v>
      </c>
      <c r="M712" s="128"/>
      <c r="N712" s="128"/>
      <c r="O712" s="128"/>
      <c r="P712" s="129">
        <v>24.0</v>
      </c>
      <c r="Q712" s="130">
        <v>46039.59422453704</v>
      </c>
      <c r="R712" s="124" t="s">
        <v>107</v>
      </c>
      <c r="S712" s="124" t="s">
        <v>125</v>
      </c>
      <c r="T712" s="124" t="s">
        <v>208</v>
      </c>
      <c r="U712" s="124" t="s">
        <v>601</v>
      </c>
      <c r="V712" s="124" t="s">
        <v>602</v>
      </c>
      <c r="W712" s="124" t="s">
        <v>603</v>
      </c>
      <c r="X712" s="124" t="s">
        <v>120</v>
      </c>
      <c r="Y712" s="128"/>
      <c r="Z712" s="124" t="s">
        <v>120</v>
      </c>
      <c r="AA712" s="128"/>
      <c r="AB712" s="124" t="s">
        <v>120</v>
      </c>
      <c r="AC712" s="124" t="s">
        <v>120</v>
      </c>
      <c r="AD712" s="128"/>
      <c r="AE712" s="124" t="s">
        <v>120</v>
      </c>
      <c r="AF712" s="128"/>
      <c r="AG712" s="124" t="s">
        <v>120</v>
      </c>
      <c r="AH712" s="128"/>
      <c r="AI712" s="124" t="s">
        <v>120</v>
      </c>
      <c r="AJ712" s="128"/>
      <c r="AK712" s="128"/>
      <c r="AL712" s="124" t="s">
        <v>138</v>
      </c>
      <c r="AM712" s="124" t="s">
        <v>242</v>
      </c>
      <c r="AN712" s="124" t="s">
        <v>216</v>
      </c>
      <c r="AO712" s="124" t="s">
        <v>129</v>
      </c>
      <c r="AP712" s="124"/>
    </row>
    <row r="713">
      <c r="A713" s="154" t="s">
        <v>3437</v>
      </c>
      <c r="B713" s="154" t="s">
        <v>3438</v>
      </c>
      <c r="C713" s="154" t="s">
        <v>3437</v>
      </c>
      <c r="D713" s="155">
        <v>38659.0</v>
      </c>
      <c r="E713" s="154" t="s">
        <v>101</v>
      </c>
      <c r="F713" s="156" t="s">
        <v>5000</v>
      </c>
      <c r="G713" s="157" t="s">
        <v>5001</v>
      </c>
      <c r="H713" s="154" t="s">
        <v>150</v>
      </c>
      <c r="I713" s="154" t="s">
        <v>2506</v>
      </c>
      <c r="J713" s="154" t="s">
        <v>3459</v>
      </c>
      <c r="K713" s="157" t="s">
        <v>5002</v>
      </c>
      <c r="L713" s="158">
        <v>5.554632295E9</v>
      </c>
      <c r="M713" s="154" t="s">
        <v>3461</v>
      </c>
      <c r="N713" s="157" t="s">
        <v>5003</v>
      </c>
      <c r="O713" s="158">
        <v>5.612971051E9</v>
      </c>
      <c r="P713" s="158">
        <v>16.0</v>
      </c>
      <c r="Q713" s="159">
        <v>40111.0</v>
      </c>
      <c r="R713" s="154" t="s">
        <v>3466</v>
      </c>
      <c r="S713" s="154" t="s">
        <v>3470</v>
      </c>
      <c r="T713" s="154" t="s">
        <v>3471</v>
      </c>
      <c r="U713" s="154" t="s">
        <v>3472</v>
      </c>
      <c r="V713" s="157" t="s">
        <v>5004</v>
      </c>
      <c r="W713" s="154" t="s">
        <v>3474</v>
      </c>
      <c r="X713" s="154" t="s">
        <v>120</v>
      </c>
      <c r="Y713" s="154" t="s">
        <v>3477</v>
      </c>
      <c r="Z713" s="154" t="s">
        <v>120</v>
      </c>
      <c r="AA713" s="154" t="s">
        <v>120</v>
      </c>
      <c r="AB713" s="154" t="s">
        <v>120</v>
      </c>
      <c r="AC713" s="154" t="s">
        <v>120</v>
      </c>
      <c r="AD713" s="154" t="s">
        <v>3480</v>
      </c>
      <c r="AE713" s="154" t="s">
        <v>120</v>
      </c>
      <c r="AF713" s="154" t="s">
        <v>120</v>
      </c>
      <c r="AG713" s="154" t="s">
        <v>808</v>
      </c>
      <c r="AH713" s="154" t="s">
        <v>3488</v>
      </c>
      <c r="AI713" s="154" t="s">
        <v>120</v>
      </c>
      <c r="AJ713" s="154" t="s">
        <v>120</v>
      </c>
      <c r="AK713" s="154" t="s">
        <v>120</v>
      </c>
      <c r="AL713" s="154" t="s">
        <v>3492</v>
      </c>
      <c r="AM713" s="154" t="s">
        <v>3494</v>
      </c>
      <c r="AN713" s="154" t="s">
        <v>3497</v>
      </c>
      <c r="AO713" s="154" t="s">
        <v>3498</v>
      </c>
      <c r="AP713" s="154" t="s">
        <v>3499</v>
      </c>
    </row>
  </sheetData>
  <autoFilter ref="$S$1:$S$1000"/>
  <hyperlinks>
    <hyperlink r:id="rId1" ref="G713"/>
    <hyperlink r:id="rId2" ref="K713"/>
    <hyperlink r:id="rId3" ref="N713"/>
    <hyperlink r:id="rId4" ref="V713"/>
  </hyperlinks>
  <drawing r:id="rId5"/>
</worksheet>
</file>