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transferenicias" sheetId="2" r:id="rId5"/>
  </sheets>
  <definedNames>
    <definedName hidden="1" localSheetId="1" name="_xlnm._FilterDatabase">transferenicias!$A$1:$Z$1000</definedName>
  </definedNames>
  <calcPr/>
  <extLst>
    <ext uri="GoogleSheetsCustomDataVersion2">
      <go:sheetsCustomData xmlns:go="http://customooxmlschemas.google.com/" r:id="rId6" roundtripDataChecksum="X6a0FHab+D2PcXpbKX8wMLvoSjSz+dbQUQWSRpA7/8k="/>
    </ext>
  </extLst>
</workbook>
</file>

<file path=xl/sharedStrings.xml><?xml version="1.0" encoding="utf-8"?>
<sst xmlns="http://schemas.openxmlformats.org/spreadsheetml/2006/main" count="114" uniqueCount="82">
  <si>
    <t>CONCEPTO</t>
  </si>
  <si>
    <t>COMERCIO</t>
  </si>
  <si>
    <t>NUMERO</t>
  </si>
  <si>
    <t>FOLIO</t>
  </si>
  <si>
    <t>MONTO</t>
  </si>
  <si>
    <t>FACTURADO</t>
  </si>
  <si>
    <t>SIT</t>
  </si>
  <si>
    <t>#SIT</t>
  </si>
  <si>
    <t>TRANSPORTE</t>
  </si>
  <si>
    <t>scholastico</t>
  </si>
  <si>
    <t>TSC1305207F4</t>
  </si>
  <si>
    <t>OK</t>
  </si>
  <si>
    <t>Adelanto de campamento</t>
  </si>
  <si>
    <t>factura</t>
  </si>
  <si>
    <t>ACAMPADO</t>
  </si>
  <si>
    <t xml:space="preserve">oaxtepec IMMS </t>
  </si>
  <si>
    <t>IMS421231I45</t>
  </si>
  <si>
    <t>compra de alimentos y desechables para campamento de la ...</t>
  </si>
  <si>
    <t>SERVICIOS EXTRA</t>
  </si>
  <si>
    <t>IMS421231I45_CVO_17284</t>
  </si>
  <si>
    <t xml:space="preserve">compra de alimentos y refrigerio para campamento </t>
  </si>
  <si>
    <t>ALIMENTOS 
Y 
MATERIALES</t>
  </si>
  <si>
    <t>Chedrahui</t>
  </si>
  <si>
    <t>TCH850701RM1</t>
  </si>
  <si>
    <t>NU</t>
  </si>
  <si>
    <t>pago de 3 transportes para campamento de la juventud</t>
  </si>
  <si>
    <t>soriana</t>
  </si>
  <si>
    <t>BACHC-301835</t>
  </si>
  <si>
    <t>pago de acampado para actividad de campamento</t>
  </si>
  <si>
    <t>carniceria</t>
  </si>
  <si>
    <t>CRC210805TF9FF793</t>
  </si>
  <si>
    <t>fantasias miguel</t>
  </si>
  <si>
    <t>FACTURA_6244533</t>
  </si>
  <si>
    <t>La Comer</t>
  </si>
  <si>
    <t>CFDI65201748</t>
  </si>
  <si>
    <t>Sams</t>
  </si>
  <si>
    <t>SECFD_20260331_083333</t>
  </si>
  <si>
    <t>PAgo pendiente</t>
  </si>
  <si>
    <t xml:space="preserve">Walmart </t>
  </si>
  <si>
    <t>SECFD_20260331_093148</t>
  </si>
  <si>
    <t>SAMS</t>
  </si>
  <si>
    <t>SECFD_20260401_100110</t>
  </si>
  <si>
    <t>SECFD_20260401_100418</t>
  </si>
  <si>
    <t>Little Ceasers</t>
  </si>
  <si>
    <t>DIC130621CU8</t>
  </si>
  <si>
    <t>Oxxo</t>
  </si>
  <si>
    <t>FACTURA_1775089003069</t>
  </si>
  <si>
    <t>sams</t>
  </si>
  <si>
    <t>SECFD_20260401_050314</t>
  </si>
  <si>
    <t>Transferencias</t>
  </si>
  <si>
    <t>FACTURA_1775100534578</t>
  </si>
  <si>
    <t>SECFD_20260402_074832</t>
  </si>
  <si>
    <t>SECFD_20260402_075007</t>
  </si>
  <si>
    <t>PENDIENTE</t>
  </si>
  <si>
    <t>TOTAL ALIMENTOS y MATERIALES</t>
  </si>
  <si>
    <t>Compra de insumos y dulces para comida del campamento de jovenes</t>
  </si>
  <si>
    <t>TOTAL</t>
  </si>
  <si>
    <t>Frituras y agua 450</t>
  </si>
  <si>
    <t>Cables  68</t>
  </si>
  <si>
    <t>Pizzas 1788</t>
  </si>
  <si>
    <t>Campamento para Jóvenes de Estaca 2026</t>
  </si>
  <si>
    <t>Acoxpan Ward</t>
  </si>
  <si>
    <t>Barrio Villa Coapa Campamento Estaca</t>
  </si>
  <si>
    <t>Villa Coapa Ward</t>
  </si>
  <si>
    <t>Campamento HyM Jovenes</t>
  </si>
  <si>
    <t>Cuicuilco Ward</t>
  </si>
  <si>
    <t>Campamento de Jóvenes de estaca 2026</t>
  </si>
  <si>
    <t>Campamento de HJ y MJ Estaca 2026</t>
  </si>
  <si>
    <t>La Noria Ward</t>
  </si>
  <si>
    <t>CAMPAMENTOHYM ABRIL 2026</t>
  </si>
  <si>
    <t>Azteca Ward</t>
  </si>
  <si>
    <t>campamento de hombres y mujeres jovenes Milpa Alta</t>
  </si>
  <si>
    <t>Milpa Alta Ward</t>
  </si>
  <si>
    <t>campamento</t>
  </si>
  <si>
    <t>Xochimilco Ward</t>
  </si>
  <si>
    <t>Campamento Jovenes(Hombres y Mujeres)</t>
  </si>
  <si>
    <t>San Pablo Branch</t>
  </si>
  <si>
    <t>Campamento de hombres y mujeres jovenes</t>
  </si>
  <si>
    <t>Chinampas Ward</t>
  </si>
  <si>
    <t>Campamento de Hombres y Mujeres Jóvenes 2026</t>
  </si>
  <si>
    <t>aportación de Barrio Milpa Alta campamento de hombres y...</t>
  </si>
  <si>
    <t>campamento de jovenes (Hombres y Mujeres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</si>
</sst>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-80A]#,##0.00"/>
    <numFmt numFmtId="165" formatCode="&quot;$&quot;#,##0.00"/>
    <numFmt numFmtId="166" formatCode="d mmm. yyyy"/>
    <numFmt numFmtId="167" formatCode="dd mmm. yy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Inherit"/>
    </font>
    <font>
      <sz val="9.0"/>
      <color rgb="FF000000"/>
      <name val="&quot;Open Sans&quot;"/>
    </font>
    <font/>
    <font>
      <b/>
      <sz val="9.0"/>
      <color theme="1"/>
      <name val="Arial"/>
    </font>
    <font>
      <b/>
      <u/>
      <sz val="9.0"/>
      <color rgb="FF0000FF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2" numFmtId="0" xfId="0" applyBorder="1" applyFont="1"/>
    <xf borderId="1" fillId="3" fontId="1" numFmtId="164" xfId="0" applyBorder="1" applyFill="1" applyFont="1" applyNumberFormat="1"/>
    <xf borderId="0" fillId="0" fontId="3" numFmtId="0" xfId="0" applyAlignment="1" applyFont="1">
      <alignment readingOrder="0"/>
    </xf>
    <xf borderId="1" fillId="4" fontId="1" numFmtId="164" xfId="0" applyBorder="1" applyFill="1" applyFont="1" applyNumberFormat="1"/>
    <xf borderId="0" fillId="0" fontId="4" numFmtId="0" xfId="0" applyAlignment="1" applyFont="1">
      <alignment readingOrder="0" shrinkToFit="0" wrapText="1"/>
    </xf>
    <xf borderId="0" fillId="5" fontId="4" numFmtId="165" xfId="0" applyAlignment="1" applyFill="1" applyFont="1" applyNumberFormat="1">
      <alignment readingOrder="0" shrinkToFit="0" wrapText="1"/>
    </xf>
    <xf borderId="0" fillId="0" fontId="3" numFmtId="164" xfId="0" applyFont="1" applyNumberFormat="1"/>
    <xf borderId="2" fillId="0" fontId="1" numFmtId="0" xfId="0" applyAlignment="1" applyBorder="1" applyFont="1">
      <alignment shrinkToFit="0" wrapText="1"/>
    </xf>
    <xf borderId="0" fillId="6" fontId="5" numFmtId="165" xfId="0" applyAlignment="1" applyFill="1" applyFont="1" applyNumberFormat="1">
      <alignment horizontal="right" readingOrder="0"/>
    </xf>
    <xf borderId="2" fillId="0" fontId="1" numFmtId="0" xfId="0" applyAlignment="1" applyBorder="1" applyFont="1">
      <alignment horizontal="center" shrinkToFit="0" vertical="center" wrapText="1"/>
    </xf>
    <xf borderId="1" fillId="0" fontId="2" numFmtId="164" xfId="0" applyBorder="1" applyFont="1" applyNumberFormat="1"/>
    <xf borderId="0" fillId="7" fontId="5" numFmtId="0" xfId="0" applyAlignment="1" applyFill="1" applyFont="1">
      <alignment readingOrder="0" shrinkToFit="0" wrapText="0"/>
    </xf>
    <xf borderId="0" fillId="3" fontId="5" numFmtId="165" xfId="0" applyAlignment="1" applyFont="1" applyNumberFormat="1">
      <alignment horizontal="right" readingOrder="0"/>
    </xf>
    <xf borderId="3" fillId="0" fontId="6" numFmtId="0" xfId="0" applyBorder="1" applyFont="1"/>
    <xf borderId="1" fillId="8" fontId="2" numFmtId="164" xfId="0" applyBorder="1" applyFill="1" applyFont="1" applyNumberFormat="1"/>
    <xf borderId="0" fillId="4" fontId="3" numFmtId="165" xfId="0" applyAlignment="1" applyFont="1" applyNumberFormat="1">
      <alignment readingOrder="0"/>
    </xf>
    <xf borderId="1" fillId="9" fontId="2" numFmtId="164" xfId="0" applyBorder="1" applyFill="1" applyFont="1" applyNumberFormat="1"/>
    <xf borderId="0" fillId="0" fontId="3" numFmtId="165" xfId="0" applyFont="1" applyNumberFormat="1"/>
    <xf borderId="1" fillId="6" fontId="2" numFmtId="164" xfId="0" applyBorder="1" applyFont="1" applyNumberFormat="1"/>
    <xf borderId="0" fillId="9" fontId="3" numFmtId="164" xfId="0" applyFont="1" applyNumberFormat="1"/>
    <xf borderId="1" fillId="10" fontId="2" numFmtId="164" xfId="0" applyBorder="1" applyFill="1" applyFont="1" applyNumberFormat="1"/>
    <xf borderId="4" fillId="0" fontId="6" numFmtId="0" xfId="0" applyBorder="1" applyFont="1"/>
    <xf borderId="1" fillId="0" fontId="1" numFmtId="164" xfId="0" applyBorder="1" applyFont="1" applyNumberFormat="1"/>
    <xf borderId="0" fillId="0" fontId="3" numFmtId="0" xfId="0" applyFont="1"/>
    <xf borderId="0" fillId="0" fontId="2" numFmtId="164" xfId="0" applyFont="1" applyNumberFormat="1"/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4" xfId="0" applyFont="1" applyNumberFormat="1"/>
    <xf borderId="0" fillId="0" fontId="7" numFmtId="166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165" xfId="0" applyAlignment="1" applyFont="1" applyNumberFormat="1">
      <alignment horizontal="right" shrinkToFit="0" vertical="bottom" wrapText="1"/>
    </xf>
    <xf borderId="0" fillId="0" fontId="9" numFmtId="166" xfId="0" applyAlignment="1" applyFont="1" applyNumberFormat="1">
      <alignment horizontal="right" shrinkToFit="0" vertical="bottom" wrapText="1"/>
    </xf>
    <xf borderId="0" fillId="0" fontId="10" numFmtId="0" xfId="0" applyAlignment="1" applyFont="1">
      <alignment horizontal="right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165" xfId="0" applyAlignment="1" applyFont="1" applyNumberFormat="1">
      <alignment shrinkToFit="0" vertical="bottom" wrapText="1"/>
    </xf>
    <xf borderId="0" fillId="0" fontId="9" numFmtId="165" xfId="0" applyAlignment="1" applyFont="1" applyNumberFormat="1">
      <alignment horizontal="right" shrinkToFit="0" vertical="bottom" wrapText="1"/>
    </xf>
    <xf borderId="0" fillId="0" fontId="11" numFmtId="165" xfId="0" applyAlignment="1" applyFont="1" applyNumberFormat="1">
      <alignment horizontal="right" shrinkToFit="0" vertical="bottom" wrapText="1"/>
    </xf>
    <xf borderId="0" fillId="0" fontId="9" numFmtId="166" xfId="0" applyAlignment="1" applyFont="1" applyNumberFormat="1">
      <alignment shrinkToFit="0" vertical="bottom" wrapText="1"/>
    </xf>
    <xf borderId="0" fillId="0" fontId="12" numFmtId="166" xfId="0" applyAlignment="1" applyFont="1" applyNumberFormat="1">
      <alignment horizontal="right" shrinkToFit="0" vertical="bottom" wrapText="1"/>
    </xf>
    <xf borderId="0" fillId="0" fontId="9" numFmtId="167" xfId="0" applyAlignment="1" applyFont="1" applyNumberFormat="1">
      <alignment horizontal="right" shrinkToFit="0" vertical="bottom" wrapText="1"/>
    </xf>
    <xf borderId="0" fillId="0" fontId="4" numFmtId="166" xfId="0" applyAlignment="1" applyFont="1" applyNumberFormat="1">
      <alignment readingOrder="0" shrinkToFit="0" wrapText="1"/>
    </xf>
    <xf borderId="0" fillId="0" fontId="4" numFmtId="165" xfId="0" applyAlignment="1" applyFont="1" applyNumberFormat="1">
      <alignment readingOrder="0" shrinkToFit="0" wrapText="1"/>
    </xf>
    <xf borderId="0" fillId="0" fontId="4" numFmtId="167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lcrf.churchofjesuschrist.org/finance/" TargetMode="External"/><Relationship Id="rId10" Type="http://schemas.openxmlformats.org/officeDocument/2006/relationships/hyperlink" Target="https://lcrf.churchofjesuschrist.org/finance/" TargetMode="External"/><Relationship Id="rId13" Type="http://schemas.openxmlformats.org/officeDocument/2006/relationships/hyperlink" Target="https://lcrf.churchofjesuschrist.org/finance/" TargetMode="External"/><Relationship Id="rId12" Type="http://schemas.openxmlformats.org/officeDocument/2006/relationships/hyperlink" Target="https://lcrf.churchofjesuschrist.org/finance/" TargetMode="External"/><Relationship Id="rId1" Type="http://schemas.openxmlformats.org/officeDocument/2006/relationships/hyperlink" Target="https://lcrf.churchofjesuschrist.org/finance/" TargetMode="External"/><Relationship Id="rId2" Type="http://schemas.openxmlformats.org/officeDocument/2006/relationships/hyperlink" Target="https://lcrf.churchofjesuschrist.org/finance/" TargetMode="External"/><Relationship Id="rId3" Type="http://schemas.openxmlformats.org/officeDocument/2006/relationships/hyperlink" Target="https://lcrf.churchofjesuschrist.org/finance/" TargetMode="External"/><Relationship Id="rId4" Type="http://schemas.openxmlformats.org/officeDocument/2006/relationships/hyperlink" Target="https://lcrf.churchofjesuschrist.org/finance/" TargetMode="External"/><Relationship Id="rId9" Type="http://schemas.openxmlformats.org/officeDocument/2006/relationships/hyperlink" Target="https://lcrf.churchofjesuschrist.org/finance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lcrf.churchofjesuschrist.org/finance/" TargetMode="External"/><Relationship Id="rId5" Type="http://schemas.openxmlformats.org/officeDocument/2006/relationships/hyperlink" Target="https://lcrf.churchofjesuschrist.org/finance/" TargetMode="External"/><Relationship Id="rId6" Type="http://schemas.openxmlformats.org/officeDocument/2006/relationships/hyperlink" Target="https://lcrf.churchofjesuschrist.org/finance/" TargetMode="External"/><Relationship Id="rId7" Type="http://schemas.openxmlformats.org/officeDocument/2006/relationships/hyperlink" Target="https://lcrf.churchofjesuschrist.org/finance/" TargetMode="External"/><Relationship Id="rId8" Type="http://schemas.openxmlformats.org/officeDocument/2006/relationships/hyperlink" Target="https://lcrf.churchofjesuschrist.org/fin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3" width="14.57"/>
    <col customWidth="1" min="4" max="4" width="30.0"/>
    <col customWidth="1" min="5" max="5" width="15.29"/>
    <col customWidth="1" min="6" max="6" width="11.43"/>
    <col customWidth="1" min="7" max="7" width="11.0"/>
    <col customWidth="1" min="8" max="8" width="45.71"/>
    <col customWidth="1" min="9" max="9" width="19.29"/>
    <col customWidth="1" min="10" max="13" width="8.86"/>
    <col customWidth="1" min="14" max="14" width="10.71"/>
    <col customWidth="1" min="15" max="15" width="9.57"/>
    <col customWidth="1" min="16" max="16" width="7.0"/>
    <col customWidth="1" min="17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4" t="s">
        <v>6</v>
      </c>
      <c r="I1" s="3"/>
      <c r="J1" s="4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5" t="s">
        <v>8</v>
      </c>
      <c r="B2" s="6" t="s">
        <v>9</v>
      </c>
      <c r="C2" s="6">
        <v>1.0</v>
      </c>
      <c r="D2" s="6" t="s">
        <v>10</v>
      </c>
      <c r="E2" s="7">
        <v>40340.0</v>
      </c>
      <c r="F2" s="6" t="s">
        <v>11</v>
      </c>
      <c r="H2" s="8" t="s">
        <v>12</v>
      </c>
      <c r="I2" s="8">
        <v>10000.0</v>
      </c>
      <c r="L2" s="8" t="s">
        <v>13</v>
      </c>
    </row>
    <row r="3" ht="14.25" customHeight="1">
      <c r="A3" s="5" t="s">
        <v>14</v>
      </c>
      <c r="B3" s="6" t="s">
        <v>15</v>
      </c>
      <c r="C3" s="6">
        <v>2.0</v>
      </c>
      <c r="D3" s="6" t="s">
        <v>16</v>
      </c>
      <c r="E3" s="9">
        <v>24960.0</v>
      </c>
      <c r="F3" s="6" t="s">
        <v>11</v>
      </c>
      <c r="H3" s="10" t="s">
        <v>17</v>
      </c>
      <c r="I3" s="11">
        <v>12253.0</v>
      </c>
      <c r="J3" s="8">
        <v>300079.0</v>
      </c>
      <c r="L3" s="8">
        <v>4.0</v>
      </c>
      <c r="M3" s="8">
        <v>5.0</v>
      </c>
      <c r="N3" s="8">
        <v>6.0</v>
      </c>
      <c r="O3" s="8">
        <v>17.0</v>
      </c>
      <c r="Q3" s="12">
        <f>E6+E7+E8+E19</f>
        <v>12330.4</v>
      </c>
      <c r="R3" s="12">
        <f t="shared" ref="R3:R4" si="1">Q3-I3</f>
        <v>77.4</v>
      </c>
    </row>
    <row r="4" ht="14.25" customHeight="1">
      <c r="A4" s="13" t="s">
        <v>18</v>
      </c>
      <c r="B4" s="6" t="s">
        <v>15</v>
      </c>
      <c r="C4" s="6">
        <v>20.0</v>
      </c>
      <c r="D4" s="6" t="s">
        <v>19</v>
      </c>
      <c r="E4" s="9">
        <v>1775.0</v>
      </c>
      <c r="F4" s="6" t="s">
        <v>11</v>
      </c>
      <c r="H4" s="10" t="s">
        <v>20</v>
      </c>
      <c r="I4" s="14">
        <v>20000.0</v>
      </c>
      <c r="L4" s="8">
        <v>8.0</v>
      </c>
      <c r="M4" s="8">
        <v>10.0</v>
      </c>
      <c r="N4" s="8">
        <v>13.0</v>
      </c>
      <c r="O4" s="8">
        <v>16.0</v>
      </c>
      <c r="Q4" s="12">
        <f>E10+E12+E15+E18</f>
        <v>20036.36</v>
      </c>
      <c r="R4" s="12">
        <f t="shared" si="1"/>
        <v>36.36</v>
      </c>
    </row>
    <row r="5" ht="14.25" customHeight="1">
      <c r="A5" s="15" t="s">
        <v>21</v>
      </c>
      <c r="B5" s="6" t="s">
        <v>22</v>
      </c>
      <c r="C5" s="6">
        <v>3.0</v>
      </c>
      <c r="D5" s="6" t="s">
        <v>23</v>
      </c>
      <c r="E5" s="16">
        <v>493.0</v>
      </c>
      <c r="F5" s="6" t="s">
        <v>11</v>
      </c>
      <c r="G5" s="8" t="s">
        <v>24</v>
      </c>
      <c r="H5" s="17" t="s">
        <v>25</v>
      </c>
      <c r="I5" s="18">
        <v>40340.0</v>
      </c>
      <c r="J5" s="8">
        <v>300074.0</v>
      </c>
      <c r="L5" s="8">
        <v>1.0</v>
      </c>
    </row>
    <row r="6" ht="14.25" customHeight="1">
      <c r="A6" s="19"/>
      <c r="B6" s="6" t="s">
        <v>26</v>
      </c>
      <c r="C6" s="6">
        <v>4.0</v>
      </c>
      <c r="D6" s="6" t="s">
        <v>27</v>
      </c>
      <c r="E6" s="20">
        <v>1608.76</v>
      </c>
      <c r="F6" s="6" t="s">
        <v>11</v>
      </c>
      <c r="H6" s="8" t="s">
        <v>28</v>
      </c>
      <c r="I6" s="21">
        <v>27456.0</v>
      </c>
      <c r="J6" s="8">
        <v>300005.0</v>
      </c>
      <c r="L6" s="8">
        <v>2.0</v>
      </c>
      <c r="M6" s="8">
        <v>20.0</v>
      </c>
      <c r="Q6" s="12">
        <f>E3+E4</f>
        <v>26735</v>
      </c>
      <c r="R6" s="12">
        <f>Q6-I6</f>
        <v>-721</v>
      </c>
    </row>
    <row r="7" ht="14.25" customHeight="1">
      <c r="A7" s="19"/>
      <c r="B7" s="6" t="s">
        <v>29</v>
      </c>
      <c r="C7" s="6">
        <v>5.0</v>
      </c>
      <c r="D7" s="6" t="s">
        <v>30</v>
      </c>
      <c r="E7" s="20">
        <v>7349.12</v>
      </c>
      <c r="F7" s="6" t="s">
        <v>11</v>
      </c>
    </row>
    <row r="8" ht="14.25" customHeight="1">
      <c r="A8" s="19"/>
      <c r="B8" s="6" t="s">
        <v>31</v>
      </c>
      <c r="C8" s="6">
        <v>6.0</v>
      </c>
      <c r="D8" s="6" t="s">
        <v>32</v>
      </c>
      <c r="E8" s="20">
        <v>101.19</v>
      </c>
      <c r="F8" s="6" t="s">
        <v>11</v>
      </c>
    </row>
    <row r="9" ht="14.25" customHeight="1">
      <c r="A9" s="19"/>
      <c r="B9" s="6" t="s">
        <v>33</v>
      </c>
      <c r="C9" s="6">
        <v>7.0</v>
      </c>
      <c r="D9" s="6" t="s">
        <v>34</v>
      </c>
      <c r="E9" s="22">
        <v>313.9</v>
      </c>
      <c r="F9" s="6" t="s">
        <v>11</v>
      </c>
      <c r="I9" s="23">
        <f>I3+I4+I5+I6+I2</f>
        <v>110049</v>
      </c>
    </row>
    <row r="10" ht="14.25" customHeight="1">
      <c r="A10" s="19"/>
      <c r="B10" s="6" t="s">
        <v>35</v>
      </c>
      <c r="C10" s="6">
        <v>8.0</v>
      </c>
      <c r="D10" s="6" t="s">
        <v>36</v>
      </c>
      <c r="E10" s="24">
        <v>3968.07</v>
      </c>
      <c r="F10" s="6" t="s">
        <v>11</v>
      </c>
      <c r="H10" s="8" t="s">
        <v>37</v>
      </c>
      <c r="I10" s="25">
        <f>E24-I9</f>
        <v>3054.7</v>
      </c>
      <c r="L10" s="8">
        <v>7.0</v>
      </c>
      <c r="M10" s="8">
        <v>14.0</v>
      </c>
      <c r="Q10" s="8">
        <v>15.0</v>
      </c>
      <c r="R10" s="12">
        <f>E9+E16+E17</f>
        <v>3085.09</v>
      </c>
      <c r="S10" s="12">
        <f>R10-I10</f>
        <v>30.39</v>
      </c>
    </row>
    <row r="11" ht="14.25" customHeight="1">
      <c r="A11" s="19"/>
      <c r="B11" s="6" t="s">
        <v>38</v>
      </c>
      <c r="C11" s="6">
        <v>9.0</v>
      </c>
      <c r="D11" s="6" t="s">
        <v>39</v>
      </c>
      <c r="E11" s="16">
        <v>3221.91</v>
      </c>
      <c r="F11" s="6" t="s">
        <v>11</v>
      </c>
      <c r="G11" s="8" t="s">
        <v>24</v>
      </c>
    </row>
    <row r="12" ht="14.25" customHeight="1">
      <c r="A12" s="19"/>
      <c r="B12" s="6" t="s">
        <v>40</v>
      </c>
      <c r="C12" s="6">
        <v>10.0</v>
      </c>
      <c r="D12" s="6" t="s">
        <v>41</v>
      </c>
      <c r="E12" s="24">
        <v>6404.97</v>
      </c>
      <c r="F12" s="6" t="s">
        <v>11</v>
      </c>
    </row>
    <row r="13" ht="14.25" customHeight="1">
      <c r="A13" s="19"/>
      <c r="B13" s="6" t="s">
        <v>38</v>
      </c>
      <c r="C13" s="6">
        <v>11.0</v>
      </c>
      <c r="D13" s="6" t="s">
        <v>42</v>
      </c>
      <c r="E13" s="16">
        <v>411.94</v>
      </c>
      <c r="F13" s="6" t="s">
        <v>11</v>
      </c>
      <c r="G13" s="8" t="s">
        <v>24</v>
      </c>
    </row>
    <row r="14" ht="14.25" customHeight="1">
      <c r="A14" s="19"/>
      <c r="B14" s="6" t="s">
        <v>43</v>
      </c>
      <c r="C14" s="6">
        <v>12.0</v>
      </c>
      <c r="D14" s="6" t="s">
        <v>44</v>
      </c>
      <c r="E14" s="16">
        <v>6450.0</v>
      </c>
      <c r="F14" s="6" t="s">
        <v>11</v>
      </c>
      <c r="G14" s="8" t="s">
        <v>24</v>
      </c>
    </row>
    <row r="15" ht="14.25" customHeight="1">
      <c r="A15" s="19"/>
      <c r="B15" s="6" t="s">
        <v>45</v>
      </c>
      <c r="C15" s="6">
        <v>13.0</v>
      </c>
      <c r="D15" s="6" t="s">
        <v>46</v>
      </c>
      <c r="E15" s="24">
        <v>575.0</v>
      </c>
      <c r="F15" s="6" t="s">
        <v>11</v>
      </c>
    </row>
    <row r="16" ht="14.25" customHeight="1">
      <c r="A16" s="19"/>
      <c r="B16" s="6" t="s">
        <v>47</v>
      </c>
      <c r="C16" s="6">
        <v>14.0</v>
      </c>
      <c r="D16" s="6" t="s">
        <v>48</v>
      </c>
      <c r="E16" s="22">
        <v>1700.19</v>
      </c>
      <c r="F16" s="6" t="s">
        <v>11</v>
      </c>
      <c r="H16" s="8" t="s">
        <v>49</v>
      </c>
      <c r="I16" s="23">
        <f>transferenicias!E16</f>
        <v>-101850.01</v>
      </c>
    </row>
    <row r="17" ht="14.25" customHeight="1">
      <c r="A17" s="19"/>
      <c r="B17" s="6" t="s">
        <v>45</v>
      </c>
      <c r="C17" s="6">
        <v>15.0</v>
      </c>
      <c r="D17" s="6" t="s">
        <v>50</v>
      </c>
      <c r="E17" s="26">
        <v>1071.0</v>
      </c>
      <c r="F17" s="6" t="s">
        <v>11</v>
      </c>
    </row>
    <row r="18" ht="14.25" customHeight="1">
      <c r="A18" s="19"/>
      <c r="B18" s="6" t="s">
        <v>47</v>
      </c>
      <c r="C18" s="6">
        <v>16.0</v>
      </c>
      <c r="D18" s="6" t="s">
        <v>51</v>
      </c>
      <c r="E18" s="24">
        <v>9088.32</v>
      </c>
      <c r="F18" s="6" t="s">
        <v>11</v>
      </c>
    </row>
    <row r="19" ht="14.25" customHeight="1">
      <c r="A19" s="19"/>
      <c r="B19" s="6" t="s">
        <v>38</v>
      </c>
      <c r="C19" s="6">
        <v>17.0</v>
      </c>
      <c r="D19" s="6" t="s">
        <v>52</v>
      </c>
      <c r="E19" s="20">
        <v>3271.33</v>
      </c>
      <c r="F19" s="6" t="s">
        <v>11</v>
      </c>
    </row>
    <row r="20" ht="14.25" customHeight="1">
      <c r="A20" s="19"/>
      <c r="B20" s="6"/>
      <c r="C20" s="6"/>
      <c r="D20" s="6"/>
      <c r="E20" s="16"/>
      <c r="F20" s="6" t="s">
        <v>11</v>
      </c>
    </row>
    <row r="21" ht="14.25" customHeight="1">
      <c r="A21" s="19"/>
      <c r="B21" s="6"/>
      <c r="C21" s="6"/>
      <c r="D21" s="6"/>
      <c r="E21" s="16"/>
      <c r="F21" s="5" t="s">
        <v>53</v>
      </c>
    </row>
    <row r="22" ht="14.25" customHeight="1">
      <c r="A22" s="27"/>
      <c r="B22" s="6"/>
      <c r="C22" s="6"/>
      <c r="D22" s="5" t="s">
        <v>54</v>
      </c>
      <c r="E22" s="28">
        <f>SUM(E5:E21)</f>
        <v>46028.7</v>
      </c>
      <c r="F22" s="6"/>
      <c r="H22" s="8" t="s">
        <v>55</v>
      </c>
      <c r="J22" s="29">
        <f>627+493.79</f>
        <v>1120.79</v>
      </c>
      <c r="K22" s="29">
        <f>J22-721</f>
        <v>399.79</v>
      </c>
    </row>
    <row r="23" ht="14.25" customHeight="1">
      <c r="E23" s="30"/>
      <c r="H23" s="8">
        <v>904.94</v>
      </c>
    </row>
    <row r="24" ht="14.25" customHeight="1">
      <c r="D24" s="3" t="s">
        <v>56</v>
      </c>
      <c r="E24" s="31">
        <f>E2+E3+E22+E4</f>
        <v>113103.7</v>
      </c>
      <c r="H24" s="29">
        <f>H23-721</f>
        <v>183.94</v>
      </c>
    </row>
    <row r="25" ht="14.25" customHeight="1">
      <c r="E25" s="30"/>
    </row>
    <row r="26" ht="14.25" customHeight="1">
      <c r="E26" s="30"/>
    </row>
    <row r="27" ht="14.25" customHeight="1">
      <c r="D27" s="8" t="s">
        <v>57</v>
      </c>
      <c r="E27" s="32">
        <v>475.0</v>
      </c>
    </row>
    <row r="28" ht="14.25" customHeight="1">
      <c r="D28" s="8" t="s">
        <v>58</v>
      </c>
      <c r="E28" s="32">
        <v>68.0</v>
      </c>
    </row>
    <row r="29" ht="14.25" customHeight="1">
      <c r="D29" s="8" t="s">
        <v>59</v>
      </c>
      <c r="E29" s="32">
        <v>1788.0</v>
      </c>
    </row>
    <row r="30" ht="14.25" customHeight="1">
      <c r="E30" s="32"/>
    </row>
    <row r="31" ht="14.25" customHeight="1">
      <c r="E31" s="30">
        <f>E27+E28+E29+E30</f>
        <v>2331</v>
      </c>
    </row>
    <row r="32" ht="14.25" customHeight="1">
      <c r="E32" s="30"/>
    </row>
    <row r="33" ht="14.25" customHeight="1">
      <c r="E33" s="30"/>
    </row>
    <row r="34" ht="14.25" customHeight="1">
      <c r="E34" s="30"/>
    </row>
    <row r="35" ht="14.25" customHeight="1">
      <c r="E35" s="30"/>
    </row>
    <row r="36" ht="14.25" customHeight="1">
      <c r="E36" s="30"/>
    </row>
    <row r="37" ht="14.25" customHeight="1">
      <c r="E37" s="30"/>
    </row>
    <row r="38" ht="14.25" customHeight="1">
      <c r="E38" s="30"/>
    </row>
    <row r="39" ht="14.25" customHeight="1">
      <c r="E39" s="30"/>
    </row>
    <row r="40" ht="14.25" customHeight="1">
      <c r="E40" s="30"/>
    </row>
    <row r="41" ht="14.25" customHeight="1">
      <c r="E41" s="30"/>
    </row>
    <row r="42" ht="14.25" customHeight="1">
      <c r="E42" s="30"/>
    </row>
    <row r="43" ht="14.25" customHeight="1">
      <c r="E43" s="30"/>
    </row>
    <row r="44" ht="14.25" customHeight="1">
      <c r="E44" s="30"/>
    </row>
    <row r="45" ht="14.25" customHeight="1">
      <c r="E45" s="30"/>
    </row>
    <row r="46" ht="14.25" customHeight="1">
      <c r="E46" s="30"/>
    </row>
    <row r="47" ht="14.25" customHeight="1">
      <c r="E47" s="30"/>
    </row>
    <row r="48" ht="14.25" customHeight="1">
      <c r="E48" s="30"/>
    </row>
    <row r="49" ht="14.25" customHeight="1">
      <c r="E49" s="30"/>
    </row>
    <row r="50" ht="14.25" customHeight="1">
      <c r="E50" s="30"/>
    </row>
    <row r="51" ht="14.25" customHeight="1">
      <c r="E51" s="30"/>
    </row>
    <row r="52" ht="14.25" customHeight="1">
      <c r="E52" s="30"/>
    </row>
    <row r="53" ht="14.25" customHeight="1">
      <c r="E53" s="30"/>
    </row>
    <row r="54" ht="14.25" customHeight="1">
      <c r="E54" s="30"/>
    </row>
    <row r="55" ht="14.25" customHeight="1">
      <c r="E55" s="30"/>
    </row>
    <row r="56" ht="14.25" customHeight="1">
      <c r="E56" s="30"/>
    </row>
    <row r="57" ht="14.25" customHeight="1">
      <c r="E57" s="30"/>
      <c r="G57" s="33"/>
    </row>
    <row r="58" ht="14.25" customHeight="1">
      <c r="E58" s="30"/>
    </row>
    <row r="59" ht="14.25" customHeight="1">
      <c r="E59" s="30"/>
    </row>
    <row r="60" ht="14.25" customHeight="1">
      <c r="E60" s="30"/>
    </row>
    <row r="61" ht="14.25" customHeight="1">
      <c r="E61" s="30"/>
    </row>
    <row r="62" ht="14.25" customHeight="1">
      <c r="E62" s="30"/>
    </row>
    <row r="63" ht="14.25" customHeight="1">
      <c r="E63" s="30"/>
    </row>
    <row r="64" ht="14.25" customHeight="1">
      <c r="E64" s="30"/>
    </row>
    <row r="65" ht="14.25" customHeight="1">
      <c r="E65" s="30"/>
    </row>
    <row r="66" ht="14.25" customHeight="1">
      <c r="E66" s="30"/>
    </row>
    <row r="67" ht="14.25" customHeight="1">
      <c r="E67" s="30"/>
    </row>
    <row r="68" ht="14.25" customHeight="1">
      <c r="E68" s="30"/>
    </row>
    <row r="69" ht="14.25" customHeight="1">
      <c r="E69" s="30"/>
    </row>
    <row r="70" ht="14.25" customHeight="1">
      <c r="E70" s="30"/>
    </row>
    <row r="71" ht="14.25" customHeight="1">
      <c r="E71" s="30"/>
    </row>
    <row r="72" ht="14.25" customHeight="1">
      <c r="E72" s="30"/>
    </row>
    <row r="73" ht="14.25" customHeight="1">
      <c r="E73" s="30"/>
    </row>
    <row r="74" ht="14.25" customHeight="1">
      <c r="E74" s="30"/>
    </row>
    <row r="75" ht="14.25" customHeight="1">
      <c r="E75" s="30"/>
    </row>
    <row r="76" ht="14.25" customHeight="1">
      <c r="E76" s="30"/>
    </row>
    <row r="77" ht="14.25" customHeight="1">
      <c r="E77" s="30"/>
    </row>
    <row r="78" ht="14.25" customHeight="1">
      <c r="E78" s="30"/>
    </row>
    <row r="79" ht="14.25" customHeight="1">
      <c r="E79" s="30"/>
    </row>
    <row r="80" ht="14.25" customHeight="1">
      <c r="E80" s="30"/>
    </row>
    <row r="81" ht="14.25" customHeight="1">
      <c r="E81" s="30"/>
    </row>
    <row r="82" ht="14.25" customHeight="1">
      <c r="E82" s="30"/>
    </row>
    <row r="83" ht="14.25" customHeight="1">
      <c r="E83" s="30"/>
    </row>
    <row r="84" ht="14.25" customHeight="1">
      <c r="E84" s="30"/>
    </row>
    <row r="85" ht="14.25" customHeight="1">
      <c r="E85" s="30"/>
    </row>
    <row r="86" ht="14.25" customHeight="1">
      <c r="E86" s="30"/>
    </row>
    <row r="87" ht="14.25" customHeight="1">
      <c r="E87" s="30"/>
    </row>
    <row r="88" ht="14.25" customHeight="1">
      <c r="E88" s="30"/>
    </row>
    <row r="89" ht="14.25" customHeight="1">
      <c r="E89" s="30"/>
    </row>
    <row r="90" ht="14.25" customHeight="1">
      <c r="E90" s="30"/>
    </row>
    <row r="91" ht="14.25" customHeight="1">
      <c r="E91" s="30"/>
    </row>
    <row r="92" ht="14.25" customHeight="1">
      <c r="E92" s="30"/>
    </row>
    <row r="93" ht="14.25" customHeight="1">
      <c r="E93" s="30"/>
    </row>
    <row r="94" ht="14.25" customHeight="1">
      <c r="E94" s="30"/>
    </row>
    <row r="95" ht="14.25" customHeight="1">
      <c r="E95" s="30"/>
    </row>
    <row r="96" ht="14.25" customHeight="1">
      <c r="E96" s="30"/>
    </row>
    <row r="97" ht="14.25" customHeight="1">
      <c r="E97" s="30"/>
    </row>
    <row r="98" ht="14.25" customHeight="1">
      <c r="E98" s="30"/>
    </row>
    <row r="99" ht="14.25" customHeight="1">
      <c r="E99" s="30"/>
    </row>
    <row r="100" ht="14.25" customHeight="1">
      <c r="E100" s="30"/>
    </row>
    <row r="101" ht="14.25" customHeight="1">
      <c r="E101" s="30"/>
    </row>
    <row r="102" ht="14.25" customHeight="1">
      <c r="E102" s="30"/>
    </row>
    <row r="103" ht="14.25" customHeight="1">
      <c r="E103" s="30"/>
    </row>
    <row r="104" ht="14.25" customHeight="1">
      <c r="E104" s="30"/>
    </row>
    <row r="105" ht="14.25" customHeight="1">
      <c r="E105" s="30"/>
    </row>
    <row r="106" ht="14.25" customHeight="1">
      <c r="E106" s="30"/>
    </row>
    <row r="107" ht="14.25" customHeight="1">
      <c r="E107" s="30"/>
    </row>
    <row r="108" ht="14.25" customHeight="1">
      <c r="E108" s="30"/>
    </row>
    <row r="109" ht="14.25" customHeight="1">
      <c r="E109" s="30"/>
    </row>
    <row r="110" ht="14.25" customHeight="1">
      <c r="E110" s="30"/>
    </row>
    <row r="111" ht="14.25" customHeight="1">
      <c r="E111" s="30"/>
    </row>
    <row r="112" ht="14.25" customHeight="1">
      <c r="E112" s="30"/>
    </row>
    <row r="113" ht="14.25" customHeight="1">
      <c r="E113" s="30"/>
    </row>
    <row r="114" ht="14.25" customHeight="1">
      <c r="E114" s="30"/>
    </row>
    <row r="115" ht="14.25" customHeight="1">
      <c r="E115" s="30"/>
    </row>
    <row r="116" ht="14.25" customHeight="1">
      <c r="E116" s="30"/>
    </row>
    <row r="117" ht="14.25" customHeight="1">
      <c r="E117" s="30"/>
    </row>
    <row r="118" ht="14.25" customHeight="1">
      <c r="E118" s="30"/>
    </row>
    <row r="119" ht="14.25" customHeight="1">
      <c r="E119" s="30"/>
    </row>
    <row r="120" ht="14.25" customHeight="1">
      <c r="E120" s="30"/>
    </row>
    <row r="121" ht="14.25" customHeight="1">
      <c r="E121" s="30"/>
    </row>
    <row r="122" ht="14.25" customHeight="1">
      <c r="E122" s="30"/>
    </row>
    <row r="123" ht="14.25" customHeight="1">
      <c r="E123" s="30"/>
    </row>
    <row r="124" ht="14.25" customHeight="1">
      <c r="E124" s="30"/>
    </row>
    <row r="125" ht="14.25" customHeight="1">
      <c r="E125" s="30"/>
    </row>
    <row r="126" ht="14.25" customHeight="1">
      <c r="E126" s="30"/>
    </row>
    <row r="127" ht="14.25" customHeight="1">
      <c r="E127" s="30"/>
    </row>
    <row r="128" ht="14.25" customHeight="1">
      <c r="E128" s="30"/>
    </row>
    <row r="129" ht="14.25" customHeight="1">
      <c r="E129" s="30"/>
    </row>
    <row r="130" ht="14.25" customHeight="1">
      <c r="E130" s="30"/>
    </row>
    <row r="131" ht="14.25" customHeight="1">
      <c r="E131" s="30"/>
    </row>
    <row r="132" ht="14.25" customHeight="1">
      <c r="E132" s="30"/>
    </row>
    <row r="133" ht="14.25" customHeight="1">
      <c r="E133" s="30"/>
    </row>
    <row r="134" ht="14.25" customHeight="1">
      <c r="E134" s="30"/>
    </row>
    <row r="135" ht="14.25" customHeight="1">
      <c r="E135" s="30"/>
    </row>
    <row r="136" ht="14.25" customHeight="1">
      <c r="E136" s="30"/>
    </row>
    <row r="137" ht="14.25" customHeight="1">
      <c r="E137" s="30"/>
    </row>
    <row r="138" ht="14.25" customHeight="1">
      <c r="E138" s="30"/>
    </row>
    <row r="139" ht="14.25" customHeight="1">
      <c r="E139" s="30"/>
    </row>
    <row r="140" ht="14.25" customHeight="1">
      <c r="E140" s="30"/>
    </row>
    <row r="141" ht="14.25" customHeight="1">
      <c r="E141" s="30"/>
    </row>
    <row r="142" ht="14.25" customHeight="1">
      <c r="E142" s="30"/>
    </row>
    <row r="143" ht="14.25" customHeight="1">
      <c r="E143" s="30"/>
    </row>
    <row r="144" ht="14.25" customHeight="1">
      <c r="E144" s="30"/>
    </row>
    <row r="145" ht="14.25" customHeight="1">
      <c r="E145" s="30"/>
    </row>
    <row r="146" ht="14.25" customHeight="1">
      <c r="E146" s="30"/>
    </row>
    <row r="147" ht="14.25" customHeight="1">
      <c r="E147" s="30"/>
    </row>
    <row r="148" ht="14.25" customHeight="1">
      <c r="E148" s="30"/>
    </row>
    <row r="149" ht="14.25" customHeight="1">
      <c r="E149" s="30"/>
    </row>
    <row r="150" ht="14.25" customHeight="1">
      <c r="E150" s="30"/>
    </row>
    <row r="151" ht="14.25" customHeight="1">
      <c r="E151" s="30"/>
    </row>
    <row r="152" ht="14.25" customHeight="1">
      <c r="E152" s="30"/>
    </row>
    <row r="153" ht="14.25" customHeight="1">
      <c r="E153" s="30"/>
    </row>
    <row r="154" ht="14.25" customHeight="1">
      <c r="E154" s="30"/>
    </row>
    <row r="155" ht="14.25" customHeight="1">
      <c r="E155" s="30"/>
    </row>
    <row r="156" ht="14.25" customHeight="1">
      <c r="E156" s="30"/>
    </row>
    <row r="157" ht="14.25" customHeight="1">
      <c r="E157" s="30"/>
    </row>
    <row r="158" ht="14.25" customHeight="1">
      <c r="E158" s="30"/>
    </row>
    <row r="159" ht="14.25" customHeight="1">
      <c r="E159" s="30"/>
    </row>
    <row r="160" ht="14.25" customHeight="1">
      <c r="E160" s="30"/>
    </row>
    <row r="161" ht="14.25" customHeight="1">
      <c r="E161" s="30"/>
    </row>
    <row r="162" ht="14.25" customHeight="1">
      <c r="E162" s="30"/>
    </row>
    <row r="163" ht="14.25" customHeight="1">
      <c r="E163" s="30"/>
    </row>
    <row r="164" ht="14.25" customHeight="1">
      <c r="E164" s="30"/>
    </row>
    <row r="165" ht="14.25" customHeight="1">
      <c r="E165" s="30"/>
    </row>
    <row r="166" ht="14.25" customHeight="1">
      <c r="E166" s="30"/>
    </row>
    <row r="167" ht="14.25" customHeight="1">
      <c r="E167" s="30"/>
    </row>
    <row r="168" ht="14.25" customHeight="1">
      <c r="E168" s="30"/>
    </row>
    <row r="169" ht="14.25" customHeight="1">
      <c r="E169" s="30"/>
    </row>
    <row r="170" ht="14.25" customHeight="1">
      <c r="E170" s="30"/>
    </row>
    <row r="171" ht="14.25" customHeight="1">
      <c r="E171" s="30"/>
    </row>
    <row r="172" ht="14.25" customHeight="1">
      <c r="E172" s="30"/>
    </row>
    <row r="173" ht="14.25" customHeight="1">
      <c r="E173" s="30"/>
    </row>
    <row r="174" ht="14.25" customHeight="1">
      <c r="E174" s="30"/>
    </row>
    <row r="175" ht="14.25" customHeight="1">
      <c r="E175" s="30"/>
    </row>
    <row r="176" ht="14.25" customHeight="1">
      <c r="E176" s="30"/>
    </row>
    <row r="177" ht="14.25" customHeight="1">
      <c r="E177" s="30"/>
    </row>
    <row r="178" ht="14.25" customHeight="1">
      <c r="E178" s="30"/>
    </row>
    <row r="179" ht="14.25" customHeight="1">
      <c r="E179" s="30"/>
    </row>
    <row r="180" ht="14.25" customHeight="1">
      <c r="E180" s="30"/>
    </row>
    <row r="181" ht="14.25" customHeight="1">
      <c r="E181" s="30"/>
    </row>
    <row r="182" ht="14.25" customHeight="1">
      <c r="E182" s="30"/>
    </row>
    <row r="183" ht="14.25" customHeight="1">
      <c r="E183" s="30"/>
    </row>
    <row r="184" ht="14.25" customHeight="1">
      <c r="E184" s="30"/>
    </row>
    <row r="185" ht="14.25" customHeight="1">
      <c r="E185" s="30"/>
    </row>
    <row r="186" ht="14.25" customHeight="1">
      <c r="E186" s="30"/>
    </row>
    <row r="187" ht="14.25" customHeight="1">
      <c r="E187" s="30"/>
    </row>
    <row r="188" ht="14.25" customHeight="1">
      <c r="E188" s="30"/>
    </row>
    <row r="189" ht="14.25" customHeight="1">
      <c r="E189" s="30"/>
    </row>
    <row r="190" ht="14.25" customHeight="1">
      <c r="E190" s="30"/>
    </row>
    <row r="191" ht="14.25" customHeight="1">
      <c r="E191" s="30"/>
    </row>
    <row r="192" ht="14.25" customHeight="1">
      <c r="E192" s="30"/>
    </row>
    <row r="193" ht="14.25" customHeight="1">
      <c r="E193" s="30"/>
    </row>
    <row r="194" ht="14.25" customHeight="1">
      <c r="E194" s="30"/>
    </row>
    <row r="195" ht="14.25" customHeight="1">
      <c r="E195" s="30"/>
    </row>
    <row r="196" ht="14.25" customHeight="1">
      <c r="E196" s="30"/>
    </row>
    <row r="197" ht="14.25" customHeight="1">
      <c r="E197" s="30"/>
    </row>
    <row r="198" ht="14.25" customHeight="1">
      <c r="E198" s="30"/>
    </row>
    <row r="199" ht="14.25" customHeight="1">
      <c r="E199" s="30"/>
    </row>
    <row r="200" ht="14.25" customHeight="1">
      <c r="E200" s="30"/>
    </row>
    <row r="201" ht="14.25" customHeight="1">
      <c r="E201" s="30"/>
    </row>
    <row r="202" ht="14.25" customHeight="1">
      <c r="E202" s="30"/>
    </row>
    <row r="203" ht="14.25" customHeight="1">
      <c r="E203" s="30"/>
    </row>
    <row r="204" ht="14.25" customHeight="1">
      <c r="E204" s="30"/>
    </row>
    <row r="205" ht="14.25" customHeight="1">
      <c r="E205" s="30"/>
    </row>
    <row r="206" ht="14.25" customHeight="1">
      <c r="E206" s="30"/>
    </row>
    <row r="207" ht="14.25" customHeight="1">
      <c r="E207" s="30"/>
    </row>
    <row r="208" ht="14.25" customHeight="1">
      <c r="E208" s="30"/>
    </row>
    <row r="209" ht="14.25" customHeight="1">
      <c r="E209" s="30"/>
    </row>
    <row r="210" ht="14.25" customHeight="1">
      <c r="E210" s="30"/>
    </row>
    <row r="211" ht="14.25" customHeight="1">
      <c r="E211" s="30"/>
    </row>
    <row r="212" ht="14.25" customHeight="1">
      <c r="E212" s="30"/>
    </row>
    <row r="213" ht="14.25" customHeight="1">
      <c r="E213" s="30"/>
    </row>
    <row r="214" ht="14.25" customHeight="1">
      <c r="E214" s="30"/>
    </row>
    <row r="215" ht="14.25" customHeight="1">
      <c r="E215" s="30"/>
    </row>
    <row r="216" ht="14.25" customHeight="1">
      <c r="E216" s="30"/>
    </row>
    <row r="217" ht="14.25" customHeight="1">
      <c r="E217" s="30"/>
    </row>
    <row r="218" ht="14.25" customHeight="1">
      <c r="E218" s="30"/>
    </row>
    <row r="219" ht="14.25" customHeight="1">
      <c r="E219" s="30"/>
    </row>
    <row r="220" ht="14.25" customHeight="1">
      <c r="E220" s="30"/>
    </row>
    <row r="221" ht="14.25" customHeight="1">
      <c r="E221" s="30"/>
    </row>
    <row r="222" ht="14.25" customHeight="1">
      <c r="E222" s="30"/>
    </row>
    <row r="223" ht="14.25" customHeight="1">
      <c r="E223" s="30"/>
    </row>
    <row r="224" ht="14.25" customHeight="1">
      <c r="E224" s="30"/>
    </row>
    <row r="225" ht="14.25" customHeight="1">
      <c r="E225" s="30"/>
    </row>
    <row r="226" ht="14.25" customHeight="1">
      <c r="E226" s="30"/>
    </row>
    <row r="227" ht="14.25" customHeight="1">
      <c r="E227" s="30"/>
    </row>
    <row r="228" ht="14.25" customHeight="1">
      <c r="E228" s="30"/>
    </row>
    <row r="229" ht="14.25" customHeight="1">
      <c r="E229" s="30"/>
    </row>
    <row r="230" ht="14.25" customHeight="1">
      <c r="E230" s="30"/>
    </row>
    <row r="231" ht="14.25" customHeight="1">
      <c r="E231" s="30"/>
    </row>
    <row r="232" ht="14.25" customHeight="1">
      <c r="E232" s="30"/>
    </row>
    <row r="233" ht="14.25" customHeight="1">
      <c r="E233" s="30"/>
    </row>
    <row r="234" ht="14.25" customHeight="1">
      <c r="E234" s="30"/>
    </row>
    <row r="235" ht="14.25" customHeight="1">
      <c r="E235" s="30"/>
    </row>
    <row r="236" ht="14.25" customHeight="1">
      <c r="E236" s="30"/>
    </row>
    <row r="237" ht="14.25" customHeight="1">
      <c r="E237" s="30"/>
    </row>
    <row r="238" ht="14.25" customHeight="1">
      <c r="E238" s="30"/>
    </row>
    <row r="239" ht="14.25" customHeight="1">
      <c r="E239" s="30"/>
    </row>
    <row r="240" ht="14.25" customHeight="1">
      <c r="E240" s="30"/>
    </row>
    <row r="241" ht="14.25" customHeight="1">
      <c r="E241" s="30"/>
    </row>
    <row r="242" ht="14.25" customHeight="1">
      <c r="E242" s="30"/>
    </row>
    <row r="243" ht="14.25" customHeight="1">
      <c r="E243" s="30"/>
    </row>
    <row r="244" ht="14.25" customHeight="1">
      <c r="E244" s="30"/>
    </row>
    <row r="245" ht="14.25" customHeight="1">
      <c r="E245" s="30"/>
    </row>
    <row r="246" ht="14.25" customHeight="1">
      <c r="E246" s="30"/>
    </row>
    <row r="247" ht="14.25" customHeight="1">
      <c r="E247" s="30"/>
    </row>
    <row r="248" ht="14.25" customHeight="1">
      <c r="E248" s="30"/>
    </row>
    <row r="249" ht="14.25" customHeight="1">
      <c r="E249" s="30"/>
    </row>
    <row r="250" ht="14.25" customHeight="1">
      <c r="E250" s="30"/>
    </row>
    <row r="251" ht="14.25" customHeight="1">
      <c r="E251" s="30"/>
    </row>
    <row r="252" ht="14.25" customHeight="1">
      <c r="E252" s="30"/>
    </row>
    <row r="253" ht="14.25" customHeight="1">
      <c r="E253" s="30"/>
    </row>
    <row r="254" ht="14.25" customHeight="1">
      <c r="E254" s="30"/>
    </row>
    <row r="255" ht="14.25" customHeight="1">
      <c r="E255" s="30"/>
    </row>
    <row r="256" ht="14.25" customHeight="1">
      <c r="E256" s="30"/>
    </row>
    <row r="257" ht="14.25" customHeight="1">
      <c r="E257" s="30"/>
    </row>
    <row r="258" ht="14.25" customHeight="1">
      <c r="E258" s="30"/>
    </row>
    <row r="259" ht="14.25" customHeight="1">
      <c r="E259" s="30"/>
    </row>
    <row r="260" ht="14.25" customHeight="1">
      <c r="E260" s="30"/>
    </row>
    <row r="261" ht="14.25" customHeight="1">
      <c r="E261" s="30"/>
    </row>
    <row r="262" ht="14.25" customHeight="1">
      <c r="E262" s="30"/>
    </row>
    <row r="263" ht="14.25" customHeight="1">
      <c r="E263" s="30"/>
    </row>
    <row r="264" ht="14.25" customHeight="1">
      <c r="E264" s="30"/>
    </row>
    <row r="265" ht="14.25" customHeight="1">
      <c r="E265" s="30"/>
    </row>
    <row r="266" ht="14.25" customHeight="1">
      <c r="E266" s="30"/>
    </row>
    <row r="267" ht="14.25" customHeight="1">
      <c r="E267" s="30"/>
    </row>
    <row r="268" ht="14.25" customHeight="1">
      <c r="E268" s="30"/>
    </row>
    <row r="269" ht="14.25" customHeight="1">
      <c r="E269" s="30"/>
    </row>
    <row r="270" ht="14.25" customHeight="1">
      <c r="E270" s="30"/>
    </row>
    <row r="271" ht="14.25" customHeight="1">
      <c r="E271" s="30"/>
    </row>
    <row r="272" ht="14.25" customHeight="1">
      <c r="E272" s="30"/>
    </row>
    <row r="273" ht="14.25" customHeight="1">
      <c r="E273" s="30"/>
    </row>
    <row r="274" ht="14.25" customHeight="1">
      <c r="E274" s="30"/>
    </row>
    <row r="275" ht="14.25" customHeight="1">
      <c r="E275" s="30"/>
    </row>
    <row r="276" ht="14.25" customHeight="1">
      <c r="E276" s="30"/>
    </row>
    <row r="277" ht="14.25" customHeight="1">
      <c r="E277" s="30"/>
    </row>
    <row r="278" ht="14.25" customHeight="1">
      <c r="E278" s="30"/>
    </row>
    <row r="279" ht="14.25" customHeight="1">
      <c r="E279" s="30"/>
    </row>
    <row r="280" ht="14.25" customHeight="1">
      <c r="E280" s="30"/>
    </row>
    <row r="281" ht="14.25" customHeight="1">
      <c r="E281" s="30"/>
    </row>
    <row r="282" ht="14.25" customHeight="1">
      <c r="E282" s="30"/>
    </row>
    <row r="283" ht="14.25" customHeight="1">
      <c r="E283" s="30"/>
    </row>
    <row r="284" ht="14.25" customHeight="1">
      <c r="E284" s="30"/>
    </row>
    <row r="285" ht="14.25" customHeight="1">
      <c r="E285" s="30"/>
    </row>
    <row r="286" ht="14.25" customHeight="1">
      <c r="E286" s="30"/>
    </row>
    <row r="287" ht="14.25" customHeight="1">
      <c r="E287" s="30"/>
    </row>
    <row r="288" ht="14.25" customHeight="1">
      <c r="E288" s="30"/>
    </row>
    <row r="289" ht="14.25" customHeight="1">
      <c r="E289" s="30"/>
    </row>
    <row r="290" ht="14.25" customHeight="1">
      <c r="E290" s="30"/>
    </row>
    <row r="291" ht="14.25" customHeight="1">
      <c r="E291" s="30"/>
    </row>
    <row r="292" ht="14.25" customHeight="1">
      <c r="E292" s="30"/>
    </row>
    <row r="293" ht="14.25" customHeight="1">
      <c r="E293" s="30"/>
    </row>
    <row r="294" ht="14.25" customHeight="1">
      <c r="E294" s="30"/>
    </row>
    <row r="295" ht="14.25" customHeight="1">
      <c r="E295" s="30"/>
    </row>
    <row r="296" ht="14.25" customHeight="1">
      <c r="E296" s="30"/>
    </row>
    <row r="297" ht="14.25" customHeight="1">
      <c r="E297" s="30"/>
    </row>
    <row r="298" ht="14.25" customHeight="1">
      <c r="E298" s="30"/>
    </row>
    <row r="299" ht="14.25" customHeight="1">
      <c r="E299" s="30"/>
    </row>
    <row r="300" ht="14.25" customHeight="1">
      <c r="E300" s="30"/>
    </row>
    <row r="301" ht="14.25" customHeight="1">
      <c r="E301" s="30"/>
    </row>
    <row r="302" ht="14.25" customHeight="1">
      <c r="E302" s="30"/>
    </row>
    <row r="303" ht="14.25" customHeight="1">
      <c r="E303" s="30"/>
    </row>
    <row r="304" ht="14.25" customHeight="1">
      <c r="E304" s="30"/>
    </row>
    <row r="305" ht="14.25" customHeight="1">
      <c r="E305" s="30"/>
    </row>
    <row r="306" ht="14.25" customHeight="1">
      <c r="E306" s="30"/>
    </row>
    <row r="307" ht="14.25" customHeight="1">
      <c r="E307" s="30"/>
    </row>
    <row r="308" ht="14.25" customHeight="1">
      <c r="E308" s="30"/>
    </row>
    <row r="309" ht="14.25" customHeight="1">
      <c r="E309" s="30"/>
    </row>
    <row r="310" ht="14.25" customHeight="1">
      <c r="E310" s="30"/>
    </row>
    <row r="311" ht="14.25" customHeight="1">
      <c r="E311" s="30"/>
    </row>
    <row r="312" ht="14.25" customHeight="1">
      <c r="E312" s="30"/>
    </row>
    <row r="313" ht="14.25" customHeight="1">
      <c r="E313" s="30"/>
    </row>
    <row r="314" ht="14.25" customHeight="1">
      <c r="E314" s="30"/>
    </row>
    <row r="315" ht="14.25" customHeight="1">
      <c r="E315" s="30"/>
    </row>
    <row r="316" ht="14.25" customHeight="1">
      <c r="E316" s="30"/>
    </row>
    <row r="317" ht="14.25" customHeight="1">
      <c r="E317" s="30"/>
    </row>
    <row r="318" ht="14.25" customHeight="1">
      <c r="E318" s="30"/>
    </row>
    <row r="319" ht="14.25" customHeight="1">
      <c r="E319" s="30"/>
    </row>
    <row r="320" ht="14.25" customHeight="1">
      <c r="E320" s="30"/>
    </row>
    <row r="321" ht="14.25" customHeight="1">
      <c r="E321" s="30"/>
    </row>
    <row r="322" ht="14.25" customHeight="1">
      <c r="E322" s="30"/>
    </row>
    <row r="323" ht="14.25" customHeight="1">
      <c r="E323" s="30"/>
    </row>
    <row r="324" ht="14.25" customHeight="1">
      <c r="E324" s="30"/>
    </row>
    <row r="325" ht="14.25" customHeight="1">
      <c r="E325" s="30"/>
    </row>
    <row r="326" ht="14.25" customHeight="1">
      <c r="E326" s="30"/>
    </row>
    <row r="327" ht="14.25" customHeight="1">
      <c r="E327" s="30"/>
    </row>
    <row r="328" ht="14.25" customHeight="1">
      <c r="E328" s="30"/>
    </row>
    <row r="329" ht="14.25" customHeight="1">
      <c r="E329" s="30"/>
    </row>
    <row r="330" ht="14.25" customHeight="1">
      <c r="E330" s="30"/>
    </row>
    <row r="331" ht="14.25" customHeight="1">
      <c r="E331" s="30"/>
    </row>
    <row r="332" ht="14.25" customHeight="1">
      <c r="E332" s="30"/>
    </row>
    <row r="333" ht="14.25" customHeight="1">
      <c r="E333" s="30"/>
    </row>
    <row r="334" ht="14.25" customHeight="1">
      <c r="E334" s="30"/>
    </row>
    <row r="335" ht="14.25" customHeight="1">
      <c r="E335" s="30"/>
    </row>
    <row r="336" ht="14.25" customHeight="1">
      <c r="E336" s="30"/>
    </row>
    <row r="337" ht="14.25" customHeight="1">
      <c r="E337" s="30"/>
    </row>
    <row r="338" ht="14.25" customHeight="1">
      <c r="E338" s="30"/>
    </row>
    <row r="339" ht="14.25" customHeight="1">
      <c r="E339" s="30"/>
    </row>
    <row r="340" ht="14.25" customHeight="1">
      <c r="E340" s="30"/>
    </row>
    <row r="341" ht="14.25" customHeight="1">
      <c r="E341" s="30"/>
    </row>
    <row r="342" ht="14.25" customHeight="1">
      <c r="E342" s="30"/>
    </row>
    <row r="343" ht="14.25" customHeight="1">
      <c r="E343" s="30"/>
    </row>
    <row r="344" ht="14.25" customHeight="1">
      <c r="E344" s="30"/>
    </row>
    <row r="345" ht="14.25" customHeight="1">
      <c r="E345" s="30"/>
    </row>
    <row r="346" ht="14.25" customHeight="1">
      <c r="E346" s="30"/>
    </row>
    <row r="347" ht="14.25" customHeight="1">
      <c r="E347" s="30"/>
    </row>
    <row r="348" ht="14.25" customHeight="1">
      <c r="E348" s="30"/>
    </row>
    <row r="349" ht="14.25" customHeight="1">
      <c r="E349" s="30"/>
    </row>
    <row r="350" ht="14.25" customHeight="1">
      <c r="E350" s="30"/>
    </row>
    <row r="351" ht="14.25" customHeight="1">
      <c r="E351" s="30"/>
    </row>
    <row r="352" ht="14.25" customHeight="1">
      <c r="E352" s="30"/>
    </row>
    <row r="353" ht="14.25" customHeight="1">
      <c r="E353" s="30"/>
    </row>
    <row r="354" ht="14.25" customHeight="1">
      <c r="E354" s="30"/>
    </row>
    <row r="355" ht="14.25" customHeight="1">
      <c r="E355" s="30"/>
    </row>
    <row r="356" ht="14.25" customHeight="1">
      <c r="E356" s="30"/>
    </row>
    <row r="357" ht="14.25" customHeight="1">
      <c r="E357" s="30"/>
    </row>
    <row r="358" ht="14.25" customHeight="1">
      <c r="E358" s="30"/>
    </row>
    <row r="359" ht="14.25" customHeight="1">
      <c r="E359" s="30"/>
    </row>
    <row r="360" ht="14.25" customHeight="1">
      <c r="E360" s="30"/>
    </row>
    <row r="361" ht="14.25" customHeight="1">
      <c r="E361" s="30"/>
    </row>
    <row r="362" ht="14.25" customHeight="1">
      <c r="E362" s="30"/>
    </row>
    <row r="363" ht="14.25" customHeight="1">
      <c r="E363" s="30"/>
    </row>
    <row r="364" ht="14.25" customHeight="1">
      <c r="E364" s="30"/>
    </row>
    <row r="365" ht="14.25" customHeight="1">
      <c r="E365" s="30"/>
    </row>
    <row r="366" ht="14.25" customHeight="1">
      <c r="E366" s="30"/>
    </row>
    <row r="367" ht="14.25" customHeight="1">
      <c r="E367" s="30"/>
    </row>
    <row r="368" ht="14.25" customHeight="1">
      <c r="E368" s="30"/>
    </row>
    <row r="369" ht="14.25" customHeight="1">
      <c r="E369" s="30"/>
    </row>
    <row r="370" ht="14.25" customHeight="1">
      <c r="E370" s="30"/>
    </row>
    <row r="371" ht="14.25" customHeight="1">
      <c r="E371" s="30"/>
    </row>
    <row r="372" ht="14.25" customHeight="1">
      <c r="E372" s="30"/>
    </row>
    <row r="373" ht="14.25" customHeight="1">
      <c r="E373" s="30"/>
    </row>
    <row r="374" ht="14.25" customHeight="1">
      <c r="E374" s="30"/>
    </row>
    <row r="375" ht="14.25" customHeight="1">
      <c r="E375" s="30"/>
    </row>
    <row r="376" ht="14.25" customHeight="1">
      <c r="E376" s="30"/>
    </row>
    <row r="377" ht="14.25" customHeight="1">
      <c r="E377" s="30"/>
    </row>
    <row r="378" ht="14.25" customHeight="1">
      <c r="E378" s="30"/>
    </row>
    <row r="379" ht="14.25" customHeight="1">
      <c r="E379" s="30"/>
    </row>
    <row r="380" ht="14.25" customHeight="1">
      <c r="E380" s="30"/>
    </row>
    <row r="381" ht="14.25" customHeight="1">
      <c r="E381" s="30"/>
    </row>
    <row r="382" ht="14.25" customHeight="1">
      <c r="E382" s="30"/>
    </row>
    <row r="383" ht="14.25" customHeight="1">
      <c r="E383" s="30"/>
    </row>
    <row r="384" ht="14.25" customHeight="1">
      <c r="E384" s="30"/>
    </row>
    <row r="385" ht="14.25" customHeight="1">
      <c r="E385" s="30"/>
    </row>
    <row r="386" ht="14.25" customHeight="1">
      <c r="E386" s="30"/>
    </row>
    <row r="387" ht="14.25" customHeight="1">
      <c r="E387" s="30"/>
    </row>
    <row r="388" ht="14.25" customHeight="1">
      <c r="E388" s="30"/>
    </row>
    <row r="389" ht="14.25" customHeight="1">
      <c r="E389" s="30"/>
    </row>
    <row r="390" ht="14.25" customHeight="1">
      <c r="E390" s="30"/>
    </row>
    <row r="391" ht="14.25" customHeight="1">
      <c r="E391" s="30"/>
    </row>
    <row r="392" ht="14.25" customHeight="1">
      <c r="E392" s="30"/>
    </row>
    <row r="393" ht="14.25" customHeight="1">
      <c r="E393" s="30"/>
    </row>
    <row r="394" ht="14.25" customHeight="1">
      <c r="E394" s="30"/>
    </row>
    <row r="395" ht="14.25" customHeight="1">
      <c r="E395" s="30"/>
    </row>
    <row r="396" ht="14.25" customHeight="1">
      <c r="E396" s="30"/>
    </row>
    <row r="397" ht="14.25" customHeight="1">
      <c r="E397" s="30"/>
    </row>
    <row r="398" ht="14.25" customHeight="1">
      <c r="E398" s="30"/>
    </row>
    <row r="399" ht="14.25" customHeight="1">
      <c r="E399" s="30"/>
    </row>
    <row r="400" ht="14.25" customHeight="1">
      <c r="E400" s="30"/>
    </row>
    <row r="401" ht="14.25" customHeight="1">
      <c r="E401" s="30"/>
    </row>
    <row r="402" ht="14.25" customHeight="1">
      <c r="E402" s="30"/>
    </row>
    <row r="403" ht="14.25" customHeight="1">
      <c r="E403" s="30"/>
    </row>
    <row r="404" ht="14.25" customHeight="1">
      <c r="E404" s="30"/>
    </row>
    <row r="405" ht="14.25" customHeight="1">
      <c r="E405" s="30"/>
    </row>
    <row r="406" ht="14.25" customHeight="1">
      <c r="E406" s="30"/>
    </row>
    <row r="407" ht="14.25" customHeight="1">
      <c r="E407" s="30"/>
    </row>
    <row r="408" ht="14.25" customHeight="1">
      <c r="E408" s="30"/>
    </row>
    <row r="409" ht="14.25" customHeight="1">
      <c r="E409" s="30"/>
    </row>
    <row r="410" ht="14.25" customHeight="1">
      <c r="E410" s="30"/>
    </row>
    <row r="411" ht="14.25" customHeight="1">
      <c r="E411" s="30"/>
    </row>
    <row r="412" ht="14.25" customHeight="1">
      <c r="E412" s="30"/>
    </row>
    <row r="413" ht="14.25" customHeight="1">
      <c r="E413" s="30"/>
    </row>
    <row r="414" ht="14.25" customHeight="1">
      <c r="E414" s="30"/>
    </row>
    <row r="415" ht="14.25" customHeight="1">
      <c r="E415" s="30"/>
    </row>
    <row r="416" ht="14.25" customHeight="1">
      <c r="E416" s="30"/>
    </row>
    <row r="417" ht="14.25" customHeight="1">
      <c r="E417" s="30"/>
    </row>
    <row r="418" ht="14.25" customHeight="1">
      <c r="E418" s="30"/>
    </row>
    <row r="419" ht="14.25" customHeight="1">
      <c r="E419" s="30"/>
    </row>
    <row r="420" ht="14.25" customHeight="1">
      <c r="E420" s="30"/>
    </row>
    <row r="421" ht="14.25" customHeight="1">
      <c r="E421" s="30"/>
    </row>
    <row r="422" ht="14.25" customHeight="1">
      <c r="E422" s="30"/>
    </row>
    <row r="423" ht="14.25" customHeight="1">
      <c r="E423" s="30"/>
    </row>
    <row r="424" ht="14.25" customHeight="1">
      <c r="E424" s="30"/>
    </row>
    <row r="425" ht="14.25" customHeight="1">
      <c r="E425" s="30"/>
    </row>
    <row r="426" ht="14.25" customHeight="1">
      <c r="E426" s="30"/>
    </row>
    <row r="427" ht="14.25" customHeight="1">
      <c r="E427" s="30"/>
    </row>
    <row r="428" ht="14.25" customHeight="1">
      <c r="E428" s="30"/>
    </row>
    <row r="429" ht="14.25" customHeight="1">
      <c r="E429" s="30"/>
    </row>
    <row r="430" ht="14.25" customHeight="1">
      <c r="E430" s="30"/>
    </row>
    <row r="431" ht="14.25" customHeight="1">
      <c r="E431" s="30"/>
    </row>
    <row r="432" ht="14.25" customHeight="1">
      <c r="E432" s="30"/>
    </row>
    <row r="433" ht="14.25" customHeight="1">
      <c r="E433" s="30"/>
    </row>
    <row r="434" ht="14.25" customHeight="1">
      <c r="E434" s="30"/>
    </row>
    <row r="435" ht="14.25" customHeight="1">
      <c r="E435" s="30"/>
    </row>
    <row r="436" ht="14.25" customHeight="1">
      <c r="E436" s="30"/>
    </row>
    <row r="437" ht="14.25" customHeight="1">
      <c r="E437" s="30"/>
    </row>
    <row r="438" ht="14.25" customHeight="1">
      <c r="E438" s="30"/>
    </row>
    <row r="439" ht="14.25" customHeight="1">
      <c r="E439" s="30"/>
    </row>
    <row r="440" ht="14.25" customHeight="1">
      <c r="E440" s="30"/>
    </row>
    <row r="441" ht="14.25" customHeight="1">
      <c r="E441" s="30"/>
    </row>
    <row r="442" ht="14.25" customHeight="1">
      <c r="E442" s="30"/>
    </row>
    <row r="443" ht="14.25" customHeight="1">
      <c r="E443" s="30"/>
    </row>
    <row r="444" ht="14.25" customHeight="1">
      <c r="E444" s="30"/>
    </row>
    <row r="445" ht="14.25" customHeight="1">
      <c r="E445" s="30"/>
    </row>
    <row r="446" ht="14.25" customHeight="1">
      <c r="E446" s="30"/>
    </row>
    <row r="447" ht="14.25" customHeight="1">
      <c r="E447" s="30"/>
    </row>
    <row r="448" ht="14.25" customHeight="1">
      <c r="E448" s="30"/>
    </row>
    <row r="449" ht="14.25" customHeight="1">
      <c r="E449" s="30"/>
    </row>
    <row r="450" ht="14.25" customHeight="1">
      <c r="E450" s="30"/>
    </row>
    <row r="451" ht="14.25" customHeight="1">
      <c r="E451" s="30"/>
    </row>
    <row r="452" ht="14.25" customHeight="1">
      <c r="E452" s="30"/>
    </row>
    <row r="453" ht="14.25" customHeight="1">
      <c r="E453" s="30"/>
    </row>
    <row r="454" ht="14.25" customHeight="1">
      <c r="E454" s="30"/>
    </row>
    <row r="455" ht="14.25" customHeight="1">
      <c r="E455" s="30"/>
    </row>
    <row r="456" ht="14.25" customHeight="1">
      <c r="E456" s="30"/>
    </row>
    <row r="457" ht="14.25" customHeight="1">
      <c r="E457" s="30"/>
    </row>
    <row r="458" ht="14.25" customHeight="1">
      <c r="E458" s="30"/>
    </row>
    <row r="459" ht="14.25" customHeight="1">
      <c r="E459" s="30"/>
    </row>
    <row r="460" ht="14.25" customHeight="1">
      <c r="E460" s="30"/>
    </row>
    <row r="461" ht="14.25" customHeight="1">
      <c r="E461" s="30"/>
    </row>
    <row r="462" ht="14.25" customHeight="1">
      <c r="E462" s="30"/>
    </row>
    <row r="463" ht="14.25" customHeight="1">
      <c r="E463" s="30"/>
    </row>
    <row r="464" ht="14.25" customHeight="1">
      <c r="E464" s="30"/>
    </row>
    <row r="465" ht="14.25" customHeight="1">
      <c r="E465" s="30"/>
    </row>
    <row r="466" ht="14.25" customHeight="1">
      <c r="E466" s="30"/>
    </row>
    <row r="467" ht="14.25" customHeight="1">
      <c r="E467" s="30"/>
    </row>
    <row r="468" ht="14.25" customHeight="1">
      <c r="E468" s="30"/>
    </row>
    <row r="469" ht="14.25" customHeight="1">
      <c r="E469" s="30"/>
    </row>
    <row r="470" ht="14.25" customHeight="1">
      <c r="E470" s="30"/>
    </row>
    <row r="471" ht="14.25" customHeight="1">
      <c r="E471" s="30"/>
    </row>
    <row r="472" ht="14.25" customHeight="1">
      <c r="E472" s="30"/>
    </row>
    <row r="473" ht="14.25" customHeight="1">
      <c r="E473" s="30"/>
    </row>
    <row r="474" ht="14.25" customHeight="1">
      <c r="E474" s="30"/>
    </row>
    <row r="475" ht="14.25" customHeight="1">
      <c r="E475" s="30"/>
    </row>
    <row r="476" ht="14.25" customHeight="1">
      <c r="E476" s="30"/>
    </row>
    <row r="477" ht="14.25" customHeight="1">
      <c r="E477" s="30"/>
    </row>
    <row r="478" ht="14.25" customHeight="1">
      <c r="E478" s="30"/>
    </row>
    <row r="479" ht="14.25" customHeight="1">
      <c r="E479" s="30"/>
    </row>
    <row r="480" ht="14.25" customHeight="1">
      <c r="E480" s="30"/>
    </row>
    <row r="481" ht="14.25" customHeight="1">
      <c r="E481" s="30"/>
    </row>
    <row r="482" ht="14.25" customHeight="1">
      <c r="E482" s="30"/>
    </row>
    <row r="483" ht="14.25" customHeight="1">
      <c r="E483" s="30"/>
    </row>
    <row r="484" ht="14.25" customHeight="1">
      <c r="E484" s="30"/>
    </row>
    <row r="485" ht="14.25" customHeight="1">
      <c r="E485" s="30"/>
    </row>
    <row r="486" ht="14.25" customHeight="1">
      <c r="E486" s="30"/>
    </row>
    <row r="487" ht="14.25" customHeight="1">
      <c r="E487" s="30"/>
    </row>
    <row r="488" ht="14.25" customHeight="1">
      <c r="E488" s="30"/>
    </row>
    <row r="489" ht="14.25" customHeight="1">
      <c r="E489" s="30"/>
    </row>
    <row r="490" ht="14.25" customHeight="1">
      <c r="E490" s="30"/>
    </row>
    <row r="491" ht="14.25" customHeight="1">
      <c r="E491" s="30"/>
    </row>
    <row r="492" ht="14.25" customHeight="1">
      <c r="E492" s="30"/>
    </row>
    <row r="493" ht="14.25" customHeight="1">
      <c r="E493" s="30"/>
    </row>
    <row r="494" ht="14.25" customHeight="1">
      <c r="E494" s="30"/>
    </row>
    <row r="495" ht="14.25" customHeight="1">
      <c r="E495" s="30"/>
    </row>
    <row r="496" ht="14.25" customHeight="1">
      <c r="E496" s="30"/>
    </row>
    <row r="497" ht="14.25" customHeight="1">
      <c r="E497" s="30"/>
    </row>
    <row r="498" ht="14.25" customHeight="1">
      <c r="E498" s="30"/>
    </row>
    <row r="499" ht="14.25" customHeight="1">
      <c r="E499" s="30"/>
    </row>
    <row r="500" ht="14.25" customHeight="1">
      <c r="E500" s="30"/>
    </row>
    <row r="501" ht="14.25" customHeight="1">
      <c r="E501" s="30"/>
    </row>
    <row r="502" ht="14.25" customHeight="1">
      <c r="E502" s="30"/>
    </row>
    <row r="503" ht="14.25" customHeight="1">
      <c r="E503" s="30"/>
    </row>
    <row r="504" ht="14.25" customHeight="1">
      <c r="E504" s="30"/>
    </row>
    <row r="505" ht="14.25" customHeight="1">
      <c r="E505" s="30"/>
    </row>
    <row r="506" ht="14.25" customHeight="1">
      <c r="E506" s="30"/>
    </row>
    <row r="507" ht="14.25" customHeight="1">
      <c r="E507" s="30"/>
    </row>
    <row r="508" ht="14.25" customHeight="1">
      <c r="E508" s="30"/>
    </row>
    <row r="509" ht="14.25" customHeight="1">
      <c r="E509" s="30"/>
    </row>
    <row r="510" ht="14.25" customHeight="1">
      <c r="E510" s="30"/>
    </row>
    <row r="511" ht="14.25" customHeight="1">
      <c r="E511" s="30"/>
    </row>
    <row r="512" ht="14.25" customHeight="1">
      <c r="E512" s="30"/>
    </row>
    <row r="513" ht="14.25" customHeight="1">
      <c r="E513" s="30"/>
    </row>
    <row r="514" ht="14.25" customHeight="1">
      <c r="E514" s="30"/>
    </row>
    <row r="515" ht="14.25" customHeight="1">
      <c r="E515" s="30"/>
    </row>
    <row r="516" ht="14.25" customHeight="1">
      <c r="E516" s="30"/>
    </row>
    <row r="517" ht="14.25" customHeight="1">
      <c r="E517" s="30"/>
    </row>
    <row r="518" ht="14.25" customHeight="1">
      <c r="E518" s="30"/>
    </row>
    <row r="519" ht="14.25" customHeight="1">
      <c r="E519" s="30"/>
    </row>
    <row r="520" ht="14.25" customHeight="1">
      <c r="E520" s="30"/>
    </row>
    <row r="521" ht="14.25" customHeight="1">
      <c r="E521" s="30"/>
    </row>
    <row r="522" ht="14.25" customHeight="1">
      <c r="E522" s="30"/>
    </row>
    <row r="523" ht="14.25" customHeight="1">
      <c r="E523" s="30"/>
    </row>
    <row r="524" ht="14.25" customHeight="1">
      <c r="E524" s="30"/>
    </row>
    <row r="525" ht="14.25" customHeight="1">
      <c r="E525" s="30"/>
    </row>
    <row r="526" ht="14.25" customHeight="1">
      <c r="E526" s="30"/>
    </row>
    <row r="527" ht="14.25" customHeight="1">
      <c r="E527" s="30"/>
    </row>
    <row r="528" ht="14.25" customHeight="1">
      <c r="E528" s="30"/>
    </row>
    <row r="529" ht="14.25" customHeight="1">
      <c r="E529" s="30"/>
    </row>
    <row r="530" ht="14.25" customHeight="1">
      <c r="E530" s="30"/>
    </row>
    <row r="531" ht="14.25" customHeight="1">
      <c r="E531" s="30"/>
    </row>
    <row r="532" ht="14.25" customHeight="1">
      <c r="E532" s="30"/>
    </row>
    <row r="533" ht="14.25" customHeight="1">
      <c r="E533" s="30"/>
    </row>
    <row r="534" ht="14.25" customHeight="1">
      <c r="E534" s="30"/>
    </row>
    <row r="535" ht="14.25" customHeight="1">
      <c r="E535" s="30"/>
    </row>
    <row r="536" ht="14.25" customHeight="1">
      <c r="E536" s="30"/>
    </row>
    <row r="537" ht="14.25" customHeight="1">
      <c r="E537" s="30"/>
    </row>
    <row r="538" ht="14.25" customHeight="1">
      <c r="E538" s="30"/>
    </row>
    <row r="539" ht="14.25" customHeight="1">
      <c r="E539" s="30"/>
    </row>
    <row r="540" ht="14.25" customHeight="1">
      <c r="E540" s="30"/>
    </row>
    <row r="541" ht="14.25" customHeight="1">
      <c r="E541" s="30"/>
    </row>
    <row r="542" ht="14.25" customHeight="1">
      <c r="E542" s="30"/>
    </row>
    <row r="543" ht="14.25" customHeight="1">
      <c r="E543" s="30"/>
    </row>
    <row r="544" ht="14.25" customHeight="1">
      <c r="E544" s="30"/>
    </row>
    <row r="545" ht="14.25" customHeight="1">
      <c r="E545" s="30"/>
    </row>
    <row r="546" ht="14.25" customHeight="1">
      <c r="E546" s="30"/>
    </row>
    <row r="547" ht="14.25" customHeight="1">
      <c r="E547" s="30"/>
    </row>
    <row r="548" ht="14.25" customHeight="1">
      <c r="E548" s="30"/>
    </row>
    <row r="549" ht="14.25" customHeight="1">
      <c r="E549" s="30"/>
    </row>
    <row r="550" ht="14.25" customHeight="1">
      <c r="E550" s="30"/>
    </row>
    <row r="551" ht="14.25" customHeight="1">
      <c r="E551" s="30"/>
    </row>
    <row r="552" ht="14.25" customHeight="1">
      <c r="E552" s="30"/>
    </row>
    <row r="553" ht="14.25" customHeight="1">
      <c r="E553" s="30"/>
    </row>
    <row r="554" ht="14.25" customHeight="1">
      <c r="E554" s="30"/>
    </row>
    <row r="555" ht="14.25" customHeight="1">
      <c r="E555" s="30"/>
    </row>
    <row r="556" ht="14.25" customHeight="1">
      <c r="E556" s="30"/>
    </row>
    <row r="557" ht="14.25" customHeight="1">
      <c r="E557" s="30"/>
    </row>
    <row r="558" ht="14.25" customHeight="1">
      <c r="E558" s="30"/>
    </row>
    <row r="559" ht="14.25" customHeight="1">
      <c r="E559" s="30"/>
    </row>
    <row r="560" ht="14.25" customHeight="1">
      <c r="E560" s="30"/>
    </row>
    <row r="561" ht="14.25" customHeight="1">
      <c r="E561" s="30"/>
    </row>
    <row r="562" ht="14.25" customHeight="1">
      <c r="E562" s="30"/>
    </row>
    <row r="563" ht="14.25" customHeight="1">
      <c r="E563" s="30"/>
    </row>
    <row r="564" ht="14.25" customHeight="1">
      <c r="E564" s="30"/>
    </row>
    <row r="565" ht="14.25" customHeight="1">
      <c r="E565" s="30"/>
    </row>
    <row r="566" ht="14.25" customHeight="1">
      <c r="E566" s="30"/>
    </row>
    <row r="567" ht="14.25" customHeight="1">
      <c r="E567" s="30"/>
    </row>
    <row r="568" ht="14.25" customHeight="1">
      <c r="E568" s="30"/>
    </row>
    <row r="569" ht="14.25" customHeight="1">
      <c r="E569" s="30"/>
    </row>
    <row r="570" ht="14.25" customHeight="1">
      <c r="E570" s="30"/>
    </row>
    <row r="571" ht="14.25" customHeight="1">
      <c r="E571" s="30"/>
    </row>
    <row r="572" ht="14.25" customHeight="1">
      <c r="E572" s="30"/>
    </row>
    <row r="573" ht="14.25" customHeight="1">
      <c r="E573" s="30"/>
    </row>
    <row r="574" ht="14.25" customHeight="1">
      <c r="E574" s="30"/>
    </row>
    <row r="575" ht="14.25" customHeight="1">
      <c r="E575" s="30"/>
    </row>
    <row r="576" ht="14.25" customHeight="1">
      <c r="E576" s="30"/>
    </row>
    <row r="577" ht="14.25" customHeight="1">
      <c r="E577" s="30"/>
    </row>
    <row r="578" ht="14.25" customHeight="1">
      <c r="E578" s="30"/>
    </row>
    <row r="579" ht="14.25" customHeight="1">
      <c r="E579" s="30"/>
    </row>
    <row r="580" ht="14.25" customHeight="1">
      <c r="E580" s="30"/>
    </row>
    <row r="581" ht="14.25" customHeight="1">
      <c r="E581" s="30"/>
    </row>
    <row r="582" ht="14.25" customHeight="1">
      <c r="E582" s="30"/>
    </row>
    <row r="583" ht="14.25" customHeight="1">
      <c r="E583" s="30"/>
    </row>
    <row r="584" ht="14.25" customHeight="1">
      <c r="E584" s="30"/>
    </row>
    <row r="585" ht="14.25" customHeight="1">
      <c r="E585" s="30"/>
    </row>
    <row r="586" ht="14.25" customHeight="1">
      <c r="E586" s="30"/>
    </row>
    <row r="587" ht="14.25" customHeight="1">
      <c r="E587" s="30"/>
    </row>
    <row r="588" ht="14.25" customHeight="1">
      <c r="E588" s="30"/>
    </row>
    <row r="589" ht="14.25" customHeight="1">
      <c r="E589" s="30"/>
    </row>
    <row r="590" ht="14.25" customHeight="1">
      <c r="E590" s="30"/>
    </row>
    <row r="591" ht="14.25" customHeight="1">
      <c r="E591" s="30"/>
    </row>
    <row r="592" ht="14.25" customHeight="1">
      <c r="E592" s="30"/>
    </row>
    <row r="593" ht="14.25" customHeight="1">
      <c r="E593" s="30"/>
    </row>
    <row r="594" ht="14.25" customHeight="1">
      <c r="E594" s="30"/>
    </row>
    <row r="595" ht="14.25" customHeight="1">
      <c r="E595" s="30"/>
    </row>
    <row r="596" ht="14.25" customHeight="1">
      <c r="E596" s="30"/>
    </row>
    <row r="597" ht="14.25" customHeight="1">
      <c r="E597" s="30"/>
    </row>
    <row r="598" ht="14.25" customHeight="1">
      <c r="E598" s="30"/>
    </row>
    <row r="599" ht="14.25" customHeight="1">
      <c r="E599" s="30"/>
    </row>
    <row r="600" ht="14.25" customHeight="1">
      <c r="E600" s="30"/>
    </row>
    <row r="601" ht="14.25" customHeight="1">
      <c r="E601" s="30"/>
    </row>
    <row r="602" ht="14.25" customHeight="1">
      <c r="E602" s="30"/>
    </row>
    <row r="603" ht="14.25" customHeight="1">
      <c r="E603" s="30"/>
    </row>
    <row r="604" ht="14.25" customHeight="1">
      <c r="E604" s="30"/>
    </row>
    <row r="605" ht="14.25" customHeight="1">
      <c r="E605" s="30"/>
    </row>
    <row r="606" ht="14.25" customHeight="1">
      <c r="E606" s="30"/>
    </row>
    <row r="607" ht="14.25" customHeight="1">
      <c r="E607" s="30"/>
    </row>
    <row r="608" ht="14.25" customHeight="1">
      <c r="E608" s="30"/>
    </row>
    <row r="609" ht="14.25" customHeight="1">
      <c r="E609" s="30"/>
    </row>
    <row r="610" ht="14.25" customHeight="1">
      <c r="E610" s="30"/>
    </row>
    <row r="611" ht="14.25" customHeight="1">
      <c r="E611" s="30"/>
    </row>
    <row r="612" ht="14.25" customHeight="1">
      <c r="E612" s="30"/>
    </row>
    <row r="613" ht="14.25" customHeight="1">
      <c r="E613" s="30"/>
    </row>
    <row r="614" ht="14.25" customHeight="1">
      <c r="E614" s="30"/>
    </row>
    <row r="615" ht="14.25" customHeight="1">
      <c r="E615" s="30"/>
    </row>
    <row r="616" ht="14.25" customHeight="1">
      <c r="E616" s="30"/>
    </row>
    <row r="617" ht="14.25" customHeight="1">
      <c r="E617" s="30"/>
    </row>
    <row r="618" ht="14.25" customHeight="1">
      <c r="E618" s="30"/>
    </row>
    <row r="619" ht="14.25" customHeight="1">
      <c r="E619" s="30"/>
    </row>
    <row r="620" ht="14.25" customHeight="1">
      <c r="E620" s="30"/>
    </row>
    <row r="621" ht="14.25" customHeight="1">
      <c r="E621" s="30"/>
    </row>
    <row r="622" ht="14.25" customHeight="1">
      <c r="E622" s="30"/>
    </row>
    <row r="623" ht="14.25" customHeight="1">
      <c r="E623" s="30"/>
    </row>
    <row r="624" ht="14.25" customHeight="1">
      <c r="E624" s="30"/>
    </row>
    <row r="625" ht="14.25" customHeight="1">
      <c r="E625" s="30"/>
    </row>
    <row r="626" ht="14.25" customHeight="1">
      <c r="E626" s="30"/>
    </row>
    <row r="627" ht="14.25" customHeight="1">
      <c r="E627" s="30"/>
    </row>
    <row r="628" ht="14.25" customHeight="1">
      <c r="E628" s="30"/>
    </row>
    <row r="629" ht="14.25" customHeight="1">
      <c r="E629" s="30"/>
    </row>
    <row r="630" ht="14.25" customHeight="1">
      <c r="E630" s="30"/>
    </row>
    <row r="631" ht="14.25" customHeight="1">
      <c r="E631" s="30"/>
    </row>
    <row r="632" ht="14.25" customHeight="1">
      <c r="E632" s="30"/>
    </row>
    <row r="633" ht="14.25" customHeight="1">
      <c r="E633" s="30"/>
    </row>
    <row r="634" ht="14.25" customHeight="1">
      <c r="E634" s="30"/>
    </row>
    <row r="635" ht="14.25" customHeight="1">
      <c r="E635" s="30"/>
    </row>
    <row r="636" ht="14.25" customHeight="1">
      <c r="E636" s="30"/>
    </row>
    <row r="637" ht="14.25" customHeight="1">
      <c r="E637" s="30"/>
    </row>
    <row r="638" ht="14.25" customHeight="1">
      <c r="E638" s="30"/>
    </row>
    <row r="639" ht="14.25" customHeight="1">
      <c r="E639" s="30"/>
    </row>
    <row r="640" ht="14.25" customHeight="1">
      <c r="E640" s="30"/>
    </row>
    <row r="641" ht="14.25" customHeight="1">
      <c r="E641" s="30"/>
    </row>
    <row r="642" ht="14.25" customHeight="1">
      <c r="E642" s="30"/>
    </row>
    <row r="643" ht="14.25" customHeight="1">
      <c r="E643" s="30"/>
    </row>
    <row r="644" ht="14.25" customHeight="1">
      <c r="E644" s="30"/>
    </row>
    <row r="645" ht="14.25" customHeight="1">
      <c r="E645" s="30"/>
    </row>
    <row r="646" ht="14.25" customHeight="1">
      <c r="E646" s="30"/>
    </row>
    <row r="647" ht="14.25" customHeight="1">
      <c r="E647" s="30"/>
    </row>
    <row r="648" ht="14.25" customHeight="1">
      <c r="E648" s="30"/>
    </row>
    <row r="649" ht="14.25" customHeight="1">
      <c r="E649" s="30"/>
    </row>
    <row r="650" ht="14.25" customHeight="1">
      <c r="E650" s="30"/>
    </row>
    <row r="651" ht="14.25" customHeight="1">
      <c r="E651" s="30"/>
    </row>
    <row r="652" ht="14.25" customHeight="1">
      <c r="E652" s="30"/>
    </row>
    <row r="653" ht="14.25" customHeight="1">
      <c r="E653" s="30"/>
    </row>
    <row r="654" ht="14.25" customHeight="1">
      <c r="E654" s="30"/>
    </row>
    <row r="655" ht="14.25" customHeight="1">
      <c r="E655" s="30"/>
    </row>
    <row r="656" ht="14.25" customHeight="1">
      <c r="E656" s="30"/>
    </row>
    <row r="657" ht="14.25" customHeight="1">
      <c r="E657" s="30"/>
    </row>
    <row r="658" ht="14.25" customHeight="1">
      <c r="E658" s="30"/>
    </row>
    <row r="659" ht="14.25" customHeight="1">
      <c r="E659" s="30"/>
    </row>
    <row r="660" ht="14.25" customHeight="1">
      <c r="E660" s="30"/>
    </row>
    <row r="661" ht="14.25" customHeight="1">
      <c r="E661" s="30"/>
    </row>
    <row r="662" ht="14.25" customHeight="1">
      <c r="E662" s="30"/>
    </row>
    <row r="663" ht="14.25" customHeight="1">
      <c r="E663" s="30"/>
    </row>
    <row r="664" ht="14.25" customHeight="1">
      <c r="E664" s="30"/>
    </row>
    <row r="665" ht="14.25" customHeight="1">
      <c r="E665" s="30"/>
    </row>
    <row r="666" ht="14.25" customHeight="1">
      <c r="E666" s="30"/>
    </row>
    <row r="667" ht="14.25" customHeight="1">
      <c r="E667" s="30"/>
    </row>
    <row r="668" ht="14.25" customHeight="1">
      <c r="E668" s="30"/>
    </row>
    <row r="669" ht="14.25" customHeight="1">
      <c r="E669" s="30"/>
    </row>
    <row r="670" ht="14.25" customHeight="1">
      <c r="E670" s="30"/>
    </row>
    <row r="671" ht="14.25" customHeight="1">
      <c r="E671" s="30"/>
    </row>
    <row r="672" ht="14.25" customHeight="1">
      <c r="E672" s="30"/>
    </row>
    <row r="673" ht="14.25" customHeight="1">
      <c r="E673" s="30"/>
    </row>
    <row r="674" ht="14.25" customHeight="1">
      <c r="E674" s="30"/>
    </row>
    <row r="675" ht="14.25" customHeight="1">
      <c r="E675" s="30"/>
    </row>
    <row r="676" ht="14.25" customHeight="1">
      <c r="E676" s="30"/>
    </row>
    <row r="677" ht="14.25" customHeight="1">
      <c r="E677" s="30"/>
    </row>
    <row r="678" ht="14.25" customHeight="1">
      <c r="E678" s="30"/>
    </row>
    <row r="679" ht="14.25" customHeight="1">
      <c r="E679" s="30"/>
    </row>
    <row r="680" ht="14.25" customHeight="1">
      <c r="E680" s="30"/>
    </row>
    <row r="681" ht="14.25" customHeight="1">
      <c r="E681" s="30"/>
    </row>
    <row r="682" ht="14.25" customHeight="1">
      <c r="E682" s="30"/>
    </row>
    <row r="683" ht="14.25" customHeight="1">
      <c r="E683" s="30"/>
    </row>
    <row r="684" ht="14.25" customHeight="1">
      <c r="E684" s="30"/>
    </row>
    <row r="685" ht="14.25" customHeight="1">
      <c r="E685" s="30"/>
    </row>
    <row r="686" ht="14.25" customHeight="1">
      <c r="E686" s="30"/>
    </row>
    <row r="687" ht="14.25" customHeight="1">
      <c r="E687" s="30"/>
    </row>
    <row r="688" ht="14.25" customHeight="1">
      <c r="E688" s="30"/>
    </row>
    <row r="689" ht="14.25" customHeight="1">
      <c r="E689" s="30"/>
    </row>
    <row r="690" ht="14.25" customHeight="1">
      <c r="E690" s="30"/>
    </row>
    <row r="691" ht="14.25" customHeight="1">
      <c r="E691" s="30"/>
    </row>
    <row r="692" ht="14.25" customHeight="1">
      <c r="E692" s="30"/>
    </row>
    <row r="693" ht="14.25" customHeight="1">
      <c r="E693" s="30"/>
    </row>
    <row r="694" ht="14.25" customHeight="1">
      <c r="E694" s="30"/>
    </row>
    <row r="695" ht="14.25" customHeight="1">
      <c r="E695" s="30"/>
    </row>
    <row r="696" ht="14.25" customHeight="1">
      <c r="E696" s="30"/>
    </row>
    <row r="697" ht="14.25" customHeight="1">
      <c r="E697" s="30"/>
    </row>
    <row r="698" ht="14.25" customHeight="1">
      <c r="E698" s="30"/>
    </row>
    <row r="699" ht="14.25" customHeight="1">
      <c r="E699" s="30"/>
    </row>
    <row r="700" ht="14.25" customHeight="1">
      <c r="E700" s="30"/>
    </row>
    <row r="701" ht="14.25" customHeight="1">
      <c r="E701" s="30"/>
    </row>
    <row r="702" ht="14.25" customHeight="1">
      <c r="E702" s="30"/>
    </row>
    <row r="703" ht="14.25" customHeight="1">
      <c r="E703" s="30"/>
    </row>
    <row r="704" ht="14.25" customHeight="1">
      <c r="E704" s="30"/>
    </row>
    <row r="705" ht="14.25" customHeight="1">
      <c r="E705" s="30"/>
    </row>
    <row r="706" ht="14.25" customHeight="1">
      <c r="E706" s="30"/>
    </row>
    <row r="707" ht="14.25" customHeight="1">
      <c r="E707" s="30"/>
    </row>
    <row r="708" ht="14.25" customHeight="1">
      <c r="E708" s="30"/>
    </row>
    <row r="709" ht="14.25" customHeight="1">
      <c r="E709" s="30"/>
    </row>
    <row r="710" ht="14.25" customHeight="1">
      <c r="E710" s="30"/>
    </row>
    <row r="711" ht="14.25" customHeight="1">
      <c r="E711" s="30"/>
    </row>
    <row r="712" ht="14.25" customHeight="1">
      <c r="E712" s="30"/>
    </row>
    <row r="713" ht="14.25" customHeight="1">
      <c r="E713" s="30"/>
    </row>
    <row r="714" ht="14.25" customHeight="1">
      <c r="E714" s="30"/>
    </row>
    <row r="715" ht="14.25" customHeight="1">
      <c r="E715" s="30"/>
    </row>
    <row r="716" ht="14.25" customHeight="1">
      <c r="E716" s="30"/>
    </row>
    <row r="717" ht="14.25" customHeight="1">
      <c r="E717" s="30"/>
    </row>
    <row r="718" ht="14.25" customHeight="1">
      <c r="E718" s="30"/>
    </row>
    <row r="719" ht="14.25" customHeight="1">
      <c r="E719" s="30"/>
    </row>
    <row r="720" ht="14.25" customHeight="1">
      <c r="E720" s="30"/>
    </row>
    <row r="721" ht="14.25" customHeight="1">
      <c r="E721" s="30"/>
    </row>
    <row r="722" ht="14.25" customHeight="1">
      <c r="E722" s="30"/>
    </row>
    <row r="723" ht="14.25" customHeight="1">
      <c r="E723" s="30"/>
    </row>
    <row r="724" ht="14.25" customHeight="1">
      <c r="E724" s="30"/>
    </row>
    <row r="725" ht="14.25" customHeight="1">
      <c r="E725" s="30"/>
    </row>
    <row r="726" ht="14.25" customHeight="1">
      <c r="E726" s="30"/>
    </row>
    <row r="727" ht="14.25" customHeight="1">
      <c r="E727" s="30"/>
    </row>
    <row r="728" ht="14.25" customHeight="1">
      <c r="E728" s="30"/>
    </row>
    <row r="729" ht="14.25" customHeight="1">
      <c r="E729" s="30"/>
    </row>
    <row r="730" ht="14.25" customHeight="1">
      <c r="E730" s="30"/>
    </row>
    <row r="731" ht="14.25" customHeight="1">
      <c r="E731" s="30"/>
    </row>
    <row r="732" ht="14.25" customHeight="1">
      <c r="E732" s="30"/>
    </row>
    <row r="733" ht="14.25" customHeight="1">
      <c r="E733" s="30"/>
    </row>
    <row r="734" ht="14.25" customHeight="1">
      <c r="E734" s="30"/>
    </row>
    <row r="735" ht="14.25" customHeight="1">
      <c r="E735" s="30"/>
    </row>
    <row r="736" ht="14.25" customHeight="1">
      <c r="E736" s="30"/>
    </row>
    <row r="737" ht="14.25" customHeight="1">
      <c r="E737" s="30"/>
    </row>
    <row r="738" ht="14.25" customHeight="1">
      <c r="E738" s="30"/>
    </row>
    <row r="739" ht="14.25" customHeight="1">
      <c r="E739" s="30"/>
    </row>
    <row r="740" ht="14.25" customHeight="1">
      <c r="E740" s="30"/>
    </row>
    <row r="741" ht="14.25" customHeight="1">
      <c r="E741" s="30"/>
    </row>
    <row r="742" ht="14.25" customHeight="1">
      <c r="E742" s="30"/>
    </row>
    <row r="743" ht="14.25" customHeight="1">
      <c r="E743" s="30"/>
    </row>
    <row r="744" ht="14.25" customHeight="1">
      <c r="E744" s="30"/>
    </row>
    <row r="745" ht="14.25" customHeight="1">
      <c r="E745" s="30"/>
    </row>
    <row r="746" ht="14.25" customHeight="1">
      <c r="E746" s="30"/>
    </row>
    <row r="747" ht="14.25" customHeight="1">
      <c r="E747" s="30"/>
    </row>
    <row r="748" ht="14.25" customHeight="1">
      <c r="E748" s="30"/>
    </row>
    <row r="749" ht="14.25" customHeight="1">
      <c r="E749" s="30"/>
    </row>
    <row r="750" ht="14.25" customHeight="1">
      <c r="E750" s="30"/>
    </row>
    <row r="751" ht="14.25" customHeight="1">
      <c r="E751" s="30"/>
    </row>
    <row r="752" ht="14.25" customHeight="1">
      <c r="E752" s="30"/>
    </row>
    <row r="753" ht="14.25" customHeight="1">
      <c r="E753" s="30"/>
    </row>
    <row r="754" ht="14.25" customHeight="1">
      <c r="E754" s="30"/>
    </row>
    <row r="755" ht="14.25" customHeight="1">
      <c r="E755" s="30"/>
    </row>
    <row r="756" ht="14.25" customHeight="1">
      <c r="E756" s="30"/>
    </row>
    <row r="757" ht="14.25" customHeight="1">
      <c r="E757" s="30"/>
    </row>
    <row r="758" ht="14.25" customHeight="1">
      <c r="E758" s="30"/>
    </row>
    <row r="759" ht="14.25" customHeight="1">
      <c r="E759" s="30"/>
    </row>
    <row r="760" ht="14.25" customHeight="1">
      <c r="E760" s="30"/>
    </row>
    <row r="761" ht="14.25" customHeight="1">
      <c r="E761" s="30"/>
    </row>
    <row r="762" ht="14.25" customHeight="1">
      <c r="E762" s="30"/>
    </row>
    <row r="763" ht="14.25" customHeight="1">
      <c r="E763" s="30"/>
    </row>
    <row r="764" ht="14.25" customHeight="1">
      <c r="E764" s="30"/>
    </row>
    <row r="765" ht="14.25" customHeight="1">
      <c r="E765" s="30"/>
    </row>
    <row r="766" ht="14.25" customHeight="1">
      <c r="E766" s="30"/>
    </row>
    <row r="767" ht="14.25" customHeight="1">
      <c r="E767" s="30"/>
    </row>
    <row r="768" ht="14.25" customHeight="1">
      <c r="E768" s="30"/>
    </row>
    <row r="769" ht="14.25" customHeight="1">
      <c r="E769" s="30"/>
    </row>
    <row r="770" ht="14.25" customHeight="1">
      <c r="E770" s="30"/>
    </row>
    <row r="771" ht="14.25" customHeight="1">
      <c r="E771" s="30"/>
    </row>
    <row r="772" ht="14.25" customHeight="1">
      <c r="E772" s="30"/>
    </row>
    <row r="773" ht="14.25" customHeight="1">
      <c r="E773" s="30"/>
    </row>
    <row r="774" ht="14.25" customHeight="1">
      <c r="E774" s="30"/>
    </row>
    <row r="775" ht="14.25" customHeight="1">
      <c r="E775" s="30"/>
    </row>
    <row r="776" ht="14.25" customHeight="1">
      <c r="E776" s="30"/>
    </row>
    <row r="777" ht="14.25" customHeight="1">
      <c r="E777" s="30"/>
    </row>
    <row r="778" ht="14.25" customHeight="1">
      <c r="E778" s="30"/>
    </row>
    <row r="779" ht="14.25" customHeight="1">
      <c r="E779" s="30"/>
    </row>
    <row r="780" ht="14.25" customHeight="1">
      <c r="E780" s="30"/>
    </row>
    <row r="781" ht="14.25" customHeight="1">
      <c r="E781" s="30"/>
    </row>
    <row r="782" ht="14.25" customHeight="1">
      <c r="E782" s="30"/>
    </row>
    <row r="783" ht="14.25" customHeight="1">
      <c r="E783" s="30"/>
    </row>
    <row r="784" ht="14.25" customHeight="1">
      <c r="E784" s="30"/>
    </row>
    <row r="785" ht="14.25" customHeight="1">
      <c r="E785" s="30"/>
    </row>
    <row r="786" ht="14.25" customHeight="1">
      <c r="E786" s="30"/>
    </row>
    <row r="787" ht="14.25" customHeight="1">
      <c r="E787" s="30"/>
    </row>
    <row r="788" ht="14.25" customHeight="1">
      <c r="E788" s="30"/>
    </row>
    <row r="789" ht="14.25" customHeight="1">
      <c r="E789" s="30"/>
    </row>
    <row r="790" ht="14.25" customHeight="1">
      <c r="E790" s="30"/>
    </row>
    <row r="791" ht="14.25" customHeight="1">
      <c r="E791" s="30"/>
    </row>
    <row r="792" ht="14.25" customHeight="1">
      <c r="E792" s="30"/>
    </row>
    <row r="793" ht="14.25" customHeight="1">
      <c r="E793" s="30"/>
    </row>
    <row r="794" ht="14.25" customHeight="1">
      <c r="E794" s="30"/>
    </row>
    <row r="795" ht="14.25" customHeight="1">
      <c r="E795" s="30"/>
    </row>
    <row r="796" ht="14.25" customHeight="1">
      <c r="E796" s="30"/>
    </row>
    <row r="797" ht="14.25" customHeight="1">
      <c r="E797" s="30"/>
    </row>
    <row r="798" ht="14.25" customHeight="1">
      <c r="E798" s="30"/>
    </row>
    <row r="799" ht="14.25" customHeight="1">
      <c r="E799" s="30"/>
    </row>
    <row r="800" ht="14.25" customHeight="1">
      <c r="E800" s="30"/>
    </row>
    <row r="801" ht="14.25" customHeight="1">
      <c r="E801" s="30"/>
    </row>
    <row r="802" ht="14.25" customHeight="1">
      <c r="E802" s="30"/>
    </row>
    <row r="803" ht="14.25" customHeight="1">
      <c r="E803" s="30"/>
    </row>
    <row r="804" ht="14.25" customHeight="1">
      <c r="E804" s="30"/>
    </row>
    <row r="805" ht="14.25" customHeight="1">
      <c r="E805" s="30"/>
    </row>
    <row r="806" ht="14.25" customHeight="1">
      <c r="E806" s="30"/>
    </row>
    <row r="807" ht="14.25" customHeight="1">
      <c r="E807" s="30"/>
    </row>
    <row r="808" ht="14.25" customHeight="1">
      <c r="E808" s="30"/>
    </row>
    <row r="809" ht="14.25" customHeight="1">
      <c r="E809" s="30"/>
    </row>
    <row r="810" ht="14.25" customHeight="1">
      <c r="E810" s="30"/>
    </row>
    <row r="811" ht="14.25" customHeight="1">
      <c r="E811" s="30"/>
    </row>
    <row r="812" ht="14.25" customHeight="1">
      <c r="E812" s="30"/>
    </row>
    <row r="813" ht="14.25" customHeight="1">
      <c r="E813" s="30"/>
    </row>
    <row r="814" ht="14.25" customHeight="1">
      <c r="E814" s="30"/>
    </row>
    <row r="815" ht="14.25" customHeight="1">
      <c r="E815" s="30"/>
    </row>
    <row r="816" ht="14.25" customHeight="1">
      <c r="E816" s="30"/>
    </row>
    <row r="817" ht="14.25" customHeight="1">
      <c r="E817" s="30"/>
    </row>
    <row r="818" ht="14.25" customHeight="1">
      <c r="E818" s="30"/>
    </row>
    <row r="819" ht="14.25" customHeight="1">
      <c r="E819" s="30"/>
    </row>
    <row r="820" ht="14.25" customHeight="1">
      <c r="E820" s="30"/>
    </row>
    <row r="821" ht="14.25" customHeight="1">
      <c r="E821" s="30"/>
    </row>
    <row r="822" ht="14.25" customHeight="1">
      <c r="E822" s="30"/>
    </row>
    <row r="823" ht="14.25" customHeight="1">
      <c r="E823" s="30"/>
    </row>
    <row r="824" ht="14.25" customHeight="1">
      <c r="E824" s="30"/>
    </row>
    <row r="825" ht="14.25" customHeight="1">
      <c r="E825" s="30"/>
    </row>
    <row r="826" ht="14.25" customHeight="1">
      <c r="E826" s="30"/>
    </row>
    <row r="827" ht="14.25" customHeight="1">
      <c r="E827" s="30"/>
    </row>
    <row r="828" ht="14.25" customHeight="1">
      <c r="E828" s="30"/>
    </row>
    <row r="829" ht="14.25" customHeight="1">
      <c r="E829" s="30"/>
    </row>
    <row r="830" ht="14.25" customHeight="1">
      <c r="E830" s="30"/>
    </row>
    <row r="831" ht="14.25" customHeight="1">
      <c r="E831" s="30"/>
    </row>
    <row r="832" ht="14.25" customHeight="1">
      <c r="E832" s="30"/>
    </row>
    <row r="833" ht="14.25" customHeight="1">
      <c r="E833" s="30"/>
    </row>
    <row r="834" ht="14.25" customHeight="1">
      <c r="E834" s="30"/>
    </row>
    <row r="835" ht="14.25" customHeight="1">
      <c r="E835" s="30"/>
    </row>
    <row r="836" ht="14.25" customHeight="1">
      <c r="E836" s="30"/>
    </row>
    <row r="837" ht="14.25" customHeight="1">
      <c r="E837" s="30"/>
    </row>
    <row r="838" ht="14.25" customHeight="1">
      <c r="E838" s="30"/>
    </row>
    <row r="839" ht="14.25" customHeight="1">
      <c r="E839" s="30"/>
    </row>
    <row r="840" ht="14.25" customHeight="1">
      <c r="E840" s="30"/>
    </row>
    <row r="841" ht="14.25" customHeight="1">
      <c r="E841" s="30"/>
    </row>
    <row r="842" ht="14.25" customHeight="1">
      <c r="E842" s="30"/>
    </row>
    <row r="843" ht="14.25" customHeight="1">
      <c r="E843" s="30"/>
    </row>
    <row r="844" ht="14.25" customHeight="1">
      <c r="E844" s="30"/>
    </row>
    <row r="845" ht="14.25" customHeight="1">
      <c r="E845" s="30"/>
    </row>
    <row r="846" ht="14.25" customHeight="1">
      <c r="E846" s="30"/>
    </row>
    <row r="847" ht="14.25" customHeight="1">
      <c r="E847" s="30"/>
    </row>
    <row r="848" ht="14.25" customHeight="1">
      <c r="E848" s="30"/>
    </row>
    <row r="849" ht="14.25" customHeight="1">
      <c r="E849" s="30"/>
    </row>
    <row r="850" ht="14.25" customHeight="1">
      <c r="E850" s="30"/>
    </row>
    <row r="851" ht="14.25" customHeight="1">
      <c r="E851" s="30"/>
    </row>
    <row r="852" ht="14.25" customHeight="1">
      <c r="E852" s="30"/>
    </row>
    <row r="853" ht="14.25" customHeight="1">
      <c r="E853" s="30"/>
    </row>
    <row r="854" ht="14.25" customHeight="1">
      <c r="E854" s="30"/>
    </row>
    <row r="855" ht="14.25" customHeight="1">
      <c r="E855" s="30"/>
    </row>
    <row r="856" ht="14.25" customHeight="1">
      <c r="E856" s="30"/>
    </row>
    <row r="857" ht="14.25" customHeight="1">
      <c r="E857" s="30"/>
    </row>
    <row r="858" ht="14.25" customHeight="1">
      <c r="E858" s="30"/>
    </row>
    <row r="859" ht="14.25" customHeight="1">
      <c r="E859" s="30"/>
    </row>
    <row r="860" ht="14.25" customHeight="1">
      <c r="E860" s="30"/>
    </row>
    <row r="861" ht="14.25" customHeight="1">
      <c r="E861" s="30"/>
    </row>
    <row r="862" ht="14.25" customHeight="1">
      <c r="E862" s="30"/>
    </row>
    <row r="863" ht="14.25" customHeight="1">
      <c r="E863" s="30"/>
    </row>
    <row r="864" ht="14.25" customHeight="1">
      <c r="E864" s="30"/>
    </row>
    <row r="865" ht="14.25" customHeight="1">
      <c r="E865" s="30"/>
    </row>
    <row r="866" ht="14.25" customHeight="1">
      <c r="E866" s="30"/>
    </row>
    <row r="867" ht="14.25" customHeight="1">
      <c r="E867" s="30"/>
    </row>
    <row r="868" ht="14.25" customHeight="1">
      <c r="E868" s="30"/>
    </row>
    <row r="869" ht="14.25" customHeight="1">
      <c r="E869" s="30"/>
    </row>
    <row r="870" ht="14.25" customHeight="1">
      <c r="E870" s="30"/>
    </row>
    <row r="871" ht="14.25" customHeight="1">
      <c r="E871" s="30"/>
    </row>
    <row r="872" ht="14.25" customHeight="1">
      <c r="E872" s="30"/>
    </row>
    <row r="873" ht="14.25" customHeight="1">
      <c r="E873" s="30"/>
    </row>
    <row r="874" ht="14.25" customHeight="1">
      <c r="E874" s="30"/>
    </row>
    <row r="875" ht="14.25" customHeight="1">
      <c r="E875" s="30"/>
    </row>
    <row r="876" ht="14.25" customHeight="1">
      <c r="E876" s="30"/>
    </row>
    <row r="877" ht="14.25" customHeight="1">
      <c r="E877" s="30"/>
    </row>
    <row r="878" ht="14.25" customHeight="1">
      <c r="E878" s="30"/>
    </row>
    <row r="879" ht="14.25" customHeight="1">
      <c r="E879" s="30"/>
    </row>
    <row r="880" ht="14.25" customHeight="1">
      <c r="E880" s="30"/>
    </row>
    <row r="881" ht="14.25" customHeight="1">
      <c r="E881" s="30"/>
    </row>
    <row r="882" ht="14.25" customHeight="1">
      <c r="E882" s="30"/>
    </row>
    <row r="883" ht="14.25" customHeight="1">
      <c r="E883" s="30"/>
    </row>
    <row r="884" ht="14.25" customHeight="1">
      <c r="E884" s="30"/>
    </row>
    <row r="885" ht="14.25" customHeight="1">
      <c r="E885" s="30"/>
    </row>
    <row r="886" ht="14.25" customHeight="1">
      <c r="E886" s="30"/>
    </row>
    <row r="887" ht="14.25" customHeight="1">
      <c r="E887" s="30"/>
    </row>
    <row r="888" ht="14.25" customHeight="1">
      <c r="E888" s="30"/>
    </row>
    <row r="889" ht="14.25" customHeight="1">
      <c r="E889" s="30"/>
    </row>
    <row r="890" ht="14.25" customHeight="1">
      <c r="E890" s="30"/>
    </row>
    <row r="891" ht="14.25" customHeight="1">
      <c r="E891" s="30"/>
    </row>
    <row r="892" ht="14.25" customHeight="1">
      <c r="E892" s="30"/>
    </row>
    <row r="893" ht="14.25" customHeight="1">
      <c r="E893" s="30"/>
    </row>
    <row r="894" ht="14.25" customHeight="1">
      <c r="E894" s="30"/>
    </row>
    <row r="895" ht="14.25" customHeight="1">
      <c r="E895" s="30"/>
    </row>
    <row r="896" ht="14.25" customHeight="1">
      <c r="E896" s="30"/>
    </row>
    <row r="897" ht="14.25" customHeight="1">
      <c r="E897" s="30"/>
    </row>
    <row r="898" ht="14.25" customHeight="1">
      <c r="E898" s="30"/>
    </row>
    <row r="899" ht="14.25" customHeight="1">
      <c r="E899" s="30"/>
    </row>
    <row r="900" ht="14.25" customHeight="1">
      <c r="E900" s="30"/>
    </row>
    <row r="901" ht="14.25" customHeight="1">
      <c r="E901" s="30"/>
    </row>
    <row r="902" ht="14.25" customHeight="1">
      <c r="E902" s="30"/>
    </row>
    <row r="903" ht="14.25" customHeight="1">
      <c r="E903" s="30"/>
    </row>
    <row r="904" ht="14.25" customHeight="1">
      <c r="E904" s="30"/>
    </row>
    <row r="905" ht="14.25" customHeight="1">
      <c r="E905" s="30"/>
    </row>
    <row r="906" ht="14.25" customHeight="1">
      <c r="E906" s="30"/>
    </row>
    <row r="907" ht="14.25" customHeight="1">
      <c r="E907" s="30"/>
    </row>
    <row r="908" ht="14.25" customHeight="1">
      <c r="E908" s="30"/>
    </row>
    <row r="909" ht="14.25" customHeight="1">
      <c r="E909" s="30"/>
    </row>
    <row r="910" ht="14.25" customHeight="1">
      <c r="E910" s="30"/>
    </row>
    <row r="911" ht="14.25" customHeight="1">
      <c r="E911" s="30"/>
    </row>
    <row r="912" ht="14.25" customHeight="1">
      <c r="E912" s="30"/>
    </row>
    <row r="913" ht="14.25" customHeight="1">
      <c r="E913" s="30"/>
    </row>
    <row r="914" ht="14.25" customHeight="1">
      <c r="E914" s="30"/>
    </row>
    <row r="915" ht="14.25" customHeight="1">
      <c r="E915" s="30"/>
    </row>
    <row r="916" ht="14.25" customHeight="1">
      <c r="E916" s="30"/>
    </row>
    <row r="917" ht="14.25" customHeight="1">
      <c r="E917" s="30"/>
    </row>
    <row r="918" ht="14.25" customHeight="1">
      <c r="E918" s="30"/>
    </row>
    <row r="919" ht="14.25" customHeight="1">
      <c r="E919" s="30"/>
    </row>
    <row r="920" ht="14.25" customHeight="1">
      <c r="E920" s="30"/>
    </row>
    <row r="921" ht="14.25" customHeight="1">
      <c r="E921" s="30"/>
    </row>
    <row r="922" ht="14.25" customHeight="1">
      <c r="E922" s="30"/>
    </row>
    <row r="923" ht="14.25" customHeight="1">
      <c r="E923" s="30"/>
    </row>
    <row r="924" ht="14.25" customHeight="1">
      <c r="E924" s="30"/>
    </row>
    <row r="925" ht="14.25" customHeight="1">
      <c r="E925" s="30"/>
    </row>
    <row r="926" ht="14.25" customHeight="1">
      <c r="E926" s="30"/>
    </row>
    <row r="927" ht="14.25" customHeight="1">
      <c r="E927" s="30"/>
    </row>
    <row r="928" ht="14.25" customHeight="1">
      <c r="E928" s="30"/>
    </row>
    <row r="929" ht="14.25" customHeight="1">
      <c r="E929" s="30"/>
    </row>
    <row r="930" ht="14.25" customHeight="1">
      <c r="E930" s="30"/>
    </row>
    <row r="931" ht="14.25" customHeight="1">
      <c r="E931" s="30"/>
    </row>
    <row r="932" ht="14.25" customHeight="1">
      <c r="E932" s="30"/>
    </row>
    <row r="933" ht="14.25" customHeight="1">
      <c r="E933" s="30"/>
    </row>
    <row r="934" ht="14.25" customHeight="1">
      <c r="E934" s="30"/>
    </row>
    <row r="935" ht="14.25" customHeight="1">
      <c r="E935" s="30"/>
    </row>
    <row r="936" ht="14.25" customHeight="1">
      <c r="E936" s="30"/>
    </row>
    <row r="937" ht="14.25" customHeight="1">
      <c r="E937" s="30"/>
    </row>
    <row r="938" ht="14.25" customHeight="1">
      <c r="E938" s="30"/>
    </row>
    <row r="939" ht="14.25" customHeight="1">
      <c r="E939" s="30"/>
    </row>
    <row r="940" ht="14.25" customHeight="1">
      <c r="E940" s="30"/>
    </row>
    <row r="941" ht="14.25" customHeight="1">
      <c r="E941" s="30"/>
    </row>
    <row r="942" ht="14.25" customHeight="1">
      <c r="E942" s="30"/>
    </row>
    <row r="943" ht="14.25" customHeight="1">
      <c r="E943" s="30"/>
    </row>
    <row r="944" ht="14.25" customHeight="1">
      <c r="E944" s="30"/>
    </row>
    <row r="945" ht="14.25" customHeight="1">
      <c r="E945" s="30"/>
    </row>
    <row r="946" ht="14.25" customHeight="1">
      <c r="E946" s="30"/>
    </row>
    <row r="947" ht="14.25" customHeight="1">
      <c r="E947" s="30"/>
    </row>
    <row r="948" ht="14.25" customHeight="1">
      <c r="E948" s="30"/>
    </row>
    <row r="949" ht="14.25" customHeight="1">
      <c r="E949" s="30"/>
    </row>
    <row r="950" ht="14.25" customHeight="1">
      <c r="E950" s="30"/>
    </row>
    <row r="951" ht="14.25" customHeight="1">
      <c r="E951" s="30"/>
    </row>
    <row r="952" ht="14.25" customHeight="1">
      <c r="E952" s="30"/>
    </row>
    <row r="953" ht="14.25" customHeight="1">
      <c r="E953" s="30"/>
    </row>
    <row r="954" ht="14.25" customHeight="1">
      <c r="E954" s="30"/>
    </row>
    <row r="955" ht="14.25" customHeight="1">
      <c r="E955" s="30"/>
    </row>
    <row r="956" ht="14.25" customHeight="1">
      <c r="E956" s="30"/>
    </row>
    <row r="957" ht="14.25" customHeight="1">
      <c r="E957" s="30"/>
    </row>
    <row r="958" ht="14.25" customHeight="1">
      <c r="E958" s="30"/>
    </row>
    <row r="959" ht="14.25" customHeight="1">
      <c r="E959" s="30"/>
    </row>
    <row r="960" ht="14.25" customHeight="1">
      <c r="E960" s="30"/>
    </row>
    <row r="961" ht="14.25" customHeight="1">
      <c r="E961" s="30"/>
    </row>
    <row r="962" ht="14.25" customHeight="1">
      <c r="E962" s="30"/>
    </row>
    <row r="963" ht="14.25" customHeight="1">
      <c r="E963" s="30"/>
    </row>
    <row r="964" ht="14.25" customHeight="1">
      <c r="E964" s="30"/>
    </row>
    <row r="965" ht="14.25" customHeight="1">
      <c r="E965" s="30"/>
    </row>
    <row r="966" ht="14.25" customHeight="1">
      <c r="E966" s="30"/>
    </row>
    <row r="967" ht="14.25" customHeight="1">
      <c r="E967" s="30"/>
    </row>
    <row r="968" ht="14.25" customHeight="1">
      <c r="E968" s="30"/>
    </row>
    <row r="969" ht="14.25" customHeight="1">
      <c r="E969" s="30"/>
    </row>
    <row r="970" ht="14.25" customHeight="1">
      <c r="E970" s="30"/>
    </row>
    <row r="971" ht="14.25" customHeight="1">
      <c r="E971" s="30"/>
    </row>
    <row r="972" ht="14.25" customHeight="1">
      <c r="E972" s="30"/>
    </row>
    <row r="973" ht="14.25" customHeight="1">
      <c r="E973" s="30"/>
    </row>
    <row r="974" ht="14.25" customHeight="1">
      <c r="E974" s="30"/>
    </row>
    <row r="975" ht="14.25" customHeight="1">
      <c r="E975" s="30"/>
    </row>
    <row r="976" ht="14.25" customHeight="1">
      <c r="E976" s="30"/>
    </row>
    <row r="977" ht="14.25" customHeight="1">
      <c r="E977" s="30"/>
    </row>
    <row r="978" ht="14.25" customHeight="1">
      <c r="E978" s="30"/>
    </row>
    <row r="979" ht="14.25" customHeight="1">
      <c r="E979" s="30"/>
    </row>
    <row r="980" ht="14.25" customHeight="1">
      <c r="E980" s="30"/>
    </row>
    <row r="981" ht="14.25" customHeight="1">
      <c r="E981" s="30"/>
    </row>
    <row r="982" ht="14.25" customHeight="1">
      <c r="E982" s="30"/>
    </row>
    <row r="983" ht="14.25" customHeight="1">
      <c r="E983" s="30"/>
    </row>
    <row r="984" ht="14.25" customHeight="1">
      <c r="E984" s="30"/>
    </row>
    <row r="985" ht="14.25" customHeight="1">
      <c r="E985" s="30"/>
    </row>
    <row r="986" ht="14.25" customHeight="1">
      <c r="E986" s="30"/>
    </row>
    <row r="987" ht="14.25" customHeight="1">
      <c r="E987" s="30"/>
    </row>
    <row r="988" ht="14.25" customHeight="1">
      <c r="E988" s="30"/>
    </row>
    <row r="989" ht="14.25" customHeight="1">
      <c r="E989" s="30"/>
    </row>
    <row r="990" ht="14.25" customHeight="1">
      <c r="E990" s="30"/>
    </row>
    <row r="991" ht="14.25" customHeight="1">
      <c r="E991" s="30"/>
    </row>
    <row r="992" ht="14.25" customHeight="1">
      <c r="E992" s="30"/>
    </row>
    <row r="993" ht="14.25" customHeight="1">
      <c r="E993" s="30"/>
    </row>
    <row r="994" ht="14.25" customHeight="1">
      <c r="E994" s="30"/>
    </row>
    <row r="995" ht="14.25" customHeight="1">
      <c r="E995" s="30"/>
    </row>
    <row r="996" ht="14.25" customHeight="1">
      <c r="E996" s="30"/>
    </row>
    <row r="997" ht="14.25" customHeight="1">
      <c r="E997" s="30"/>
    </row>
    <row r="998" ht="14.25" customHeight="1">
      <c r="E998" s="30"/>
    </row>
    <row r="999" ht="14.25" customHeight="1">
      <c r="E999" s="30"/>
    </row>
    <row r="1000" ht="14.25" customHeight="1">
      <c r="E1000" s="30"/>
    </row>
  </sheetData>
  <mergeCells count="1">
    <mergeCell ref="A5:A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23.0"/>
  </cols>
  <sheetData>
    <row r="1">
      <c r="A1" s="34">
        <v>46125.0</v>
      </c>
      <c r="B1" s="35">
        <v>1.103828607E9</v>
      </c>
      <c r="C1" s="36" t="s">
        <v>60</v>
      </c>
      <c r="D1" s="36" t="s">
        <v>61</v>
      </c>
      <c r="E1" s="37">
        <v>-4200.29</v>
      </c>
    </row>
    <row r="2">
      <c r="A2" s="38">
        <v>46112.0</v>
      </c>
      <c r="B2" s="39">
        <v>1.102757656E9</v>
      </c>
      <c r="C2" s="40" t="s">
        <v>62</v>
      </c>
      <c r="D2" s="41" t="s">
        <v>63</v>
      </c>
      <c r="E2" s="42">
        <v>-6300.0</v>
      </c>
    </row>
    <row r="3">
      <c r="A3" s="38">
        <v>46111.0</v>
      </c>
      <c r="B3" s="39">
        <v>1.102753045E9</v>
      </c>
      <c r="C3" s="41" t="s">
        <v>64</v>
      </c>
      <c r="D3" s="40" t="s">
        <v>65</v>
      </c>
      <c r="E3" s="42">
        <v>-4300.0</v>
      </c>
    </row>
    <row r="4">
      <c r="A4" s="38">
        <v>46111.0</v>
      </c>
      <c r="B4" s="43">
        <v>1.102722965E9</v>
      </c>
      <c r="C4" s="40" t="s">
        <v>66</v>
      </c>
      <c r="D4" s="41" t="s">
        <v>61</v>
      </c>
      <c r="E4" s="42">
        <v>-11099.72</v>
      </c>
    </row>
    <row r="5">
      <c r="A5" s="38">
        <v>46110.0</v>
      </c>
      <c r="B5" s="39">
        <v>1.102873018E9</v>
      </c>
      <c r="C5" s="41" t="s">
        <v>67</v>
      </c>
      <c r="D5" s="44" t="s">
        <v>68</v>
      </c>
      <c r="E5" s="42">
        <v>-16400.0</v>
      </c>
    </row>
    <row r="6">
      <c r="A6" s="38">
        <v>46110.0</v>
      </c>
      <c r="B6" s="43">
        <v>1.102873008E9</v>
      </c>
      <c r="C6" s="44" t="s">
        <v>69</v>
      </c>
      <c r="D6" s="40" t="s">
        <v>70</v>
      </c>
      <c r="E6" s="42">
        <v>-4500.0</v>
      </c>
    </row>
    <row r="7">
      <c r="A7" s="38">
        <v>46107.0</v>
      </c>
      <c r="B7" s="45">
        <v>1.102754512E9</v>
      </c>
      <c r="C7" s="40" t="s">
        <v>71</v>
      </c>
      <c r="D7" s="40" t="s">
        <v>72</v>
      </c>
      <c r="E7" s="42">
        <v>-6600.0</v>
      </c>
    </row>
    <row r="8">
      <c r="A8" s="38">
        <v>46106.0</v>
      </c>
      <c r="B8" s="39">
        <v>1.102472587E9</v>
      </c>
      <c r="C8" s="40" t="s">
        <v>73</v>
      </c>
      <c r="D8" s="40" t="s">
        <v>74</v>
      </c>
      <c r="E8" s="42">
        <v>-14400.0</v>
      </c>
    </row>
    <row r="9">
      <c r="A9" s="38">
        <v>46103.0</v>
      </c>
      <c r="B9" s="39">
        <v>1.102467433E9</v>
      </c>
      <c r="C9" s="40" t="s">
        <v>75</v>
      </c>
      <c r="D9" s="41" t="s">
        <v>76</v>
      </c>
      <c r="E9" s="42">
        <v>-7150.0</v>
      </c>
    </row>
    <row r="10">
      <c r="A10" s="38">
        <v>46103.0</v>
      </c>
      <c r="B10" s="39">
        <v>1.102415568E9</v>
      </c>
      <c r="C10" s="41" t="s">
        <v>77</v>
      </c>
      <c r="D10" s="40" t="s">
        <v>78</v>
      </c>
      <c r="E10" s="42">
        <v>-9900.0</v>
      </c>
    </row>
    <row r="11">
      <c r="A11" s="38">
        <v>46070.0</v>
      </c>
      <c r="B11" s="43">
        <v>1.100354198E9</v>
      </c>
      <c r="C11" s="40" t="s">
        <v>79</v>
      </c>
      <c r="D11" s="41" t="s">
        <v>68</v>
      </c>
      <c r="E11" s="42">
        <v>-7000.0</v>
      </c>
    </row>
    <row r="12">
      <c r="A12" s="46">
        <v>46061.0</v>
      </c>
      <c r="B12" s="39">
        <v>1.099990226E9</v>
      </c>
      <c r="C12" s="41" t="s">
        <v>64</v>
      </c>
      <c r="D12" s="44" t="s">
        <v>65</v>
      </c>
      <c r="E12" s="42">
        <v>-2000.0</v>
      </c>
    </row>
    <row r="13">
      <c r="A13" s="46">
        <v>46061.0</v>
      </c>
      <c r="B13" s="43">
        <v>1.099989928E9</v>
      </c>
      <c r="C13" s="44" t="s">
        <v>80</v>
      </c>
      <c r="D13" s="40" t="s">
        <v>72</v>
      </c>
      <c r="E13" s="42">
        <v>-4250.0</v>
      </c>
    </row>
    <row r="14">
      <c r="A14" s="46">
        <v>46061.0</v>
      </c>
      <c r="B14" s="45">
        <v>1.099989141E9</v>
      </c>
      <c r="C14" s="40" t="s">
        <v>81</v>
      </c>
      <c r="D14" s="40" t="s">
        <v>76</v>
      </c>
      <c r="E14" s="42">
        <v>-3750.0</v>
      </c>
    </row>
    <row r="15">
      <c r="A15" s="47"/>
      <c r="B15" s="10"/>
      <c r="C15" s="10"/>
      <c r="D15" s="10"/>
      <c r="E15" s="48"/>
    </row>
    <row r="16">
      <c r="A16" s="10"/>
      <c r="B16" s="10"/>
      <c r="C16" s="10"/>
      <c r="D16" s="48"/>
      <c r="E16" s="48">
        <f>SUM(E1:E14)</f>
        <v>-101850.01</v>
      </c>
    </row>
    <row r="17">
      <c r="A17" s="10"/>
      <c r="B17" s="10"/>
      <c r="C17" s="48"/>
      <c r="D17" s="10"/>
      <c r="E17" s="48"/>
    </row>
    <row r="18">
      <c r="A18" s="10"/>
      <c r="B18" s="48"/>
      <c r="C18" s="10"/>
      <c r="D18" s="48"/>
      <c r="E18" s="47"/>
    </row>
    <row r="19">
      <c r="A19" s="48"/>
      <c r="B19" s="10"/>
      <c r="C19" s="48"/>
      <c r="D19" s="47"/>
      <c r="E19" s="10"/>
    </row>
    <row r="20">
      <c r="A20" s="10"/>
      <c r="B20" s="48"/>
      <c r="C20" s="47"/>
      <c r="D20" s="10"/>
      <c r="E20" s="10"/>
    </row>
    <row r="21">
      <c r="A21" s="48"/>
      <c r="B21" s="47"/>
      <c r="C21" s="10"/>
      <c r="D21" s="10"/>
      <c r="E21" s="10"/>
    </row>
    <row r="22">
      <c r="A22" s="47"/>
      <c r="B22" s="10"/>
      <c r="C22" s="10"/>
      <c r="D22" s="10"/>
      <c r="E22" s="48"/>
    </row>
    <row r="23">
      <c r="A23" s="10"/>
      <c r="B23" s="10"/>
      <c r="C23" s="10"/>
      <c r="D23" s="48"/>
      <c r="E23" s="10"/>
    </row>
    <row r="24">
      <c r="A24" s="10"/>
      <c r="B24" s="10"/>
      <c r="C24" s="48"/>
      <c r="D24" s="10"/>
      <c r="E24" s="48"/>
    </row>
    <row r="25">
      <c r="A25" s="10"/>
      <c r="B25" s="48"/>
      <c r="C25" s="10"/>
      <c r="D25" s="48"/>
      <c r="E25" s="47"/>
    </row>
    <row r="26">
      <c r="A26" s="48"/>
      <c r="B26" s="10"/>
      <c r="C26" s="48"/>
      <c r="D26" s="47"/>
      <c r="E26" s="10"/>
    </row>
    <row r="27">
      <c r="A27" s="10"/>
      <c r="B27" s="48"/>
      <c r="C27" s="47"/>
      <c r="D27" s="10"/>
      <c r="E27" s="10"/>
    </row>
    <row r="28">
      <c r="A28" s="48"/>
      <c r="B28" s="47"/>
      <c r="C28" s="10"/>
      <c r="D28" s="10"/>
      <c r="E28" s="10"/>
    </row>
    <row r="29">
      <c r="A29" s="47"/>
      <c r="B29" s="10"/>
      <c r="C29" s="10"/>
      <c r="D29" s="10"/>
      <c r="E29" s="48"/>
    </row>
    <row r="30">
      <c r="A30" s="10"/>
      <c r="B30" s="10"/>
      <c r="C30" s="10"/>
      <c r="D30" s="48"/>
      <c r="E30" s="10"/>
    </row>
    <row r="31">
      <c r="A31" s="10"/>
      <c r="B31" s="10"/>
      <c r="C31" s="48"/>
      <c r="D31" s="10"/>
      <c r="E31" s="48"/>
    </row>
    <row r="32">
      <c r="A32" s="10"/>
      <c r="B32" s="48"/>
      <c r="C32" s="10"/>
      <c r="D32" s="48"/>
      <c r="E32" s="47"/>
    </row>
    <row r="33">
      <c r="A33" s="48"/>
      <c r="B33" s="10"/>
      <c r="C33" s="48"/>
      <c r="D33" s="47"/>
      <c r="E33" s="10"/>
    </row>
    <row r="34">
      <c r="A34" s="10"/>
      <c r="B34" s="48"/>
      <c r="C34" s="47"/>
      <c r="D34" s="10"/>
      <c r="E34" s="10"/>
    </row>
    <row r="35">
      <c r="A35" s="48"/>
      <c r="B35" s="47"/>
      <c r="C35" s="10"/>
      <c r="D35" s="10"/>
      <c r="E35" s="10"/>
    </row>
    <row r="36">
      <c r="A36" s="47"/>
      <c r="B36" s="10"/>
      <c r="C36" s="10"/>
      <c r="D36" s="10"/>
      <c r="E36" s="48"/>
    </row>
    <row r="37">
      <c r="A37" s="10"/>
      <c r="B37" s="10"/>
      <c r="C37" s="10"/>
      <c r="D37" s="48"/>
      <c r="E37" s="10"/>
    </row>
    <row r="38">
      <c r="A38" s="10"/>
      <c r="B38" s="10"/>
      <c r="C38" s="48"/>
      <c r="D38" s="10"/>
      <c r="E38" s="48"/>
    </row>
    <row r="39">
      <c r="A39" s="10"/>
      <c r="B39" s="48"/>
      <c r="C39" s="10"/>
      <c r="D39" s="48"/>
      <c r="E39" s="47"/>
    </row>
    <row r="40">
      <c r="A40" s="48"/>
      <c r="B40" s="10"/>
      <c r="C40" s="48"/>
      <c r="D40" s="47"/>
      <c r="E40" s="10"/>
    </row>
    <row r="41">
      <c r="A41" s="10"/>
      <c r="B41" s="48"/>
      <c r="C41" s="47"/>
      <c r="D41" s="10"/>
      <c r="E41" s="10"/>
    </row>
    <row r="42">
      <c r="A42" s="48"/>
      <c r="B42" s="47"/>
      <c r="C42" s="10"/>
      <c r="D42" s="10"/>
      <c r="E42" s="10"/>
    </row>
    <row r="43">
      <c r="A43" s="47"/>
      <c r="B43" s="10"/>
      <c r="C43" s="10"/>
      <c r="D43" s="10"/>
      <c r="E43" s="48"/>
    </row>
    <row r="44">
      <c r="A44" s="10"/>
      <c r="B44" s="10"/>
      <c r="C44" s="10"/>
      <c r="D44" s="48"/>
      <c r="E44" s="10"/>
    </row>
    <row r="45">
      <c r="A45" s="10"/>
      <c r="B45" s="10"/>
      <c r="C45" s="48"/>
      <c r="D45" s="10"/>
      <c r="E45" s="48"/>
    </row>
    <row r="46">
      <c r="A46" s="10"/>
      <c r="B46" s="48"/>
      <c r="C46" s="10"/>
      <c r="D46" s="48"/>
      <c r="E46" s="47"/>
    </row>
    <row r="47">
      <c r="A47" s="48"/>
      <c r="B47" s="10"/>
      <c r="C47" s="48"/>
      <c r="D47" s="47"/>
      <c r="E47" s="10"/>
    </row>
    <row r="48">
      <c r="A48" s="10"/>
      <c r="B48" s="48"/>
      <c r="C48" s="47"/>
      <c r="D48" s="10"/>
      <c r="E48" s="10"/>
    </row>
    <row r="49">
      <c r="A49" s="48"/>
      <c r="B49" s="47"/>
      <c r="C49" s="10"/>
      <c r="D49" s="10"/>
      <c r="E49" s="10"/>
    </row>
    <row r="50">
      <c r="A50" s="47"/>
      <c r="B50" s="10"/>
      <c r="C50" s="10"/>
      <c r="D50" s="10"/>
      <c r="E50" s="48"/>
    </row>
    <row r="51">
      <c r="A51" s="10"/>
      <c r="B51" s="10"/>
      <c r="C51" s="10"/>
      <c r="D51" s="48"/>
      <c r="E51" s="10"/>
    </row>
    <row r="52">
      <c r="A52" s="10"/>
      <c r="B52" s="10"/>
      <c r="C52" s="48"/>
      <c r="D52" s="10"/>
      <c r="E52" s="48"/>
    </row>
    <row r="53">
      <c r="A53" s="10"/>
      <c r="B53" s="48"/>
      <c r="C53" s="10"/>
      <c r="D53" s="48"/>
      <c r="E53" s="47"/>
    </row>
    <row r="54">
      <c r="A54" s="48"/>
      <c r="B54" s="10"/>
      <c r="C54" s="48"/>
      <c r="D54" s="47"/>
      <c r="E54" s="10"/>
    </row>
    <row r="55">
      <c r="A55" s="10"/>
      <c r="B55" s="48"/>
      <c r="C55" s="47"/>
      <c r="D55" s="10"/>
      <c r="E55" s="10"/>
    </row>
    <row r="56">
      <c r="A56" s="48"/>
      <c r="B56" s="47"/>
      <c r="C56" s="10"/>
      <c r="D56" s="10"/>
      <c r="E56" s="10"/>
    </row>
    <row r="57">
      <c r="A57" s="47"/>
      <c r="B57" s="10"/>
      <c r="C57" s="10"/>
      <c r="D57" s="10"/>
      <c r="E57" s="48"/>
    </row>
    <row r="58">
      <c r="A58" s="10"/>
      <c r="B58" s="10"/>
      <c r="C58" s="10"/>
      <c r="D58" s="48"/>
      <c r="E58" s="10"/>
    </row>
    <row r="59">
      <c r="A59" s="10"/>
      <c r="B59" s="10"/>
      <c r="C59" s="48"/>
      <c r="D59" s="10"/>
      <c r="E59" s="48"/>
    </row>
    <row r="60">
      <c r="A60" s="10"/>
      <c r="B60" s="48"/>
      <c r="C60" s="10"/>
      <c r="D60" s="48"/>
      <c r="E60" s="47"/>
    </row>
    <row r="61">
      <c r="A61" s="48"/>
      <c r="B61" s="10"/>
      <c r="C61" s="48"/>
      <c r="D61" s="47"/>
      <c r="E61" s="10"/>
    </row>
    <row r="62">
      <c r="A62" s="10"/>
      <c r="B62" s="48"/>
      <c r="C62" s="47"/>
      <c r="D62" s="10"/>
      <c r="E62" s="10"/>
    </row>
    <row r="63">
      <c r="A63" s="48"/>
      <c r="B63" s="47"/>
      <c r="C63" s="10"/>
      <c r="D63" s="10"/>
      <c r="E63" s="10"/>
    </row>
    <row r="64">
      <c r="A64" s="47"/>
      <c r="B64" s="10"/>
      <c r="C64" s="10"/>
      <c r="D64" s="10"/>
      <c r="E64" s="48"/>
    </row>
    <row r="65">
      <c r="A65" s="10"/>
      <c r="B65" s="10"/>
      <c r="C65" s="10"/>
      <c r="D65" s="48"/>
      <c r="E65" s="10"/>
    </row>
    <row r="66">
      <c r="A66" s="10"/>
      <c r="B66" s="10"/>
      <c r="C66" s="48"/>
      <c r="D66" s="10"/>
      <c r="E66" s="48"/>
    </row>
    <row r="67">
      <c r="A67" s="10"/>
      <c r="B67" s="48"/>
      <c r="C67" s="10"/>
      <c r="D67" s="48"/>
      <c r="E67" s="47"/>
    </row>
    <row r="68">
      <c r="A68" s="48"/>
      <c r="B68" s="10"/>
      <c r="C68" s="48"/>
      <c r="D68" s="47"/>
      <c r="E68" s="10"/>
    </row>
    <row r="69">
      <c r="A69" s="10"/>
      <c r="B69" s="48"/>
      <c r="C69" s="47"/>
      <c r="D69" s="10"/>
      <c r="E69" s="10"/>
    </row>
    <row r="70">
      <c r="A70" s="48"/>
      <c r="B70" s="47"/>
      <c r="C70" s="10"/>
      <c r="D70" s="10"/>
      <c r="E70" s="10"/>
    </row>
    <row r="71">
      <c r="A71" s="47"/>
      <c r="B71" s="10"/>
      <c r="C71" s="10"/>
      <c r="D71" s="10"/>
      <c r="E71" s="48"/>
    </row>
    <row r="72">
      <c r="A72" s="10"/>
      <c r="B72" s="10"/>
      <c r="C72" s="10"/>
      <c r="D72" s="48"/>
      <c r="E72" s="10"/>
    </row>
    <row r="73">
      <c r="A73" s="10"/>
      <c r="B73" s="10"/>
      <c r="C73" s="48"/>
      <c r="D73" s="10"/>
      <c r="E73" s="48"/>
    </row>
    <row r="74">
      <c r="A74" s="10"/>
      <c r="B74" s="48"/>
      <c r="C74" s="10"/>
      <c r="D74" s="48"/>
      <c r="E74" s="49"/>
    </row>
    <row r="75">
      <c r="A75" s="48"/>
      <c r="B75" s="10"/>
      <c r="C75" s="48"/>
      <c r="D75" s="49"/>
      <c r="E75" s="10"/>
    </row>
    <row r="76">
      <c r="A76" s="10"/>
      <c r="B76" s="48"/>
      <c r="C76" s="49"/>
      <c r="D76" s="10"/>
      <c r="E76" s="10"/>
    </row>
    <row r="77">
      <c r="A77" s="48"/>
      <c r="B77" s="49"/>
      <c r="C77" s="10"/>
      <c r="D77" s="10"/>
      <c r="E77" s="10"/>
    </row>
    <row r="78">
      <c r="A78" s="49"/>
      <c r="B78" s="10"/>
      <c r="C78" s="10"/>
      <c r="D78" s="10"/>
      <c r="E78" s="48"/>
    </row>
    <row r="79">
      <c r="A79" s="10"/>
      <c r="B79" s="10"/>
      <c r="C79" s="10"/>
      <c r="D79" s="48"/>
      <c r="E79" s="10"/>
    </row>
    <row r="80">
      <c r="A80" s="10"/>
      <c r="B80" s="10"/>
      <c r="C80" s="48"/>
      <c r="D80" s="10"/>
      <c r="E80" s="48"/>
    </row>
    <row r="81">
      <c r="A81" s="10"/>
      <c r="B81" s="48"/>
      <c r="C81" s="10"/>
      <c r="D81" s="48"/>
      <c r="E81" s="49"/>
    </row>
    <row r="82">
      <c r="A82" s="48"/>
      <c r="B82" s="10"/>
      <c r="C82" s="48"/>
      <c r="D82" s="49"/>
      <c r="E82" s="10"/>
    </row>
    <row r="83">
      <c r="A83" s="10"/>
      <c r="B83" s="48"/>
      <c r="C83" s="49"/>
      <c r="D83" s="10"/>
      <c r="E83" s="10"/>
    </row>
    <row r="84">
      <c r="A84" s="48"/>
      <c r="B84" s="49"/>
      <c r="C84" s="10"/>
      <c r="D84" s="10"/>
      <c r="E84" s="10"/>
    </row>
    <row r="85">
      <c r="A85" s="49"/>
      <c r="B85" s="10"/>
      <c r="C85" s="10"/>
      <c r="D85" s="10"/>
      <c r="E85" s="48"/>
    </row>
    <row r="86">
      <c r="A86" s="10"/>
      <c r="B86" s="10"/>
      <c r="C86" s="10"/>
      <c r="D86" s="48"/>
      <c r="E86" s="10"/>
    </row>
    <row r="87">
      <c r="A87" s="10"/>
      <c r="B87" s="10"/>
      <c r="C87" s="48"/>
      <c r="D87" s="10"/>
      <c r="E87" s="48"/>
    </row>
    <row r="88">
      <c r="A88" s="10"/>
      <c r="B88" s="48"/>
      <c r="C88" s="10"/>
      <c r="D88" s="48"/>
      <c r="E88" s="49"/>
    </row>
    <row r="89">
      <c r="A89" s="48"/>
      <c r="B89" s="10"/>
      <c r="C89" s="48"/>
      <c r="D89" s="49"/>
      <c r="E89" s="10"/>
    </row>
    <row r="90">
      <c r="A90" s="10"/>
      <c r="B90" s="48"/>
      <c r="C90" s="49"/>
      <c r="D90" s="10"/>
      <c r="E90" s="10"/>
    </row>
    <row r="91">
      <c r="A91" s="48"/>
      <c r="B91" s="49"/>
      <c r="C91" s="10"/>
      <c r="D91" s="10"/>
      <c r="E91" s="10"/>
    </row>
    <row r="92">
      <c r="A92" s="49"/>
      <c r="B92" s="10"/>
      <c r="C92" s="10"/>
      <c r="D92" s="10"/>
      <c r="E92" s="48"/>
    </row>
    <row r="93">
      <c r="A93" s="10"/>
      <c r="B93" s="10"/>
      <c r="C93" s="10"/>
      <c r="D93" s="48"/>
      <c r="E93" s="10"/>
    </row>
    <row r="94">
      <c r="A94" s="10"/>
      <c r="B94" s="10"/>
      <c r="C94" s="48"/>
      <c r="D94" s="10"/>
      <c r="E94" s="48"/>
    </row>
    <row r="95">
      <c r="A95" s="10"/>
      <c r="B95" s="48"/>
      <c r="C95" s="10"/>
      <c r="D95" s="48"/>
    </row>
    <row r="96">
      <c r="A96" s="48"/>
      <c r="B96" s="10"/>
      <c r="C96" s="48"/>
    </row>
    <row r="97">
      <c r="A97" s="10"/>
      <c r="B97" s="48"/>
    </row>
    <row r="98">
      <c r="A98" s="48"/>
    </row>
  </sheetData>
  <autoFilter ref="$A$1:$Z$1000"/>
  <hyperlinks>
    <hyperlink r:id="rId1" location="/transfers/detail?transferId=1103828607&amp;loadSingleTransfer=true" ref="B1"/>
    <hyperlink r:id="rId2" location="/transfers/detail?transferId=1102757656&amp;loadSingleTransfer=true" ref="B2"/>
    <hyperlink r:id="rId3" location="/transfers/detail?transferId=1102753045&amp;loadSingleTransfer=true" ref="B3"/>
    <hyperlink r:id="rId4" location="/transfers/detail?transferId=1102722965&amp;loadSingleTransfer=true" ref="B4"/>
    <hyperlink r:id="rId5" location="/transfers/detail?transferId=1102873018&amp;loadSingleTransfer=true" ref="B5"/>
    <hyperlink r:id="rId6" location="/transfers/detail?transferId=1102873008&amp;loadSingleTransfer=true" ref="B6"/>
    <hyperlink r:id="rId7" location="/transfers/detail?transferId=1102754512&amp;loadSingleTransfer=true" ref="B7"/>
    <hyperlink r:id="rId8" location="/transfers/detail?transferId=1102472587&amp;loadSingleTransfer=true" ref="B8"/>
    <hyperlink r:id="rId9" location="/transfers/detail?transferId=1102467433&amp;loadSingleTransfer=true" ref="B9"/>
    <hyperlink r:id="rId10" location="/transfers/detail?transferId=1102415568&amp;loadSingleTransfer=true" ref="B10"/>
    <hyperlink r:id="rId11" location="/transfers/detail?transferId=1100354198&amp;loadSingleTransfer=true" ref="B11"/>
    <hyperlink r:id="rId12" location="/transfers/detail?transferId=1099990226&amp;loadSingleTransfer=true" ref="B12"/>
    <hyperlink r:id="rId13" location="/transfers/detail?transferId=1099989928&amp;loadSingleTransfer=true" ref="B13"/>
    <hyperlink r:id="rId14" location="/transfers/detail?transferId=1099989141&amp;loadSingleTransfer=true" ref="B14"/>
  </hyperlinks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2023-05-07T21:52:28Z</dcterms:created>
  <dc:creator>Julio Osorio</dc:creator>
</cp:coreProperties>
</file>