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General " sheetId="1" r:id="rId5"/>
    <sheet state="visible" name="INVENTARIO IRIS " sheetId="2" r:id="rId6"/>
    <sheet state="visible" name="Control de Inversión " sheetId="3" r:id="rId7"/>
  </sheets>
  <definedNames>
    <definedName hidden="1" localSheetId="0" name="_xlnm._FilterDatabase">'Inventario General '!$A$6:$H$258</definedName>
  </definedNames>
  <calcPr/>
</workbook>
</file>

<file path=xl/sharedStrings.xml><?xml version="1.0" encoding="utf-8"?>
<sst xmlns="http://schemas.openxmlformats.org/spreadsheetml/2006/main" count="602" uniqueCount="481">
  <si>
    <t xml:space="preserve">Segunda hoja de calculo o Control de Inventario  , se pondrá la fecha de adquisición del producto comprado para tener un mayor control  sobre la mercancía  y la entrada de dinero , o las ganancias totales al porcentaje de lo  invertido , esto nos permitirá ver la ganancias reales  y como poder ajustar el precio de cada uno de estos lotes comprados </t>
  </si>
  <si>
    <t xml:space="preserve">Primero hoja de calculo , tendrá la posibilidad de ver el invertido general con el precio de compra , venta y mayoreo , de igual manera el código de venta para saber cuanto se a recuperado según la inversión hecha anteriormente , esto estará clasificado por 3 colores  , rojo , azul y verde (el primero se referirá a lo mas nuevo de una semana hasta 2 meses de adquirido , el segundo se referirá a los juguetes de 6 meses hasta un año y el verde a todos aquellos que tengan mas de un año </t>
  </si>
  <si>
    <t>Ejemplo de código de inventario :  
8-10-25-NERFJR
El día - Mes - Año -junto con el nombre del producto : 
81025NERFJR</t>
  </si>
  <si>
    <t>Column 8</t>
  </si>
  <si>
    <t>Linea</t>
  </si>
  <si>
    <t>Juguete</t>
  </si>
  <si>
    <t>existencia</t>
  </si>
  <si>
    <t>precio mayoreo</t>
  </si>
  <si>
    <t>Precio menudeo</t>
  </si>
  <si>
    <t>venta</t>
  </si>
  <si>
    <t>total menudeo</t>
  </si>
  <si>
    <t>MHVARIAS</t>
  </si>
  <si>
    <t>Monster hig lux</t>
  </si>
  <si>
    <t>VARIAS</t>
  </si>
  <si>
    <t>WICKED</t>
  </si>
  <si>
    <t>MUÑECAS</t>
  </si>
  <si>
    <t>JWREX</t>
  </si>
  <si>
    <t>JP sonidos</t>
  </si>
  <si>
    <t xml:space="preserve">T-REX </t>
  </si>
  <si>
    <t>JWGIGANTE</t>
  </si>
  <si>
    <t xml:space="preserve">Ginato </t>
  </si>
  <si>
    <t>JWCARNO</t>
  </si>
  <si>
    <t xml:space="preserve">Carnotauro </t>
  </si>
  <si>
    <t>JWFIGURA</t>
  </si>
  <si>
    <t>Jw sencillo</t>
  </si>
  <si>
    <t>BATMAN30CM</t>
  </si>
  <si>
    <t>Batman</t>
  </si>
  <si>
    <t xml:space="preserve">Batman  30 CM </t>
  </si>
  <si>
    <t>BATMANGG</t>
  </si>
  <si>
    <t>Gigant Batman</t>
  </si>
  <si>
    <t>BATMANKS</t>
  </si>
  <si>
    <t xml:space="preserve">King Shark </t>
  </si>
  <si>
    <t>BATMANNW</t>
  </si>
  <si>
    <t xml:space="preserve">Nighwing </t>
  </si>
  <si>
    <t>DCBMBN</t>
  </si>
  <si>
    <t>Batman Vs Bane</t>
  </si>
  <si>
    <t>MHSENCILLA</t>
  </si>
  <si>
    <t xml:space="preserve">Monster high </t>
  </si>
  <si>
    <t>SENCILLAS VAR.</t>
  </si>
  <si>
    <t>FPUNICORNIO</t>
  </si>
  <si>
    <t>unicornio</t>
  </si>
  <si>
    <t>Unicornio FP</t>
  </si>
  <si>
    <t>BASOL</t>
  </si>
  <si>
    <t>baby alive</t>
  </si>
  <si>
    <t>Diversion bajo el sol</t>
  </si>
  <si>
    <t>muñeca</t>
  </si>
  <si>
    <t>Pinypon</t>
  </si>
  <si>
    <t>Queen</t>
  </si>
  <si>
    <t>set</t>
  </si>
  <si>
    <t>imaginext</t>
  </si>
  <si>
    <t>power ranger</t>
  </si>
  <si>
    <t>mini set</t>
  </si>
  <si>
    <t>casita</t>
  </si>
  <si>
    <t>BLLWASHING</t>
  </si>
  <si>
    <t>Washin machine Set</t>
  </si>
  <si>
    <t>PPCABEZA</t>
  </si>
  <si>
    <t>Cabeza</t>
  </si>
  <si>
    <t>BLLSURPRISE</t>
  </si>
  <si>
    <t>Bellies</t>
  </si>
  <si>
    <t>Surpirse</t>
  </si>
  <si>
    <t>BAAVENTURAS</t>
  </si>
  <si>
    <t>Baby Alive</t>
  </si>
  <si>
    <t>Equipo de aventura</t>
  </si>
  <si>
    <t>KKMINIS</t>
  </si>
  <si>
    <t>kindiKids</t>
  </si>
  <si>
    <t>Minis</t>
  </si>
  <si>
    <t>cabello</t>
  </si>
  <si>
    <t>BACHAPOTEOS</t>
  </si>
  <si>
    <t xml:space="preserve"> Bebé Chapoteos</t>
  </si>
  <si>
    <t>NERFINF</t>
  </si>
  <si>
    <t>Nerf</t>
  </si>
  <si>
    <t>Infinite</t>
  </si>
  <si>
    <t>CETDGINETE</t>
  </si>
  <si>
    <t xml:space="preserve">Como entrenar a tu dragon </t>
  </si>
  <si>
    <t>GINETES</t>
  </si>
  <si>
    <t>CETDROAR</t>
  </si>
  <si>
    <t>Movie Como entrenar a tu dragon</t>
  </si>
  <si>
    <t>MINI ROAR</t>
  </si>
  <si>
    <t>figura</t>
  </si>
  <si>
    <t>Marvel</t>
  </si>
  <si>
    <t>Gruot crece</t>
  </si>
  <si>
    <t>MJDUO</t>
  </si>
  <si>
    <t>monster jam</t>
  </si>
  <si>
    <t>duo</t>
  </si>
  <si>
    <t>MJMINI</t>
  </si>
  <si>
    <t xml:space="preserve">mini  </t>
  </si>
  <si>
    <t>MJSET</t>
  </si>
  <si>
    <t>MJUNO</t>
  </si>
  <si>
    <t>uno</t>
  </si>
  <si>
    <t>PPDELUXE</t>
  </si>
  <si>
    <t>paw patrol</t>
  </si>
  <si>
    <t>torre delux</t>
  </si>
  <si>
    <t>PPRESCATE</t>
  </si>
  <si>
    <t>Torre de rescate</t>
  </si>
  <si>
    <t>DJSPIDEYDINO</t>
  </si>
  <si>
    <t>Spidey</t>
  </si>
  <si>
    <t>Dino Web</t>
  </si>
  <si>
    <t>TDSK8</t>
  </si>
  <si>
    <t>Teck Deck</t>
  </si>
  <si>
    <t>Sk8 crew</t>
  </si>
  <si>
    <t>MARVELLBP</t>
  </si>
  <si>
    <t>avengers</t>
  </si>
  <si>
    <t>black panter cuadiciclo</t>
  </si>
  <si>
    <t>LNGEVO</t>
  </si>
  <si>
    <t>Lego</t>
  </si>
  <si>
    <t>Ninjago-Kai Car</t>
  </si>
  <si>
    <t>LSMDOC</t>
  </si>
  <si>
    <t>Spiderman Vs Doc ock</t>
  </si>
  <si>
    <t>LGHAPPY</t>
  </si>
  <si>
    <t>Happy plants</t>
  </si>
  <si>
    <t>SPIDEYMOTO</t>
  </si>
  <si>
    <t>VARIOS</t>
  </si>
  <si>
    <t>ACBEBE</t>
  </si>
  <si>
    <t>Active cube</t>
  </si>
  <si>
    <t>Cubo de madera</t>
  </si>
  <si>
    <t>juego de mesa</t>
  </si>
  <si>
    <t>Basta</t>
  </si>
  <si>
    <t>manual</t>
  </si>
  <si>
    <t xml:space="preserve">SPIDYVEHICULO </t>
  </si>
  <si>
    <t>VehiculoS</t>
  </si>
  <si>
    <t>AQGIGANTE</t>
  </si>
  <si>
    <t xml:space="preserve">Adivina quien </t>
  </si>
  <si>
    <t>gigante</t>
  </si>
  <si>
    <t>XMENW</t>
  </si>
  <si>
    <t>Xmen</t>
  </si>
  <si>
    <t>Wolverine</t>
  </si>
  <si>
    <t>mini sets</t>
  </si>
  <si>
    <t>Pokemon</t>
  </si>
  <si>
    <t>bola pokemon</t>
  </si>
  <si>
    <t>Princesas GEb</t>
  </si>
  <si>
    <t>mini</t>
  </si>
  <si>
    <t>30 cm</t>
  </si>
  <si>
    <t xml:space="preserve">Set </t>
  </si>
  <si>
    <t>Star wars</t>
  </si>
  <si>
    <t>set -5</t>
  </si>
  <si>
    <t>nave mando</t>
  </si>
  <si>
    <t>titania</t>
  </si>
  <si>
    <t>vehiculo</t>
  </si>
  <si>
    <t>Hotwheels</t>
  </si>
  <si>
    <t>pack-5</t>
  </si>
  <si>
    <t>TBSKRONOREX</t>
  </si>
  <si>
    <t>Swap Riders</t>
  </si>
  <si>
    <t>Krono Rex</t>
  </si>
  <si>
    <t>NANCYLN</t>
  </si>
  <si>
    <t>Nancy</t>
  </si>
  <si>
    <t>Love nature</t>
  </si>
  <si>
    <t>Set</t>
  </si>
  <si>
    <t>Torre Stark</t>
  </si>
  <si>
    <t>UNIQUESL</t>
  </si>
  <si>
    <t>Unique eyes</t>
  </si>
  <si>
    <t>Sun lover</t>
  </si>
  <si>
    <t>SWGROGU</t>
  </si>
  <si>
    <t>The Child</t>
  </si>
  <si>
    <t>BLLDIENTES</t>
  </si>
  <si>
    <t>The bellies</t>
  </si>
  <si>
    <t>DIENTES</t>
  </si>
  <si>
    <t>PMTORRE</t>
  </si>
  <si>
    <t>Pjamask</t>
  </si>
  <si>
    <t>TORRE</t>
  </si>
  <si>
    <t>TNXL</t>
  </si>
  <si>
    <t>Tortugas ninja</t>
  </si>
  <si>
    <t>Donatello</t>
  </si>
  <si>
    <t>The batman</t>
  </si>
  <si>
    <t>DC</t>
  </si>
  <si>
    <t>varios</t>
  </si>
  <si>
    <t>IM3D</t>
  </si>
  <si>
    <t>Puzzle Bulders</t>
  </si>
  <si>
    <t>IronMan</t>
  </si>
  <si>
    <t>TN3D</t>
  </si>
  <si>
    <t>Tortuga ninja</t>
  </si>
  <si>
    <t>SWYOUNGJEDI</t>
  </si>
  <si>
    <t>the youn jedi</t>
  </si>
  <si>
    <t>MARVELPP</t>
  </si>
  <si>
    <t>MARVEL</t>
  </si>
  <si>
    <t>Peter b. Parker</t>
  </si>
  <si>
    <t>SWWILDGRUGO</t>
  </si>
  <si>
    <t>Wild Grogu</t>
  </si>
  <si>
    <t>GHMINISET</t>
  </si>
  <si>
    <t>Gabby house</t>
  </si>
  <si>
    <t>bebes</t>
  </si>
  <si>
    <t>mordedera</t>
  </si>
  <si>
    <t>paleta de colores</t>
  </si>
  <si>
    <t>BAHORAC</t>
  </si>
  <si>
    <t>hora de comer</t>
  </si>
  <si>
    <t>DISNEYMALE</t>
  </si>
  <si>
    <t>Princesas Disney</t>
  </si>
  <si>
    <t>Malefica</t>
  </si>
  <si>
    <t>ELLASPLASH</t>
  </si>
  <si>
    <t>ELLA</t>
  </si>
  <si>
    <t>Splash</t>
  </si>
  <si>
    <t>HEXBOTS</t>
  </si>
  <si>
    <t>HEX</t>
  </si>
  <si>
    <t xml:space="preserve">Dragon </t>
  </si>
  <si>
    <t>KKMAX</t>
  </si>
  <si>
    <t>Disfarz magico</t>
  </si>
  <si>
    <t>Perlina</t>
  </si>
  <si>
    <t>Play doo</t>
  </si>
  <si>
    <t>The mandalorian</t>
  </si>
  <si>
    <t>Slime</t>
  </si>
  <si>
    <t>MARVELH</t>
  </si>
  <si>
    <t>HULK VS ABO</t>
  </si>
  <si>
    <t>MARVELAV</t>
  </si>
  <si>
    <t>AVENGER</t>
  </si>
  <si>
    <t>MARVELMOLE</t>
  </si>
  <si>
    <t>La Mole</t>
  </si>
  <si>
    <t>PTDEFENDER</t>
  </si>
  <si>
    <t>Petronix</t>
  </si>
  <si>
    <t>lanza discos</t>
  </si>
  <si>
    <t>He-Man</t>
  </si>
  <si>
    <t>Armadura</t>
  </si>
  <si>
    <t>marveL</t>
  </si>
  <si>
    <t>Guardianes de la galaxia</t>
  </si>
  <si>
    <t>figura 10cm</t>
  </si>
  <si>
    <t>DCAM</t>
  </si>
  <si>
    <t>Aquaman PELI</t>
  </si>
  <si>
    <t>patineta</t>
  </si>
  <si>
    <t>Avion</t>
  </si>
  <si>
    <t>81025NERFJR</t>
  </si>
  <si>
    <t xml:space="preserve">NERF </t>
  </si>
  <si>
    <t>Elite Jr</t>
  </si>
  <si>
    <t>81025NERFLD</t>
  </si>
  <si>
    <t>NERF</t>
  </si>
  <si>
    <t>LoadOut Recon</t>
  </si>
  <si>
    <t>81025LS</t>
  </si>
  <si>
    <t>Disney</t>
  </si>
  <si>
    <t xml:space="preserve">Lilo y Stich </t>
  </si>
  <si>
    <t>81025ANNAGL</t>
  </si>
  <si>
    <t xml:space="preserve">Disney </t>
  </si>
  <si>
    <t>Anna Gala</t>
  </si>
  <si>
    <t>81025ANNAAD</t>
  </si>
  <si>
    <t>Anna Adventure</t>
  </si>
  <si>
    <t>81025ELSAAD</t>
  </si>
  <si>
    <t>Elsa Adventure</t>
  </si>
  <si>
    <t>81025ELSAGL</t>
  </si>
  <si>
    <t>Elsa Gala</t>
  </si>
  <si>
    <t>81025ANNABB</t>
  </si>
  <si>
    <t>Anna Bebe</t>
  </si>
  <si>
    <t>81025DP</t>
  </si>
  <si>
    <t>Princess</t>
  </si>
  <si>
    <t>81025DPYT</t>
  </si>
  <si>
    <t>Princesas Tea</t>
  </si>
  <si>
    <t>81025BDK</t>
  </si>
  <si>
    <t>BATMAN</t>
  </si>
  <si>
    <t xml:space="preserve">Dark Knigth </t>
  </si>
  <si>
    <t xml:space="preserve"> 81025BECONECT</t>
  </si>
  <si>
    <t xml:space="preserve">Baby  Einstein </t>
  </si>
  <si>
    <t xml:space="preserve">Connectable </t>
  </si>
  <si>
    <t>81025DPB</t>
  </si>
  <si>
    <t>Baby Princesas</t>
  </si>
  <si>
    <t>161025NANCYCORAL</t>
  </si>
  <si>
    <t>NANCY</t>
  </si>
  <si>
    <t>CORAL</t>
  </si>
  <si>
    <t>161025SWM</t>
  </si>
  <si>
    <t xml:space="preserve">Star wars </t>
  </si>
  <si>
    <t xml:space="preserve">Jedi Master </t>
  </si>
  <si>
    <t>161025GBKC</t>
  </si>
  <si>
    <t>Kitty Care</t>
  </si>
  <si>
    <t>161025GBHL</t>
  </si>
  <si>
    <t xml:space="preserve">Habitacion de lujo </t>
  </si>
  <si>
    <t>161025BEDJ</t>
  </si>
  <si>
    <t xml:space="preserve">Baby einstein </t>
  </si>
  <si>
    <t>DJ Set</t>
  </si>
  <si>
    <t>161025BECR</t>
  </si>
  <si>
    <t>Caja Registradora</t>
  </si>
  <si>
    <t>161025BECC</t>
  </si>
  <si>
    <t>Canasta de Compras</t>
  </si>
  <si>
    <t>161025BECM</t>
  </si>
  <si>
    <t>Cocina Magica</t>
  </si>
  <si>
    <t>LMCORALREF</t>
  </si>
  <si>
    <t>Minecraft</t>
  </si>
  <si>
    <t>TBKOBRA</t>
  </si>
  <si>
    <t>Tuning Beast</t>
  </si>
  <si>
    <t>Kobra</t>
  </si>
  <si>
    <t>TBSCORPIO</t>
  </si>
  <si>
    <t>Scorpion</t>
  </si>
  <si>
    <t>DJSPIDEY</t>
  </si>
  <si>
    <t>Spidey amazing</t>
  </si>
  <si>
    <t>BSSAFARI</t>
  </si>
  <si>
    <t>Bright Starts</t>
  </si>
  <si>
    <t xml:space="preserve">Safari Beats </t>
  </si>
  <si>
    <t>BECAMARA</t>
  </si>
  <si>
    <t xml:space="preserve">Baby Einstein </t>
  </si>
  <si>
    <t>Camara Learning</t>
  </si>
  <si>
    <t>BESENSORY</t>
  </si>
  <si>
    <t>Sea Sensory</t>
  </si>
  <si>
    <t>BEPOP</t>
  </si>
  <si>
    <t>Pop Palette</t>
  </si>
  <si>
    <t>BETUNES</t>
  </si>
  <si>
    <t>Take Tunes</t>
  </si>
  <si>
    <t>BEOPUS</t>
  </si>
  <si>
    <t>Outstanding Opus</t>
  </si>
  <si>
    <t>BSFUZZY</t>
  </si>
  <si>
    <t>Brigth Starts</t>
  </si>
  <si>
    <t>Fuzzy Feelies</t>
  </si>
  <si>
    <t>MBMARIO</t>
  </si>
  <si>
    <t xml:space="preserve">Super Mario </t>
  </si>
  <si>
    <t xml:space="preserve">Mario </t>
  </si>
  <si>
    <t>MBPEACH</t>
  </si>
  <si>
    <t xml:space="preserve">Mario Bros </t>
  </si>
  <si>
    <t>Peach</t>
  </si>
  <si>
    <t>NETUNICORN</t>
  </si>
  <si>
    <t>NETFLIX</t>
  </si>
  <si>
    <t xml:space="preserve">Unicron Academy </t>
  </si>
  <si>
    <t>MMGRANDES</t>
  </si>
  <si>
    <t xml:space="preserve">MEGA MIGHTIES </t>
  </si>
  <si>
    <t>NERFDINO</t>
  </si>
  <si>
    <t>SS DINOSQUAD</t>
  </si>
  <si>
    <t>BLLPOPPYPEDIA</t>
  </si>
  <si>
    <t>BELLIES</t>
  </si>
  <si>
    <t>POPPYPEDIA</t>
  </si>
  <si>
    <t>NENUCOCB</t>
  </si>
  <si>
    <t>NENUCO</t>
  </si>
  <si>
    <t>CARE BEARS</t>
  </si>
  <si>
    <t>CETDFIGURA</t>
  </si>
  <si>
    <t>Dragones</t>
  </si>
  <si>
    <t>PMANIMAL</t>
  </si>
  <si>
    <t>Animal Power</t>
  </si>
  <si>
    <t>Ataque felino</t>
  </si>
  <si>
    <t>LGF1</t>
  </si>
  <si>
    <t>Formula 1</t>
  </si>
  <si>
    <t>Champions</t>
  </si>
  <si>
    <t>LGTECHNIC</t>
  </si>
  <si>
    <t>Lego Tech</t>
  </si>
  <si>
    <t>Petronas</t>
  </si>
  <si>
    <t>LGCHAMPIONS</t>
  </si>
  <si>
    <t>LEGO SPEED</t>
  </si>
  <si>
    <t>LGF1MINI</t>
  </si>
  <si>
    <t>LEGO MINI</t>
  </si>
  <si>
    <t>Sorpresa</t>
  </si>
  <si>
    <t>120625BOPITSTICH</t>
  </si>
  <si>
    <t xml:space="preserve">BOP IT </t>
  </si>
  <si>
    <t>SITCH</t>
  </si>
  <si>
    <t>BFSETPOKEMON</t>
  </si>
  <si>
    <t>SEt pokemon</t>
  </si>
  <si>
    <t>pokemon</t>
  </si>
  <si>
    <t>BAGATEA</t>
  </si>
  <si>
    <t>Gatea y juega</t>
  </si>
  <si>
    <t>PKCINTURON</t>
  </si>
  <si>
    <t>Clip´n go</t>
  </si>
  <si>
    <t>GHMINICLIP</t>
  </si>
  <si>
    <t>GabbyHouse</t>
  </si>
  <si>
    <t>MINICLIP</t>
  </si>
  <si>
    <t>MVGROOT</t>
  </si>
  <si>
    <t>Groot sonidos</t>
  </si>
  <si>
    <t>I am groot</t>
  </si>
  <si>
    <t>TAKAISEN</t>
  </si>
  <si>
    <t>Jujutsu Kaisen</t>
  </si>
  <si>
    <t>Yuji tadori</t>
  </si>
  <si>
    <t>TATITAN</t>
  </si>
  <si>
    <t>Atak of Titan</t>
  </si>
  <si>
    <t>Eren Jaeger</t>
  </si>
  <si>
    <t>SSHYDRO</t>
  </si>
  <si>
    <t>NERF SUPER SOAKER</t>
  </si>
  <si>
    <t>Hydro Frenzy</t>
  </si>
  <si>
    <t>SSPIRANHA</t>
  </si>
  <si>
    <t>Lanzador de agua</t>
  </si>
  <si>
    <t>Piranha</t>
  </si>
  <si>
    <t>BEBECRY</t>
  </si>
  <si>
    <t>Bebe lloron</t>
  </si>
  <si>
    <t>Dressy</t>
  </si>
  <si>
    <t>SSTWISTER</t>
  </si>
  <si>
    <t>Twister</t>
  </si>
  <si>
    <t>GGEPIC</t>
  </si>
  <si>
    <t>Guardianes de la galacia</t>
  </si>
  <si>
    <t>Epic</t>
  </si>
  <si>
    <t>DCBM3</t>
  </si>
  <si>
    <t>The Batman</t>
  </si>
  <si>
    <t>Aquaman</t>
  </si>
  <si>
    <t>WELLY CARS</t>
  </si>
  <si>
    <t xml:space="preserve">Carros </t>
  </si>
  <si>
    <t>Varios</t>
  </si>
  <si>
    <t>TECHDECK</t>
  </si>
  <si>
    <t>PATINETAS</t>
  </si>
  <si>
    <t>SWPAPA</t>
  </si>
  <si>
    <t>Madalorian</t>
  </si>
  <si>
    <t>cara de papa</t>
  </si>
  <si>
    <t>HEMANBA</t>
  </si>
  <si>
    <t>Batle Armor</t>
  </si>
  <si>
    <t>HWPACK5</t>
  </si>
  <si>
    <t>Hot wheells</t>
  </si>
  <si>
    <t>pack 5</t>
  </si>
  <si>
    <t>BTRC</t>
  </si>
  <si>
    <t>BAtimovil RC</t>
  </si>
  <si>
    <t>Turbo</t>
  </si>
  <si>
    <t>291025SUPERMARIO</t>
  </si>
  <si>
    <t xml:space="preserve">SUPER MARIO </t>
  </si>
  <si>
    <t xml:space="preserve">VARIOS PERSONAJES </t>
  </si>
  <si>
    <t>291025SONIC</t>
  </si>
  <si>
    <t>SONIC</t>
  </si>
  <si>
    <t>291025HARRYP</t>
  </si>
  <si>
    <t>HARRY POTTER</t>
  </si>
  <si>
    <t>291025MULTIPACK</t>
  </si>
  <si>
    <t>DRAGON</t>
  </si>
  <si>
    <t>291025FURBYGALAXY</t>
  </si>
  <si>
    <t>FURBY</t>
  </si>
  <si>
    <t>GALAXY</t>
  </si>
  <si>
    <t>291025FURBYTD</t>
  </si>
  <si>
    <t xml:space="preserve">FURBY </t>
  </si>
  <si>
    <t xml:space="preserve">TIE DYE </t>
  </si>
  <si>
    <t>291025MJW</t>
  </si>
  <si>
    <t xml:space="preserve">MONSTER JAM </t>
  </si>
  <si>
    <t>WWALMART</t>
  </si>
  <si>
    <t>291025BLOKORACER</t>
  </si>
  <si>
    <t>BLOKO LOKO</t>
  </si>
  <si>
    <t>RACER</t>
  </si>
  <si>
    <t>291025BLOKOSPACE</t>
  </si>
  <si>
    <t>SPACE</t>
  </si>
  <si>
    <t>291025METALFORCE</t>
  </si>
  <si>
    <t>METALFORCE</t>
  </si>
  <si>
    <t>291025KSSPASH</t>
  </si>
  <si>
    <t>KINETIC SAND</t>
  </si>
  <si>
    <t xml:space="preserve">SPLASH </t>
  </si>
  <si>
    <t>291025BLOKOMEGA</t>
  </si>
  <si>
    <t xml:space="preserve">BLOKO LOKO </t>
  </si>
  <si>
    <t>MEGA</t>
  </si>
  <si>
    <t>291025BAFRUTAS</t>
  </si>
  <si>
    <t>BABY ALIVE</t>
  </si>
  <si>
    <t>BEBIDAS DE FRUTAS</t>
  </si>
  <si>
    <t>291025HPSNITCH</t>
  </si>
  <si>
    <t>GO SNITCH</t>
  </si>
  <si>
    <t>291025FURBYV</t>
  </si>
  <si>
    <t>DPRINCESAS</t>
  </si>
  <si>
    <t>DISNEY</t>
  </si>
  <si>
    <t>PRINCESAS</t>
  </si>
  <si>
    <t>CETDMINI</t>
  </si>
  <si>
    <t xml:space="preserve">COMO ENTRENAR A TU DRAGON </t>
  </si>
  <si>
    <t xml:space="preserve">MINI </t>
  </si>
  <si>
    <t>BLLSET</t>
  </si>
  <si>
    <t>SET</t>
  </si>
  <si>
    <t>MARVELF</t>
  </si>
  <si>
    <t>FIGURAS</t>
  </si>
  <si>
    <t>THOR</t>
  </si>
  <si>
    <t>BHVARIOS</t>
  </si>
  <si>
    <t>BUBBLES HOTEL</t>
  </si>
  <si>
    <t>BUNCHEMS</t>
  </si>
  <si>
    <t xml:space="preserve">BUNCHEMS </t>
  </si>
  <si>
    <t>PLAYDOH</t>
  </si>
  <si>
    <t>FORMAS</t>
  </si>
  <si>
    <t>POLLYPOKET</t>
  </si>
  <si>
    <t xml:space="preserve">POLLY POKET </t>
  </si>
  <si>
    <t>POLLY POKET</t>
  </si>
  <si>
    <t>TROLLS</t>
  </si>
  <si>
    <t xml:space="preserve">PONY </t>
  </si>
  <si>
    <t>PONY</t>
  </si>
  <si>
    <t>PINPON</t>
  </si>
  <si>
    <t>PINYPON</t>
  </si>
  <si>
    <t>POWER RANGER</t>
  </si>
  <si>
    <t xml:space="preserve">KYLO </t>
  </si>
  <si>
    <t>SLIME</t>
  </si>
  <si>
    <t>MEGAZORD</t>
  </si>
  <si>
    <t>FLASH</t>
  </si>
  <si>
    <t>BSSPINNER</t>
  </si>
  <si>
    <t>BRIGTH STARTS</t>
  </si>
  <si>
    <t>PRESS AND GLOW SPINNER</t>
  </si>
  <si>
    <t>KKFLORA</t>
  </si>
  <si>
    <t>KINDI KIDS</t>
  </si>
  <si>
    <t>FLORA FLUTTERS</t>
  </si>
  <si>
    <t>NENUCOMNM</t>
  </si>
  <si>
    <t>MY NENUCO MERMAID</t>
  </si>
  <si>
    <t>NENUCOBIBERON</t>
  </si>
  <si>
    <t xml:space="preserve">NENUCO </t>
  </si>
  <si>
    <t xml:space="preserve">BIBERON SONAJERO </t>
  </si>
  <si>
    <t>NERFFF</t>
  </si>
  <si>
    <t>FLIP FILL</t>
  </si>
  <si>
    <t>LBDUO</t>
  </si>
  <si>
    <t>LADY BUG</t>
  </si>
  <si>
    <t>DUO</t>
  </si>
  <si>
    <t>FTPRINCESAS</t>
  </si>
  <si>
    <t>FAIRTALE</t>
  </si>
  <si>
    <t>DISNEYFROZEN</t>
  </si>
  <si>
    <t>FROZEN</t>
  </si>
  <si>
    <t>ELLACOLOR</t>
  </si>
  <si>
    <t>DREAM ELLA</t>
  </si>
  <si>
    <t>COLOR CHANGE</t>
  </si>
  <si>
    <t>PRSILVER</t>
  </si>
  <si>
    <t>SILVER RANGER</t>
  </si>
  <si>
    <t>ELLAPROFE</t>
  </si>
  <si>
    <t>PROFESIONES</t>
  </si>
  <si>
    <t>BARBIEBASIC</t>
  </si>
  <si>
    <t xml:space="preserve">BARBIE </t>
  </si>
  <si>
    <t>BASIC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</si>
</sst>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theme="1"/>
      <name val="Arial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shrinkToFit="0" vertical="center" wrapText="0"/>
    </xf>
    <xf borderId="0" fillId="3" fontId="1" numFmtId="0" xfId="0" applyAlignment="1" applyFill="1" applyFont="1">
      <alignment shrinkToFit="0" vertical="center" wrapText="0"/>
    </xf>
    <xf borderId="0" fillId="3" fontId="1" numFmtId="0" xfId="0" applyFill="1" applyFont="1"/>
    <xf borderId="1" fillId="4" fontId="3" numFmtId="0" xfId="0" applyAlignment="1" applyBorder="1" applyFill="1" applyFont="1">
      <alignment shrinkToFit="0" vertical="center" wrapText="0"/>
    </xf>
    <xf borderId="1" fillId="4" fontId="3" numFmtId="0" xfId="0" applyAlignment="1" applyBorder="1" applyFill="1" applyFont="1">
      <alignment horizontal="right" shrinkToFit="0" vertical="center" wrapText="0"/>
    </xf>
    <xf borderId="1" fillId="4" fontId="4" numFmtId="0" xfId="0" applyAlignment="1" applyBorder="1" applyFill="1" applyFont="1">
      <alignment readingOrder="0"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2" fillId="4" fontId="3" numFmtId="0" xfId="0" applyAlignment="1" applyBorder="1" applyFill="1" applyFont="1">
      <alignment horizontal="right" shrinkToFit="0" vertical="center" wrapText="0"/>
    </xf>
    <xf borderId="0" fillId="0" fontId="4" numFmtId="0" xfId="0" applyAlignment="1" applyFont="1">
      <alignment vertical="bottom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shrinkToFit="0" vertical="center" wrapText="0"/>
    </xf>
    <xf borderId="0" fillId="4" fontId="1" numFmtId="0" xfId="0" applyAlignment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ventario General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H258" displayName="Tabla_1" name="Tabla_1" id="1">
  <autoFilter ref="$A$6:$H$258"/>
  <tableColumns count="8">
    <tableColumn name="Column 8" id="1"/>
    <tableColumn name="Linea" id="2"/>
    <tableColumn name="Juguete" id="3"/>
    <tableColumn name="existencia" id="4"/>
    <tableColumn name="precio mayoreo" id="5"/>
    <tableColumn name="Precio menudeo" id="6"/>
    <tableColumn name="venta" id="7"/>
    <tableColumn name="total menudeo" id="8"/>
  </tableColumns>
  <tableStyleInfo name="Inventario General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2" width="18.75"/>
    <col customWidth="1" min="3" max="3" width="15.75"/>
    <col customWidth="1" min="4" max="4" width="16.0"/>
    <col customWidth="1" min="5" max="5" width="19.63"/>
    <col customWidth="1" min="6" max="6" width="20.25"/>
    <col customWidth="1" min="8" max="8" width="18.88"/>
  </cols>
  <sheetData>
    <row r="1">
      <c r="A1" s="2" t="s">
        <v>1</v>
      </c>
      <c r="H1" s="3"/>
      <c r="J1" s="4" t="s">
        <v>2</v>
      </c>
    </row>
    <row r="2">
      <c r="H2" s="3"/>
    </row>
    <row r="3">
      <c r="H3" s="5">
        <f>SUM(H7:H258)</f>
        <v>134371</v>
      </c>
    </row>
    <row r="4">
      <c r="H4" s="3"/>
    </row>
    <row r="5">
      <c r="A5" s="3"/>
      <c r="B5" s="3"/>
      <c r="C5" s="3"/>
      <c r="D5" s="3"/>
      <c r="E5" s="3"/>
      <c r="F5" s="3"/>
      <c r="G5" s="3"/>
      <c r="H5" s="3"/>
    </row>
    <row r="6" ht="22.5" customHeight="1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</row>
    <row r="7" ht="22.5" customHeight="1">
      <c r="A7" s="7" t="s">
        <v>11</v>
      </c>
      <c r="B7" s="7" t="s">
        <v>12</v>
      </c>
      <c r="C7" s="7" t="s">
        <v>13</v>
      </c>
      <c r="D7" s="8">
        <v>8.0</v>
      </c>
      <c r="E7" s="8">
        <v>750.0</v>
      </c>
      <c r="F7" s="8">
        <v>820.0</v>
      </c>
      <c r="H7" s="9">
        <f t="shared" ref="H7:H180" si="1">D7*E7</f>
        <v>6000</v>
      </c>
    </row>
    <row r="8" ht="22.5" customHeight="1">
      <c r="A8" s="7" t="s">
        <v>14</v>
      </c>
      <c r="B8" s="7" t="s">
        <v>14</v>
      </c>
      <c r="C8" s="7" t="s">
        <v>15</v>
      </c>
      <c r="D8" s="8">
        <v>2.0</v>
      </c>
      <c r="E8" s="8">
        <v>750.0</v>
      </c>
      <c r="F8" s="8">
        <v>820.0</v>
      </c>
      <c r="H8" s="9">
        <f t="shared" si="1"/>
        <v>1500</v>
      </c>
    </row>
    <row r="9" ht="22.5" customHeight="1">
      <c r="A9" s="7" t="s">
        <v>16</v>
      </c>
      <c r="B9" s="7" t="s">
        <v>17</v>
      </c>
      <c r="C9" s="7" t="s">
        <v>18</v>
      </c>
      <c r="D9" s="8">
        <v>4.0</v>
      </c>
      <c r="E9" s="8">
        <v>380.0</v>
      </c>
      <c r="F9" s="8">
        <v>430.0</v>
      </c>
      <c r="H9" s="9">
        <f t="shared" si="1"/>
        <v>1520</v>
      </c>
    </row>
    <row r="10" ht="22.5" customHeight="1">
      <c r="A10" s="7" t="s">
        <v>19</v>
      </c>
      <c r="B10" s="7" t="s">
        <v>17</v>
      </c>
      <c r="C10" s="7" t="s">
        <v>20</v>
      </c>
      <c r="D10" s="8">
        <v>3.0</v>
      </c>
      <c r="E10" s="8">
        <v>380.0</v>
      </c>
      <c r="F10" s="8">
        <v>430.0</v>
      </c>
      <c r="H10" s="9">
        <f t="shared" si="1"/>
        <v>1140</v>
      </c>
    </row>
    <row r="11" ht="22.5" customHeight="1">
      <c r="A11" s="7" t="s">
        <v>21</v>
      </c>
      <c r="B11" s="7" t="s">
        <v>17</v>
      </c>
      <c r="C11" s="7" t="s">
        <v>22</v>
      </c>
      <c r="D11" s="8">
        <v>3.0</v>
      </c>
      <c r="E11" s="8">
        <v>380.0</v>
      </c>
      <c r="F11" s="8">
        <v>430.0</v>
      </c>
      <c r="H11" s="9">
        <f t="shared" si="1"/>
        <v>1140</v>
      </c>
    </row>
    <row r="12" ht="22.5" customHeight="1">
      <c r="A12" s="7" t="s">
        <v>23</v>
      </c>
      <c r="B12" s="7" t="s">
        <v>24</v>
      </c>
      <c r="C12" s="7" t="s">
        <v>18</v>
      </c>
      <c r="D12" s="8">
        <v>11.0</v>
      </c>
      <c r="E12" s="8">
        <v>220.0</v>
      </c>
      <c r="F12" s="8">
        <v>250.0</v>
      </c>
      <c r="H12" s="9">
        <f t="shared" si="1"/>
        <v>2420</v>
      </c>
    </row>
    <row r="13" ht="22.5" customHeight="1">
      <c r="A13" s="7" t="s">
        <v>25</v>
      </c>
      <c r="B13" s="7" t="s">
        <v>26</v>
      </c>
      <c r="C13" s="7" t="s">
        <v>27</v>
      </c>
      <c r="D13" s="8">
        <v>29.0</v>
      </c>
      <c r="E13" s="8">
        <v>120.0</v>
      </c>
      <c r="F13" s="8">
        <v>150.0</v>
      </c>
      <c r="H13" s="9">
        <f t="shared" si="1"/>
        <v>3480</v>
      </c>
    </row>
    <row r="14" ht="22.5" customHeight="1">
      <c r="A14" s="7" t="s">
        <v>28</v>
      </c>
      <c r="B14" s="7" t="s">
        <v>26</v>
      </c>
      <c r="C14" s="7" t="s">
        <v>29</v>
      </c>
      <c r="D14" s="8">
        <v>3.0</v>
      </c>
      <c r="E14" s="8">
        <v>230.0</v>
      </c>
      <c r="F14" s="8">
        <v>280.0</v>
      </c>
      <c r="H14" s="9">
        <f t="shared" si="1"/>
        <v>690</v>
      </c>
    </row>
    <row r="15" ht="22.5" customHeight="1">
      <c r="A15" s="7" t="s">
        <v>30</v>
      </c>
      <c r="B15" s="7" t="s">
        <v>26</v>
      </c>
      <c r="C15" s="7" t="s">
        <v>31</v>
      </c>
      <c r="D15" s="8">
        <v>2.0</v>
      </c>
      <c r="E15" s="8">
        <v>230.0</v>
      </c>
      <c r="F15" s="8">
        <v>280.0</v>
      </c>
      <c r="H15" s="9">
        <f t="shared" si="1"/>
        <v>460</v>
      </c>
    </row>
    <row r="16" ht="22.5" customHeight="1">
      <c r="A16" s="7" t="s">
        <v>32</v>
      </c>
      <c r="B16" s="7" t="s">
        <v>26</v>
      </c>
      <c r="C16" s="7" t="s">
        <v>33</v>
      </c>
      <c r="D16" s="8">
        <v>2.0</v>
      </c>
      <c r="E16" s="8">
        <v>280.0</v>
      </c>
      <c r="F16" s="8">
        <v>320.0</v>
      </c>
      <c r="H16" s="9">
        <f t="shared" si="1"/>
        <v>560</v>
      </c>
    </row>
    <row r="17" ht="22.5" customHeight="1">
      <c r="A17" s="7" t="s">
        <v>34</v>
      </c>
      <c r="B17" s="7" t="s">
        <v>26</v>
      </c>
      <c r="C17" s="7" t="s">
        <v>35</v>
      </c>
      <c r="D17" s="8">
        <v>2.0</v>
      </c>
      <c r="E17" s="8">
        <v>350.0</v>
      </c>
      <c r="F17" s="8">
        <v>400.0</v>
      </c>
      <c r="H17" s="9">
        <f t="shared" si="1"/>
        <v>700</v>
      </c>
    </row>
    <row r="18" ht="22.5" customHeight="1">
      <c r="A18" s="7" t="s">
        <v>36</v>
      </c>
      <c r="B18" s="7" t="s">
        <v>37</v>
      </c>
      <c r="C18" s="7" t="s">
        <v>38</v>
      </c>
      <c r="D18" s="8">
        <v>7.0</v>
      </c>
      <c r="E18" s="8">
        <v>250.0</v>
      </c>
      <c r="F18" s="8">
        <v>300.0</v>
      </c>
      <c r="H18" s="9">
        <f t="shared" si="1"/>
        <v>1750</v>
      </c>
    </row>
    <row r="19" ht="22.5" customHeight="1">
      <c r="A19" s="7" t="s">
        <v>39</v>
      </c>
      <c r="B19" s="7" t="s">
        <v>40</v>
      </c>
      <c r="C19" s="7" t="s">
        <v>41</v>
      </c>
      <c r="D19" s="8">
        <v>1.0</v>
      </c>
      <c r="E19" s="8">
        <v>100.0</v>
      </c>
      <c r="F19" s="8">
        <v>120.0</v>
      </c>
      <c r="H19" s="9">
        <f t="shared" si="1"/>
        <v>100</v>
      </c>
    </row>
    <row r="20" ht="22.5" customHeight="1">
      <c r="A20" s="7" t="s">
        <v>42</v>
      </c>
      <c r="B20" s="7" t="s">
        <v>43</v>
      </c>
      <c r="C20" s="7" t="s">
        <v>44</v>
      </c>
      <c r="D20" s="8">
        <v>1.0</v>
      </c>
      <c r="E20" s="8">
        <v>140.0</v>
      </c>
      <c r="F20" s="8">
        <v>180.0</v>
      </c>
      <c r="H20" s="9">
        <f t="shared" si="1"/>
        <v>140</v>
      </c>
    </row>
    <row r="21" ht="22.5" customHeight="1">
      <c r="A21" s="7" t="s">
        <v>45</v>
      </c>
      <c r="B21" s="7" t="s">
        <v>46</v>
      </c>
      <c r="C21" s="7" t="s">
        <v>47</v>
      </c>
      <c r="D21" s="8">
        <v>4.0</v>
      </c>
      <c r="E21" s="8">
        <v>100.0</v>
      </c>
      <c r="F21" s="8">
        <v>130.0</v>
      </c>
      <c r="H21" s="9">
        <f t="shared" si="1"/>
        <v>400</v>
      </c>
    </row>
    <row r="22" ht="22.5" customHeight="1">
      <c r="A22" s="7" t="s">
        <v>48</v>
      </c>
      <c r="B22" s="7" t="s">
        <v>49</v>
      </c>
      <c r="C22" s="7" t="s">
        <v>50</v>
      </c>
      <c r="D22" s="8">
        <v>1.0</v>
      </c>
      <c r="E22" s="8">
        <v>70.0</v>
      </c>
      <c r="F22" s="8">
        <v>100.0</v>
      </c>
      <c r="H22" s="9">
        <f t="shared" si="1"/>
        <v>70</v>
      </c>
    </row>
    <row r="23" ht="22.5" customHeight="1">
      <c r="A23" s="7" t="s">
        <v>51</v>
      </c>
      <c r="B23" s="7" t="s">
        <v>46</v>
      </c>
      <c r="C23" s="7" t="s">
        <v>52</v>
      </c>
      <c r="D23" s="8">
        <v>1.0</v>
      </c>
      <c r="E23" s="8">
        <v>60.0</v>
      </c>
      <c r="F23" s="8">
        <v>95.0</v>
      </c>
      <c r="H23" s="9">
        <f t="shared" si="1"/>
        <v>60</v>
      </c>
    </row>
    <row r="24" ht="22.5" customHeight="1">
      <c r="A24" s="7" t="s">
        <v>53</v>
      </c>
      <c r="B24" s="7">
        <v>3.0</v>
      </c>
      <c r="C24" s="7" t="s">
        <v>54</v>
      </c>
      <c r="D24" s="8">
        <v>1.0</v>
      </c>
      <c r="E24" s="8">
        <v>200.0</v>
      </c>
      <c r="F24" s="8">
        <v>240.0</v>
      </c>
      <c r="H24" s="9">
        <f t="shared" si="1"/>
        <v>200</v>
      </c>
    </row>
    <row r="25" ht="22.5" customHeight="1">
      <c r="A25" s="7" t="s">
        <v>55</v>
      </c>
      <c r="B25" s="7" t="s">
        <v>46</v>
      </c>
      <c r="C25" s="7" t="s">
        <v>56</v>
      </c>
      <c r="D25" s="8">
        <v>3.0</v>
      </c>
      <c r="E25" s="8">
        <v>600.0</v>
      </c>
      <c r="F25" s="8">
        <v>680.0</v>
      </c>
      <c r="H25" s="9">
        <f t="shared" si="1"/>
        <v>1800</v>
      </c>
    </row>
    <row r="26" ht="22.5" customHeight="1">
      <c r="A26" s="7" t="s">
        <v>57</v>
      </c>
      <c r="B26" s="7" t="s">
        <v>58</v>
      </c>
      <c r="C26" s="7" t="s">
        <v>59</v>
      </c>
      <c r="D26" s="8">
        <v>3.0</v>
      </c>
      <c r="E26" s="8">
        <v>100.0</v>
      </c>
      <c r="F26" s="8">
        <v>130.0</v>
      </c>
      <c r="H26" s="9">
        <f t="shared" si="1"/>
        <v>300</v>
      </c>
    </row>
    <row r="27" ht="22.5" customHeight="1">
      <c r="A27" s="7" t="s">
        <v>60</v>
      </c>
      <c r="B27" s="7" t="s">
        <v>61</v>
      </c>
      <c r="C27" s="7" t="s">
        <v>62</v>
      </c>
      <c r="D27" s="8">
        <v>2.0</v>
      </c>
      <c r="E27" s="8">
        <v>120.0</v>
      </c>
      <c r="F27" s="8">
        <v>200.0</v>
      </c>
      <c r="H27" s="9">
        <f t="shared" si="1"/>
        <v>240</v>
      </c>
    </row>
    <row r="28" ht="22.5" customHeight="1">
      <c r="A28" s="7" t="s">
        <v>63</v>
      </c>
      <c r="B28" s="7" t="s">
        <v>64</v>
      </c>
      <c r="C28" s="7" t="s">
        <v>65</v>
      </c>
      <c r="D28" s="8">
        <v>2.0</v>
      </c>
      <c r="E28" s="8">
        <v>160.0</v>
      </c>
      <c r="F28" s="8">
        <v>230.0</v>
      </c>
      <c r="H28" s="9">
        <f t="shared" si="1"/>
        <v>320</v>
      </c>
    </row>
    <row r="29" ht="22.5" customHeight="1">
      <c r="A29" s="7" t="s">
        <v>45</v>
      </c>
      <c r="B29" s="7" t="s">
        <v>46</v>
      </c>
      <c r="C29" s="7" t="s">
        <v>66</v>
      </c>
      <c r="D29" s="8">
        <v>1.0</v>
      </c>
      <c r="E29" s="8">
        <v>80.0</v>
      </c>
      <c r="F29" s="8">
        <v>120.0</v>
      </c>
      <c r="H29" s="9">
        <f t="shared" si="1"/>
        <v>80</v>
      </c>
    </row>
    <row r="30" ht="22.5" customHeight="1">
      <c r="A30" s="7" t="s">
        <v>67</v>
      </c>
      <c r="B30" s="7" t="s">
        <v>61</v>
      </c>
      <c r="C30" s="7" t="s">
        <v>68</v>
      </c>
      <c r="D30" s="8">
        <v>1.0</v>
      </c>
      <c r="E30" s="8">
        <v>150.0</v>
      </c>
      <c r="F30" s="8">
        <v>230.0</v>
      </c>
      <c r="H30" s="9">
        <f t="shared" si="1"/>
        <v>150</v>
      </c>
    </row>
    <row r="31" ht="22.5" customHeight="1">
      <c r="A31" s="7" t="s">
        <v>69</v>
      </c>
      <c r="B31" s="7" t="s">
        <v>70</v>
      </c>
      <c r="C31" s="7" t="s">
        <v>71</v>
      </c>
      <c r="D31" s="8">
        <v>3.0</v>
      </c>
      <c r="E31" s="8">
        <v>280.0</v>
      </c>
      <c r="F31" s="8">
        <v>330.0</v>
      </c>
      <c r="H31" s="9">
        <f t="shared" si="1"/>
        <v>840</v>
      </c>
    </row>
    <row r="32" ht="22.5" customHeight="1">
      <c r="A32" s="7" t="s">
        <v>72</v>
      </c>
      <c r="B32" s="7" t="s">
        <v>73</v>
      </c>
      <c r="C32" s="7" t="s">
        <v>74</v>
      </c>
      <c r="D32" s="8">
        <v>3.0</v>
      </c>
      <c r="E32" s="8">
        <v>200.0</v>
      </c>
      <c r="F32" s="8">
        <v>280.0</v>
      </c>
      <c r="H32" s="9">
        <f t="shared" si="1"/>
        <v>600</v>
      </c>
    </row>
    <row r="33" ht="22.5" customHeight="1">
      <c r="A33" s="7" t="s">
        <v>75</v>
      </c>
      <c r="B33" s="7" t="s">
        <v>76</v>
      </c>
      <c r="C33" s="7" t="s">
        <v>77</v>
      </c>
      <c r="D33" s="8">
        <v>4.0</v>
      </c>
      <c r="E33" s="8">
        <v>430.0</v>
      </c>
      <c r="F33" s="8">
        <v>480.0</v>
      </c>
      <c r="H33" s="9">
        <f t="shared" si="1"/>
        <v>1720</v>
      </c>
    </row>
    <row r="34" ht="22.5" customHeight="1">
      <c r="A34" s="7" t="s">
        <v>78</v>
      </c>
      <c r="B34" s="7" t="s">
        <v>79</v>
      </c>
      <c r="C34" s="7" t="s">
        <v>80</v>
      </c>
      <c r="D34" s="8">
        <v>4.0</v>
      </c>
      <c r="E34" s="8">
        <v>200.0</v>
      </c>
      <c r="F34" s="8">
        <v>280.0</v>
      </c>
      <c r="H34" s="9">
        <f t="shared" si="1"/>
        <v>800</v>
      </c>
    </row>
    <row r="35" ht="22.5" customHeight="1">
      <c r="A35" s="7" t="s">
        <v>81</v>
      </c>
      <c r="B35" s="7" t="s">
        <v>82</v>
      </c>
      <c r="C35" s="7" t="s">
        <v>83</v>
      </c>
      <c r="D35" s="8">
        <v>5.0</v>
      </c>
      <c r="E35" s="8">
        <v>130.0</v>
      </c>
      <c r="F35" s="8">
        <v>160.0</v>
      </c>
      <c r="H35" s="9">
        <f t="shared" si="1"/>
        <v>650</v>
      </c>
    </row>
    <row r="36" ht="22.5" customHeight="1">
      <c r="A36" s="7" t="s">
        <v>84</v>
      </c>
      <c r="B36" s="7" t="s">
        <v>82</v>
      </c>
      <c r="C36" s="7" t="s">
        <v>85</v>
      </c>
      <c r="D36" s="8">
        <v>24.0</v>
      </c>
      <c r="E36" s="8">
        <v>30.0</v>
      </c>
      <c r="F36" s="8">
        <v>40.0</v>
      </c>
      <c r="H36" s="9">
        <f t="shared" si="1"/>
        <v>720</v>
      </c>
    </row>
    <row r="37" ht="22.5" customHeight="1">
      <c r="A37" s="7" t="s">
        <v>86</v>
      </c>
      <c r="B37" s="7" t="s">
        <v>82</v>
      </c>
      <c r="C37" s="7" t="s">
        <v>48</v>
      </c>
      <c r="D37" s="8">
        <v>2.0</v>
      </c>
      <c r="E37" s="8">
        <v>185.0</v>
      </c>
      <c r="F37" s="8">
        <v>220.0</v>
      </c>
      <c r="H37" s="9">
        <f t="shared" si="1"/>
        <v>370</v>
      </c>
    </row>
    <row r="38" ht="22.5" customHeight="1">
      <c r="A38" s="7" t="s">
        <v>87</v>
      </c>
      <c r="B38" s="7" t="s">
        <v>82</v>
      </c>
      <c r="C38" s="7" t="s">
        <v>88</v>
      </c>
      <c r="D38" s="8">
        <v>7.0</v>
      </c>
      <c r="E38" s="8">
        <v>75.0</v>
      </c>
      <c r="F38" s="8">
        <v>100.0</v>
      </c>
      <c r="H38" s="9">
        <f t="shared" si="1"/>
        <v>525</v>
      </c>
    </row>
    <row r="39" ht="22.5" customHeight="1">
      <c r="A39" s="7" t="s">
        <v>89</v>
      </c>
      <c r="B39" s="7" t="s">
        <v>90</v>
      </c>
      <c r="C39" s="7" t="s">
        <v>91</v>
      </c>
      <c r="D39" s="8">
        <v>2.0</v>
      </c>
      <c r="E39" s="8">
        <v>250.0</v>
      </c>
      <c r="F39" s="8">
        <v>320.0</v>
      </c>
      <c r="H39" s="9">
        <f t="shared" si="1"/>
        <v>500</v>
      </c>
    </row>
    <row r="40" ht="22.5" customHeight="1">
      <c r="A40" s="7" t="s">
        <v>92</v>
      </c>
      <c r="B40" s="7" t="s">
        <v>90</v>
      </c>
      <c r="C40" s="7" t="s">
        <v>93</v>
      </c>
      <c r="D40" s="8">
        <v>2.0</v>
      </c>
      <c r="E40" s="8">
        <v>310.0</v>
      </c>
      <c r="F40" s="8">
        <v>380.0</v>
      </c>
      <c r="H40" s="9">
        <f t="shared" si="1"/>
        <v>620</v>
      </c>
    </row>
    <row r="41" ht="22.5" customHeight="1">
      <c r="A41" s="7" t="s">
        <v>94</v>
      </c>
      <c r="B41" s="7" t="s">
        <v>95</v>
      </c>
      <c r="C41" s="7" t="s">
        <v>96</v>
      </c>
      <c r="D41" s="8">
        <v>2.0</v>
      </c>
      <c r="E41" s="8">
        <v>330.0</v>
      </c>
      <c r="F41" s="8">
        <v>450.0</v>
      </c>
      <c r="H41" s="9">
        <f t="shared" si="1"/>
        <v>660</v>
      </c>
    </row>
    <row r="42" ht="22.5" customHeight="1">
      <c r="A42" s="7" t="s">
        <v>97</v>
      </c>
      <c r="B42" s="7" t="s">
        <v>98</v>
      </c>
      <c r="C42" s="7" t="s">
        <v>99</v>
      </c>
      <c r="D42" s="8">
        <v>2.0</v>
      </c>
      <c r="E42" s="8">
        <v>150.0</v>
      </c>
      <c r="F42" s="8">
        <v>220.0</v>
      </c>
      <c r="H42" s="9">
        <f t="shared" si="1"/>
        <v>300</v>
      </c>
    </row>
    <row r="43" ht="22.5" customHeight="1">
      <c r="A43" s="7" t="s">
        <v>100</v>
      </c>
      <c r="B43" s="7" t="s">
        <v>101</v>
      </c>
      <c r="C43" s="7" t="s">
        <v>102</v>
      </c>
      <c r="D43" s="8">
        <v>2.0</v>
      </c>
      <c r="E43" s="8">
        <v>100.0</v>
      </c>
      <c r="F43" s="8">
        <v>150.0</v>
      </c>
      <c r="H43" s="9">
        <f t="shared" si="1"/>
        <v>200</v>
      </c>
    </row>
    <row r="44" ht="22.5" customHeight="1">
      <c r="A44" s="7" t="s">
        <v>103</v>
      </c>
      <c r="B44" s="7" t="s">
        <v>104</v>
      </c>
      <c r="C44" s="7" t="s">
        <v>105</v>
      </c>
      <c r="D44" s="8">
        <v>1.0</v>
      </c>
      <c r="E44" s="8">
        <v>230.0</v>
      </c>
      <c r="F44" s="8">
        <v>260.0</v>
      </c>
      <c r="H44" s="9">
        <f t="shared" si="1"/>
        <v>230</v>
      </c>
    </row>
    <row r="45" ht="22.5" customHeight="1">
      <c r="A45" s="7" t="s">
        <v>106</v>
      </c>
      <c r="B45" s="7" t="s">
        <v>104</v>
      </c>
      <c r="C45" s="7" t="s">
        <v>107</v>
      </c>
      <c r="D45" s="8">
        <v>3.0</v>
      </c>
      <c r="E45" s="8">
        <v>230.0</v>
      </c>
      <c r="F45" s="8">
        <v>260.0</v>
      </c>
      <c r="H45" s="9">
        <f t="shared" si="1"/>
        <v>690</v>
      </c>
    </row>
    <row r="46" ht="22.5" customHeight="1">
      <c r="A46" s="7" t="s">
        <v>108</v>
      </c>
      <c r="B46" s="7" t="s">
        <v>104</v>
      </c>
      <c r="C46" s="7" t="s">
        <v>109</v>
      </c>
      <c r="D46" s="8">
        <v>1.0</v>
      </c>
      <c r="E46" s="8">
        <v>620.0</v>
      </c>
      <c r="F46" s="8">
        <v>650.0</v>
      </c>
      <c r="H46" s="9">
        <f t="shared" si="1"/>
        <v>620</v>
      </c>
    </row>
    <row r="47" ht="22.5" customHeight="1">
      <c r="A47" s="7" t="s">
        <v>110</v>
      </c>
      <c r="B47" s="7" t="s">
        <v>95</v>
      </c>
      <c r="C47" s="7" t="s">
        <v>111</v>
      </c>
      <c r="D47" s="8">
        <v>4.0</v>
      </c>
      <c r="E47" s="8">
        <v>150.0</v>
      </c>
      <c r="F47" s="8">
        <v>180.0</v>
      </c>
      <c r="H47" s="9">
        <f t="shared" si="1"/>
        <v>600</v>
      </c>
    </row>
    <row r="48" ht="22.5" customHeight="1">
      <c r="A48" s="7" t="s">
        <v>112</v>
      </c>
      <c r="B48" s="7" t="s">
        <v>113</v>
      </c>
      <c r="C48" s="7" t="s">
        <v>114</v>
      </c>
      <c r="D48" s="8">
        <v>3.0</v>
      </c>
      <c r="E48" s="8">
        <v>130.0</v>
      </c>
      <c r="F48" s="8">
        <v>160.0</v>
      </c>
      <c r="H48" s="9">
        <f t="shared" si="1"/>
        <v>390</v>
      </c>
    </row>
    <row r="49" ht="22.5" customHeight="1">
      <c r="A49" s="7" t="s">
        <v>115</v>
      </c>
      <c r="B49" s="7" t="s">
        <v>116</v>
      </c>
      <c r="C49" s="7" t="s">
        <v>117</v>
      </c>
      <c r="D49" s="9"/>
      <c r="E49" s="8">
        <v>410.0</v>
      </c>
      <c r="F49" s="9"/>
      <c r="H49" s="9">
        <f t="shared" si="1"/>
        <v>0</v>
      </c>
    </row>
    <row r="50" ht="22.5" customHeight="1">
      <c r="A50" s="7" t="s">
        <v>118</v>
      </c>
      <c r="B50" s="7" t="s">
        <v>95</v>
      </c>
      <c r="C50" s="7" t="s">
        <v>119</v>
      </c>
      <c r="D50" s="8">
        <v>4.0</v>
      </c>
      <c r="E50" s="8">
        <v>270.0</v>
      </c>
      <c r="F50" s="8">
        <v>330.0</v>
      </c>
      <c r="H50" s="9">
        <f t="shared" si="1"/>
        <v>1080</v>
      </c>
    </row>
    <row r="51" ht="22.5" customHeight="1">
      <c r="A51" s="7" t="s">
        <v>120</v>
      </c>
      <c r="B51" s="7" t="s">
        <v>121</v>
      </c>
      <c r="C51" s="7" t="s">
        <v>122</v>
      </c>
      <c r="D51" s="8">
        <v>1.0</v>
      </c>
      <c r="E51" s="8">
        <v>330.0</v>
      </c>
      <c r="F51" s="8">
        <v>420.0</v>
      </c>
      <c r="H51" s="9">
        <f t="shared" si="1"/>
        <v>330</v>
      </c>
    </row>
    <row r="52" ht="22.5" customHeight="1">
      <c r="A52" s="7" t="s">
        <v>123</v>
      </c>
      <c r="B52" s="7" t="s">
        <v>124</v>
      </c>
      <c r="C52" s="7" t="s">
        <v>125</v>
      </c>
      <c r="D52" s="8">
        <v>2.0</v>
      </c>
      <c r="E52" s="8">
        <v>120.0</v>
      </c>
      <c r="F52" s="8">
        <v>180.0</v>
      </c>
      <c r="H52" s="9">
        <f t="shared" si="1"/>
        <v>240</v>
      </c>
    </row>
    <row r="53" ht="22.5" customHeight="1">
      <c r="A53" s="7" t="s">
        <v>126</v>
      </c>
      <c r="B53" s="7" t="s">
        <v>127</v>
      </c>
      <c r="C53" s="7" t="s">
        <v>128</v>
      </c>
      <c r="D53" s="9"/>
      <c r="E53" s="8">
        <v>110.0</v>
      </c>
      <c r="F53" s="8">
        <v>150.0</v>
      </c>
      <c r="H53" s="9">
        <f t="shared" si="1"/>
        <v>0</v>
      </c>
    </row>
    <row r="54" ht="22.5" customHeight="1">
      <c r="A54" s="7" t="s">
        <v>45</v>
      </c>
      <c r="B54" s="7" t="s">
        <v>129</v>
      </c>
      <c r="C54" s="7" t="s">
        <v>130</v>
      </c>
      <c r="D54" s="9"/>
      <c r="E54" s="8">
        <v>150.0</v>
      </c>
      <c r="F54" s="8">
        <v>180.0</v>
      </c>
      <c r="H54" s="9">
        <f t="shared" si="1"/>
        <v>0</v>
      </c>
    </row>
    <row r="55" ht="22.5" customHeight="1">
      <c r="A55" s="7" t="s">
        <v>45</v>
      </c>
      <c r="B55" s="7" t="s">
        <v>129</v>
      </c>
      <c r="C55" s="7" t="s">
        <v>131</v>
      </c>
      <c r="D55" s="9"/>
      <c r="E55" s="8">
        <v>100.0</v>
      </c>
      <c r="F55" s="8">
        <v>120.0</v>
      </c>
      <c r="H55" s="9">
        <f t="shared" si="1"/>
        <v>0</v>
      </c>
    </row>
    <row r="56" ht="22.5" customHeight="1">
      <c r="A56" s="7" t="s">
        <v>132</v>
      </c>
      <c r="B56" s="7" t="s">
        <v>133</v>
      </c>
      <c r="C56" s="7" t="s">
        <v>134</v>
      </c>
      <c r="D56" s="8">
        <v>1.0</v>
      </c>
      <c r="E56" s="8">
        <v>320.0</v>
      </c>
      <c r="F56" s="8">
        <v>400.0</v>
      </c>
      <c r="H56" s="9">
        <f t="shared" si="1"/>
        <v>320</v>
      </c>
    </row>
    <row r="57" ht="22.5" customHeight="1">
      <c r="A57" s="7" t="s">
        <v>132</v>
      </c>
      <c r="B57" s="7" t="s">
        <v>133</v>
      </c>
      <c r="C57" s="7" t="s">
        <v>135</v>
      </c>
      <c r="D57" s="8">
        <v>1.0</v>
      </c>
      <c r="E57" s="8">
        <v>320.0</v>
      </c>
      <c r="F57" s="8">
        <v>400.0</v>
      </c>
      <c r="H57" s="9">
        <f t="shared" si="1"/>
        <v>320</v>
      </c>
    </row>
    <row r="58" ht="22.5" customHeight="1">
      <c r="A58" s="7" t="s">
        <v>78</v>
      </c>
      <c r="B58" s="7" t="s">
        <v>124</v>
      </c>
      <c r="C58" s="7" t="s">
        <v>136</v>
      </c>
      <c r="D58" s="8"/>
      <c r="E58" s="8">
        <v>80.0</v>
      </c>
      <c r="F58" s="8">
        <v>100.0</v>
      </c>
      <c r="H58" s="9">
        <f t="shared" si="1"/>
        <v>0</v>
      </c>
    </row>
    <row r="59" ht="22.5" customHeight="1">
      <c r="A59" s="7" t="s">
        <v>137</v>
      </c>
      <c r="B59" s="7" t="s">
        <v>138</v>
      </c>
      <c r="C59" s="7" t="s">
        <v>139</v>
      </c>
      <c r="D59" s="8">
        <v>11.0</v>
      </c>
      <c r="E59" s="8">
        <v>140.0</v>
      </c>
      <c r="F59" s="8">
        <v>160.0</v>
      </c>
      <c r="H59" s="9">
        <f t="shared" si="1"/>
        <v>1540</v>
      </c>
    </row>
    <row r="60" ht="22.5" customHeight="1">
      <c r="A60" s="7" t="s">
        <v>140</v>
      </c>
      <c r="B60" s="7" t="s">
        <v>141</v>
      </c>
      <c r="C60" s="7" t="s">
        <v>142</v>
      </c>
      <c r="D60" s="8">
        <v>2.0</v>
      </c>
      <c r="E60" s="8">
        <v>280.0</v>
      </c>
      <c r="F60" s="8">
        <v>350.0</v>
      </c>
      <c r="H60" s="9">
        <f t="shared" si="1"/>
        <v>560</v>
      </c>
    </row>
    <row r="61" ht="22.5" customHeight="1">
      <c r="A61" s="7" t="s">
        <v>143</v>
      </c>
      <c r="B61" s="7" t="s">
        <v>144</v>
      </c>
      <c r="C61" s="7" t="s">
        <v>145</v>
      </c>
      <c r="D61" s="8">
        <v>6.0</v>
      </c>
      <c r="E61" s="8">
        <v>170.0</v>
      </c>
      <c r="F61" s="8">
        <v>230.0</v>
      </c>
      <c r="H61" s="9">
        <f t="shared" si="1"/>
        <v>1020</v>
      </c>
    </row>
    <row r="62" ht="22.5" customHeight="1">
      <c r="A62" s="7" t="s">
        <v>146</v>
      </c>
      <c r="B62" s="7" t="s">
        <v>95</v>
      </c>
      <c r="C62" s="7" t="s">
        <v>147</v>
      </c>
      <c r="D62" s="8">
        <v>2.0</v>
      </c>
      <c r="E62" s="8">
        <v>250.0</v>
      </c>
      <c r="F62" s="8">
        <v>350.0</v>
      </c>
      <c r="H62" s="9">
        <f t="shared" si="1"/>
        <v>500</v>
      </c>
    </row>
    <row r="63" ht="22.5" customHeight="1">
      <c r="A63" s="7" t="s">
        <v>148</v>
      </c>
      <c r="B63" s="7" t="s">
        <v>149</v>
      </c>
      <c r="C63" s="7" t="s">
        <v>150</v>
      </c>
      <c r="D63" s="8">
        <v>4.0</v>
      </c>
      <c r="E63" s="8">
        <v>300.0</v>
      </c>
      <c r="F63" s="8">
        <v>400.0</v>
      </c>
      <c r="H63" s="9">
        <f t="shared" si="1"/>
        <v>1200</v>
      </c>
    </row>
    <row r="64" ht="22.5" customHeight="1">
      <c r="A64" s="7" t="s">
        <v>151</v>
      </c>
      <c r="B64" s="7" t="s">
        <v>133</v>
      </c>
      <c r="C64" s="7" t="s">
        <v>152</v>
      </c>
      <c r="D64" s="8">
        <v>1.0</v>
      </c>
      <c r="E64" s="8">
        <v>200.0</v>
      </c>
      <c r="F64" s="8">
        <v>260.0</v>
      </c>
      <c r="H64" s="9">
        <f t="shared" si="1"/>
        <v>200</v>
      </c>
    </row>
    <row r="65" ht="22.5" customHeight="1">
      <c r="A65" s="7" t="s">
        <v>153</v>
      </c>
      <c r="B65" s="7" t="s">
        <v>154</v>
      </c>
      <c r="C65" s="7" t="s">
        <v>155</v>
      </c>
      <c r="D65" s="8">
        <v>4.0</v>
      </c>
      <c r="E65" s="8">
        <v>160.0</v>
      </c>
      <c r="F65" s="8">
        <v>240.0</v>
      </c>
      <c r="H65" s="9">
        <f t="shared" si="1"/>
        <v>640</v>
      </c>
    </row>
    <row r="66" ht="22.5" customHeight="1">
      <c r="A66" s="7" t="s">
        <v>156</v>
      </c>
      <c r="B66" s="7" t="s">
        <v>157</v>
      </c>
      <c r="C66" s="7" t="s">
        <v>158</v>
      </c>
      <c r="D66" s="8">
        <v>1.0</v>
      </c>
      <c r="E66" s="8">
        <v>300.0</v>
      </c>
      <c r="F66" s="8">
        <v>400.0</v>
      </c>
      <c r="H66" s="9">
        <f t="shared" si="1"/>
        <v>300</v>
      </c>
    </row>
    <row r="67" ht="22.5" customHeight="1">
      <c r="A67" s="7" t="s">
        <v>159</v>
      </c>
      <c r="B67" s="7" t="s">
        <v>160</v>
      </c>
      <c r="C67" s="7" t="s">
        <v>161</v>
      </c>
      <c r="D67" s="8">
        <v>2.0</v>
      </c>
      <c r="E67" s="8">
        <v>60.0</v>
      </c>
      <c r="F67" s="8">
        <v>80.0</v>
      </c>
      <c r="H67" s="9">
        <f t="shared" si="1"/>
        <v>120</v>
      </c>
    </row>
    <row r="68" ht="22.5" customHeight="1">
      <c r="A68" s="7" t="s">
        <v>78</v>
      </c>
      <c r="B68" s="7" t="s">
        <v>26</v>
      </c>
      <c r="C68" s="7" t="s">
        <v>162</v>
      </c>
      <c r="D68" s="8">
        <v>1.0</v>
      </c>
      <c r="E68" s="8">
        <v>80.0</v>
      </c>
      <c r="F68" s="8">
        <v>150.0</v>
      </c>
      <c r="H68" s="9">
        <f t="shared" si="1"/>
        <v>80</v>
      </c>
    </row>
    <row r="69" ht="22.5" customHeight="1">
      <c r="A69" s="7" t="s">
        <v>78</v>
      </c>
      <c r="B69" s="7" t="s">
        <v>163</v>
      </c>
      <c r="C69" s="7" t="s">
        <v>164</v>
      </c>
      <c r="D69" s="8">
        <v>8.0</v>
      </c>
      <c r="E69" s="8">
        <v>100.0</v>
      </c>
      <c r="F69" s="8">
        <v>150.0</v>
      </c>
      <c r="H69" s="9">
        <f t="shared" si="1"/>
        <v>800</v>
      </c>
    </row>
    <row r="70" ht="22.5" customHeight="1">
      <c r="A70" s="7" t="s">
        <v>165</v>
      </c>
      <c r="B70" s="7" t="s">
        <v>166</v>
      </c>
      <c r="C70" s="7" t="s">
        <v>167</v>
      </c>
      <c r="D70" s="8">
        <v>1.0</v>
      </c>
      <c r="E70" s="8">
        <v>50.0</v>
      </c>
      <c r="F70" s="8">
        <v>70.0</v>
      </c>
      <c r="H70" s="9">
        <f t="shared" si="1"/>
        <v>50</v>
      </c>
    </row>
    <row r="71" ht="22.5" customHeight="1">
      <c r="A71" s="7" t="s">
        <v>168</v>
      </c>
      <c r="B71" s="7" t="s">
        <v>166</v>
      </c>
      <c r="C71" s="7" t="s">
        <v>169</v>
      </c>
      <c r="D71" s="8">
        <v>1.0</v>
      </c>
      <c r="E71" s="8">
        <v>50.0</v>
      </c>
      <c r="F71" s="8">
        <v>70.0</v>
      </c>
      <c r="H71" s="9">
        <f t="shared" si="1"/>
        <v>50</v>
      </c>
    </row>
    <row r="72" ht="22.5" customHeight="1">
      <c r="A72" s="10" t="s">
        <v>170</v>
      </c>
      <c r="B72" s="10" t="s">
        <v>133</v>
      </c>
      <c r="C72" s="10" t="s">
        <v>171</v>
      </c>
      <c r="D72" s="11">
        <v>3.0</v>
      </c>
      <c r="E72" s="11">
        <v>60.0</v>
      </c>
      <c r="F72" s="11">
        <v>80.0</v>
      </c>
      <c r="G72" s="12"/>
      <c r="H72" s="13">
        <f t="shared" si="1"/>
        <v>180</v>
      </c>
    </row>
    <row r="73" ht="22.5" customHeight="1">
      <c r="A73" s="7" t="s">
        <v>172</v>
      </c>
      <c r="B73" s="7" t="s">
        <v>173</v>
      </c>
      <c r="C73" s="7" t="s">
        <v>174</v>
      </c>
      <c r="D73" s="8">
        <v>1.0</v>
      </c>
      <c r="E73" s="8">
        <v>250.0</v>
      </c>
      <c r="F73" s="8">
        <v>350.0</v>
      </c>
      <c r="H73" s="9">
        <f t="shared" si="1"/>
        <v>250</v>
      </c>
    </row>
    <row r="74" ht="22.5" customHeight="1">
      <c r="A74" s="7" t="s">
        <v>175</v>
      </c>
      <c r="B74" s="7" t="s">
        <v>133</v>
      </c>
      <c r="C74" s="7" t="s">
        <v>176</v>
      </c>
      <c r="D74" s="8">
        <v>1.0</v>
      </c>
      <c r="E74" s="8">
        <v>200.0</v>
      </c>
      <c r="F74" s="8">
        <v>280.0</v>
      </c>
      <c r="H74" s="9">
        <f t="shared" si="1"/>
        <v>200</v>
      </c>
    </row>
    <row r="75" ht="22.5" customHeight="1">
      <c r="A75" s="7" t="s">
        <v>177</v>
      </c>
      <c r="B75" s="7" t="s">
        <v>178</v>
      </c>
      <c r="C75" s="7" t="s">
        <v>51</v>
      </c>
      <c r="D75" s="8">
        <v>3.0</v>
      </c>
      <c r="E75" s="8">
        <v>200.0</v>
      </c>
      <c r="F75" s="8">
        <v>260.0</v>
      </c>
      <c r="H75" s="9">
        <f t="shared" si="1"/>
        <v>600</v>
      </c>
    </row>
    <row r="76" ht="22.5" customHeight="1">
      <c r="A76" s="7" t="s">
        <v>179</v>
      </c>
      <c r="B76" s="7" t="s">
        <v>180</v>
      </c>
      <c r="C76" s="7" t="s">
        <v>181</v>
      </c>
      <c r="D76" s="8">
        <v>2.0</v>
      </c>
      <c r="E76" s="8">
        <v>50.0</v>
      </c>
      <c r="F76" s="8">
        <v>80.0</v>
      </c>
      <c r="H76" s="9">
        <f t="shared" si="1"/>
        <v>100</v>
      </c>
    </row>
    <row r="77" ht="22.5" customHeight="1">
      <c r="A77" s="7" t="s">
        <v>182</v>
      </c>
      <c r="B77" s="7" t="s">
        <v>43</v>
      </c>
      <c r="C77" s="7" t="s">
        <v>183</v>
      </c>
      <c r="D77" s="8">
        <v>1.0</v>
      </c>
      <c r="E77" s="8">
        <v>200.0</v>
      </c>
      <c r="F77" s="8">
        <v>260.0</v>
      </c>
      <c r="H77" s="9">
        <f t="shared" si="1"/>
        <v>200</v>
      </c>
    </row>
    <row r="78" ht="22.5" customHeight="1">
      <c r="A78" s="7" t="s">
        <v>184</v>
      </c>
      <c r="B78" s="7" t="s">
        <v>185</v>
      </c>
      <c r="C78" s="7" t="s">
        <v>186</v>
      </c>
      <c r="D78" s="8">
        <v>1.0</v>
      </c>
      <c r="E78" s="8">
        <v>180.0</v>
      </c>
      <c r="F78" s="8">
        <v>220.0</v>
      </c>
      <c r="H78" s="9">
        <f t="shared" si="1"/>
        <v>180</v>
      </c>
    </row>
    <row r="79" ht="22.5" customHeight="1">
      <c r="A79" s="7" t="s">
        <v>187</v>
      </c>
      <c r="B79" s="7" t="s">
        <v>188</v>
      </c>
      <c r="C79" s="7" t="s">
        <v>189</v>
      </c>
      <c r="D79" s="8">
        <v>2.0</v>
      </c>
      <c r="E79" s="8">
        <v>120.0</v>
      </c>
      <c r="F79" s="8">
        <v>160.0</v>
      </c>
      <c r="H79" s="9">
        <f t="shared" si="1"/>
        <v>240</v>
      </c>
    </row>
    <row r="80" ht="22.5" customHeight="1">
      <c r="A80" s="7" t="s">
        <v>190</v>
      </c>
      <c r="B80" s="7" t="s">
        <v>191</v>
      </c>
      <c r="C80" s="7" t="s">
        <v>192</v>
      </c>
      <c r="D80" s="8">
        <v>1.0</v>
      </c>
      <c r="E80" s="8">
        <v>280.0</v>
      </c>
      <c r="F80" s="8">
        <v>320.0</v>
      </c>
      <c r="H80" s="9">
        <f t="shared" si="1"/>
        <v>280</v>
      </c>
    </row>
    <row r="81" ht="22.5" customHeight="1">
      <c r="A81" s="7" t="s">
        <v>193</v>
      </c>
      <c r="B81" s="7" t="s">
        <v>64</v>
      </c>
      <c r="C81" s="7" t="s">
        <v>194</v>
      </c>
      <c r="D81" s="8">
        <v>1.0</v>
      </c>
      <c r="E81" s="8">
        <v>320.0</v>
      </c>
      <c r="F81" s="8">
        <v>380.0</v>
      </c>
      <c r="H81" s="9">
        <f t="shared" si="1"/>
        <v>320</v>
      </c>
    </row>
    <row r="82" ht="22.5" customHeight="1">
      <c r="A82" s="7" t="s">
        <v>193</v>
      </c>
      <c r="B82" s="7" t="s">
        <v>64</v>
      </c>
      <c r="C82" s="7" t="s">
        <v>195</v>
      </c>
      <c r="D82" s="8">
        <v>1.0</v>
      </c>
      <c r="E82" s="8">
        <v>320.0</v>
      </c>
      <c r="F82" s="8">
        <v>380.0</v>
      </c>
      <c r="H82" s="9">
        <f t="shared" si="1"/>
        <v>320</v>
      </c>
    </row>
    <row r="83" ht="22.5" customHeight="1">
      <c r="A83" s="7" t="s">
        <v>48</v>
      </c>
      <c r="B83" s="7" t="s">
        <v>196</v>
      </c>
      <c r="C83" s="7" t="s">
        <v>197</v>
      </c>
      <c r="D83" s="8">
        <v>1.0</v>
      </c>
      <c r="E83" s="8">
        <v>200.0</v>
      </c>
      <c r="F83" s="8">
        <v>280.0</v>
      </c>
      <c r="H83" s="9">
        <f t="shared" si="1"/>
        <v>200</v>
      </c>
    </row>
    <row r="84" ht="22.5" customHeight="1">
      <c r="A84" s="7" t="s">
        <v>164</v>
      </c>
      <c r="B84" s="7" t="s">
        <v>196</v>
      </c>
      <c r="C84" s="7" t="s">
        <v>198</v>
      </c>
      <c r="D84" s="8">
        <v>2.0</v>
      </c>
      <c r="E84" s="8">
        <v>40.0</v>
      </c>
      <c r="F84" s="8">
        <v>60.0</v>
      </c>
      <c r="H84" s="9">
        <f t="shared" si="1"/>
        <v>80</v>
      </c>
    </row>
    <row r="85" ht="22.5" customHeight="1">
      <c r="A85" s="7" t="s">
        <v>199</v>
      </c>
      <c r="B85" s="7" t="s">
        <v>173</v>
      </c>
      <c r="C85" s="7" t="s">
        <v>200</v>
      </c>
      <c r="D85" s="8">
        <v>1.0</v>
      </c>
      <c r="E85" s="8">
        <v>200.0</v>
      </c>
      <c r="F85" s="8">
        <v>260.0</v>
      </c>
      <c r="H85" s="9">
        <f t="shared" si="1"/>
        <v>200</v>
      </c>
    </row>
    <row r="86" ht="22.5" customHeight="1">
      <c r="A86" s="7" t="s">
        <v>201</v>
      </c>
      <c r="B86" s="7" t="s">
        <v>173</v>
      </c>
      <c r="C86" s="7" t="s">
        <v>202</v>
      </c>
      <c r="D86" s="8">
        <v>11.0</v>
      </c>
      <c r="E86" s="8">
        <v>100.0</v>
      </c>
      <c r="F86" s="8">
        <v>120.0</v>
      </c>
      <c r="H86" s="9">
        <f t="shared" si="1"/>
        <v>1100</v>
      </c>
    </row>
    <row r="87" ht="22.5" customHeight="1">
      <c r="A87" s="7" t="s">
        <v>203</v>
      </c>
      <c r="B87" s="7" t="s">
        <v>173</v>
      </c>
      <c r="C87" s="7" t="s">
        <v>204</v>
      </c>
      <c r="D87" s="8">
        <v>1.0</v>
      </c>
      <c r="E87" s="8">
        <v>150.0</v>
      </c>
      <c r="F87" s="8">
        <v>200.0</v>
      </c>
      <c r="H87" s="9">
        <f t="shared" si="1"/>
        <v>150</v>
      </c>
    </row>
    <row r="88" ht="22.5" customHeight="1">
      <c r="A88" s="7" t="s">
        <v>205</v>
      </c>
      <c r="B88" s="7" t="s">
        <v>206</v>
      </c>
      <c r="C88" s="7" t="s">
        <v>207</v>
      </c>
      <c r="D88" s="8">
        <v>1.0</v>
      </c>
      <c r="E88" s="8">
        <v>100.0</v>
      </c>
      <c r="F88" s="8">
        <v>150.0</v>
      </c>
      <c r="H88" s="9">
        <f t="shared" si="1"/>
        <v>100</v>
      </c>
    </row>
    <row r="89" ht="22.5" customHeight="1">
      <c r="A89" s="7" t="s">
        <v>78</v>
      </c>
      <c r="B89" s="7" t="s">
        <v>208</v>
      </c>
      <c r="C89" s="7" t="s">
        <v>209</v>
      </c>
      <c r="D89" s="8">
        <v>1.0</v>
      </c>
      <c r="E89" s="8">
        <v>150.0</v>
      </c>
      <c r="F89" s="8">
        <v>200.0</v>
      </c>
      <c r="H89" s="9">
        <f t="shared" si="1"/>
        <v>150</v>
      </c>
    </row>
    <row r="90" ht="22.5" customHeight="1">
      <c r="A90" s="7" t="s">
        <v>78</v>
      </c>
      <c r="B90" s="7" t="s">
        <v>210</v>
      </c>
      <c r="C90" s="7" t="s">
        <v>211</v>
      </c>
      <c r="D90" s="8">
        <v>4.0</v>
      </c>
      <c r="E90" s="8">
        <v>70.0</v>
      </c>
      <c r="F90" s="8">
        <v>90.0</v>
      </c>
      <c r="H90" s="9">
        <f t="shared" si="1"/>
        <v>280</v>
      </c>
    </row>
    <row r="91" ht="22.5" customHeight="1">
      <c r="A91" s="7" t="s">
        <v>78</v>
      </c>
      <c r="B91" s="7" t="s">
        <v>26</v>
      </c>
      <c r="C91" s="7" t="s">
        <v>212</v>
      </c>
      <c r="D91" s="8">
        <v>3.0</v>
      </c>
      <c r="E91" s="8">
        <v>90.0</v>
      </c>
      <c r="F91" s="8">
        <v>120.0</v>
      </c>
      <c r="H91" s="9">
        <f t="shared" si="1"/>
        <v>270</v>
      </c>
    </row>
    <row r="92" ht="22.5" customHeight="1">
      <c r="A92" s="7" t="s">
        <v>213</v>
      </c>
      <c r="B92" s="7" t="s">
        <v>163</v>
      </c>
      <c r="C92" s="7" t="s">
        <v>214</v>
      </c>
      <c r="D92" s="8">
        <v>1.0</v>
      </c>
      <c r="E92" s="8">
        <v>250.0</v>
      </c>
      <c r="F92" s="8">
        <v>300.0</v>
      </c>
      <c r="H92" s="9">
        <f t="shared" si="1"/>
        <v>250</v>
      </c>
    </row>
    <row r="93" ht="22.5" customHeight="1">
      <c r="A93" s="7" t="s">
        <v>137</v>
      </c>
      <c r="B93" s="7" t="s">
        <v>98</v>
      </c>
      <c r="C93" s="7" t="s">
        <v>215</v>
      </c>
      <c r="D93" s="8">
        <v>4.0</v>
      </c>
      <c r="E93" s="8">
        <v>30.0</v>
      </c>
      <c r="F93" s="8">
        <v>40.0</v>
      </c>
      <c r="H93" s="9">
        <f t="shared" si="1"/>
        <v>120</v>
      </c>
    </row>
    <row r="94" ht="22.5" customHeight="1">
      <c r="A94" s="7" t="s">
        <v>137</v>
      </c>
      <c r="B94" s="7" t="s">
        <v>26</v>
      </c>
      <c r="C94" s="7" t="s">
        <v>216</v>
      </c>
      <c r="D94" s="8">
        <v>2.0</v>
      </c>
      <c r="E94" s="8">
        <v>500.0</v>
      </c>
      <c r="F94" s="8">
        <v>630.0</v>
      </c>
      <c r="H94" s="9">
        <f t="shared" si="1"/>
        <v>1000</v>
      </c>
    </row>
    <row r="95" ht="22.5" customHeight="1">
      <c r="A95" s="14" t="s">
        <v>217</v>
      </c>
      <c r="B95" s="14" t="s">
        <v>218</v>
      </c>
      <c r="C95" s="14" t="s">
        <v>219</v>
      </c>
      <c r="D95" s="15">
        <v>2.0</v>
      </c>
      <c r="E95" s="15">
        <v>300.0</v>
      </c>
      <c r="F95" s="15">
        <v>350.0</v>
      </c>
      <c r="G95" s="16"/>
      <c r="H95" s="17">
        <f t="shared" si="1"/>
        <v>600</v>
      </c>
    </row>
    <row r="96" ht="22.5" customHeight="1">
      <c r="A96" s="14" t="s">
        <v>220</v>
      </c>
      <c r="B96" s="14" t="s">
        <v>221</v>
      </c>
      <c r="C96" s="14" t="s">
        <v>222</v>
      </c>
      <c r="D96" s="15">
        <v>3.0</v>
      </c>
      <c r="E96" s="15">
        <v>225.0</v>
      </c>
      <c r="F96" s="15">
        <v>250.0</v>
      </c>
      <c r="G96" s="16"/>
      <c r="H96" s="17">
        <f t="shared" si="1"/>
        <v>675</v>
      </c>
    </row>
    <row r="97" ht="22.5" customHeight="1">
      <c r="A97" s="14" t="s">
        <v>223</v>
      </c>
      <c r="B97" s="14" t="s">
        <v>224</v>
      </c>
      <c r="C97" s="14" t="s">
        <v>225</v>
      </c>
      <c r="D97" s="15">
        <v>2.0</v>
      </c>
      <c r="E97" s="15">
        <v>550.0</v>
      </c>
      <c r="F97" s="15">
        <v>600.0</v>
      </c>
      <c r="G97" s="16"/>
      <c r="H97" s="17">
        <f t="shared" si="1"/>
        <v>1100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22.5" customHeight="1">
      <c r="A98" s="14" t="s">
        <v>226</v>
      </c>
      <c r="B98" s="14" t="s">
        <v>227</v>
      </c>
      <c r="C98" s="14" t="s">
        <v>228</v>
      </c>
      <c r="D98" s="15">
        <v>1.0</v>
      </c>
      <c r="E98" s="15">
        <v>325.0</v>
      </c>
      <c r="F98" s="15">
        <v>350.0</v>
      </c>
      <c r="G98" s="16"/>
      <c r="H98" s="17">
        <f t="shared" si="1"/>
        <v>325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22.5" customHeight="1">
      <c r="A99" s="14" t="s">
        <v>229</v>
      </c>
      <c r="B99" s="14" t="s">
        <v>227</v>
      </c>
      <c r="C99" s="14" t="s">
        <v>230</v>
      </c>
      <c r="D99" s="15">
        <v>1.0</v>
      </c>
      <c r="E99" s="15">
        <v>325.0</v>
      </c>
      <c r="F99" s="15">
        <v>350.0</v>
      </c>
      <c r="G99" s="16"/>
      <c r="H99" s="17">
        <f t="shared" si="1"/>
        <v>325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22.5" customHeight="1">
      <c r="A100" s="14" t="s">
        <v>231</v>
      </c>
      <c r="B100" s="14" t="s">
        <v>227</v>
      </c>
      <c r="C100" s="14" t="s">
        <v>232</v>
      </c>
      <c r="D100" s="15">
        <v>1.0</v>
      </c>
      <c r="E100" s="15">
        <v>325.0</v>
      </c>
      <c r="F100" s="15">
        <v>350.0</v>
      </c>
      <c r="G100" s="16"/>
      <c r="H100" s="17">
        <f t="shared" si="1"/>
        <v>325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22.5" customHeight="1">
      <c r="A101" s="14" t="s">
        <v>233</v>
      </c>
      <c r="B101" s="14" t="s">
        <v>224</v>
      </c>
      <c r="C101" s="14" t="s">
        <v>234</v>
      </c>
      <c r="D101" s="15">
        <v>1.0</v>
      </c>
      <c r="E101" s="15">
        <v>325.0</v>
      </c>
      <c r="F101" s="15">
        <v>350.0</v>
      </c>
      <c r="G101" s="16"/>
      <c r="H101" s="17">
        <f t="shared" si="1"/>
        <v>325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22.5" customHeight="1">
      <c r="A102" s="14" t="s">
        <v>235</v>
      </c>
      <c r="B102" s="14" t="s">
        <v>224</v>
      </c>
      <c r="C102" s="14" t="s">
        <v>236</v>
      </c>
      <c r="D102" s="15">
        <v>1.0</v>
      </c>
      <c r="E102" s="15">
        <v>325.0</v>
      </c>
      <c r="F102" s="15">
        <v>350.0</v>
      </c>
      <c r="G102" s="16"/>
      <c r="H102" s="17">
        <f t="shared" si="1"/>
        <v>325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22.5" customHeight="1">
      <c r="A103" s="14" t="s">
        <v>237</v>
      </c>
      <c r="B103" s="14" t="s">
        <v>227</v>
      </c>
      <c r="C103" s="14" t="s">
        <v>238</v>
      </c>
      <c r="D103" s="15">
        <v>6.0</v>
      </c>
      <c r="E103" s="15">
        <v>350.0</v>
      </c>
      <c r="F103" s="15">
        <v>380.0</v>
      </c>
      <c r="G103" s="16"/>
      <c r="H103" s="17">
        <f t="shared" si="1"/>
        <v>2100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22.5" customHeight="1">
      <c r="A104" s="14" t="s">
        <v>239</v>
      </c>
      <c r="B104" s="14" t="s">
        <v>224</v>
      </c>
      <c r="C104" s="14" t="s">
        <v>240</v>
      </c>
      <c r="D104" s="15">
        <v>4.0</v>
      </c>
      <c r="E104" s="15">
        <v>420.0</v>
      </c>
      <c r="F104" s="15">
        <v>460.0</v>
      </c>
      <c r="G104" s="16"/>
      <c r="H104" s="17">
        <f t="shared" si="1"/>
        <v>1680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22.5" customHeight="1">
      <c r="A105" s="14" t="s">
        <v>241</v>
      </c>
      <c r="B105" s="14" t="s">
        <v>242</v>
      </c>
      <c r="C105" s="14" t="s">
        <v>243</v>
      </c>
      <c r="D105" s="15">
        <v>2.0</v>
      </c>
      <c r="E105" s="17"/>
      <c r="F105" s="15">
        <v>120.0</v>
      </c>
      <c r="G105" s="16"/>
      <c r="H105" s="17">
        <f t="shared" si="1"/>
        <v>0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22.5" customHeight="1">
      <c r="A106" s="14" t="s">
        <v>244</v>
      </c>
      <c r="B106" s="14" t="s">
        <v>245</v>
      </c>
      <c r="C106" s="14" t="s">
        <v>246</v>
      </c>
      <c r="D106" s="15">
        <v>5.0</v>
      </c>
      <c r="E106" s="15">
        <v>130.0</v>
      </c>
      <c r="F106" s="15">
        <v>160.0</v>
      </c>
      <c r="G106" s="16"/>
      <c r="H106" s="17">
        <f t="shared" si="1"/>
        <v>650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22.5" customHeight="1">
      <c r="A107" s="14" t="s">
        <v>247</v>
      </c>
      <c r="B107" s="14" t="s">
        <v>227</v>
      </c>
      <c r="C107" s="14" t="s">
        <v>248</v>
      </c>
      <c r="D107" s="15">
        <v>6.0</v>
      </c>
      <c r="E107" s="15">
        <v>330.0</v>
      </c>
      <c r="F107" s="15">
        <v>350.0</v>
      </c>
      <c r="G107" s="16"/>
      <c r="H107" s="17">
        <f t="shared" si="1"/>
        <v>1980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22.5" customHeight="1">
      <c r="A108" s="14" t="s">
        <v>249</v>
      </c>
      <c r="B108" s="14" t="s">
        <v>250</v>
      </c>
      <c r="C108" s="14" t="s">
        <v>251</v>
      </c>
      <c r="D108" s="15">
        <v>2.0</v>
      </c>
      <c r="E108" s="15">
        <v>300.0</v>
      </c>
      <c r="F108" s="15">
        <v>320.0</v>
      </c>
      <c r="G108" s="16"/>
      <c r="H108" s="17">
        <f t="shared" si="1"/>
        <v>600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22.5" customHeight="1">
      <c r="A109" s="14" t="s">
        <v>252</v>
      </c>
      <c r="B109" s="14" t="s">
        <v>253</v>
      </c>
      <c r="C109" s="14" t="s">
        <v>254</v>
      </c>
      <c r="D109" s="15">
        <v>1.0</v>
      </c>
      <c r="E109" s="15">
        <v>270.0</v>
      </c>
      <c r="F109" s="15">
        <v>300.0</v>
      </c>
      <c r="G109" s="16"/>
      <c r="H109" s="17">
        <f t="shared" si="1"/>
        <v>270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22.5" customHeight="1">
      <c r="A110" s="14" t="s">
        <v>255</v>
      </c>
      <c r="B110" s="14" t="s">
        <v>178</v>
      </c>
      <c r="C110" s="14" t="s">
        <v>256</v>
      </c>
      <c r="D110" s="15">
        <v>2.0</v>
      </c>
      <c r="E110" s="15">
        <v>225.0</v>
      </c>
      <c r="F110" s="15">
        <v>250.0</v>
      </c>
      <c r="G110" s="16"/>
      <c r="H110" s="17">
        <f t="shared" si="1"/>
        <v>450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22.5" customHeight="1">
      <c r="A111" s="14" t="s">
        <v>257</v>
      </c>
      <c r="B111" s="14" t="s">
        <v>178</v>
      </c>
      <c r="C111" s="14" t="s">
        <v>258</v>
      </c>
      <c r="D111" s="15">
        <v>2.0</v>
      </c>
      <c r="E111" s="15">
        <v>200.0</v>
      </c>
      <c r="F111" s="15">
        <v>220.0</v>
      </c>
      <c r="G111" s="16"/>
      <c r="H111" s="17">
        <f t="shared" si="1"/>
        <v>400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22.5" customHeight="1">
      <c r="A112" s="14" t="s">
        <v>259</v>
      </c>
      <c r="B112" s="14" t="s">
        <v>260</v>
      </c>
      <c r="C112" s="14" t="s">
        <v>261</v>
      </c>
      <c r="D112" s="15">
        <v>1.0</v>
      </c>
      <c r="E112" s="15">
        <v>340.0</v>
      </c>
      <c r="F112" s="15">
        <v>360.0</v>
      </c>
      <c r="G112" s="16"/>
      <c r="H112" s="17">
        <f t="shared" si="1"/>
        <v>340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22.5" customHeight="1">
      <c r="A113" s="14" t="s">
        <v>262</v>
      </c>
      <c r="B113" s="14" t="s">
        <v>260</v>
      </c>
      <c r="C113" s="14" t="s">
        <v>263</v>
      </c>
      <c r="D113" s="15">
        <v>2.0</v>
      </c>
      <c r="E113" s="15">
        <v>380.0</v>
      </c>
      <c r="F113" s="15">
        <v>400.0</v>
      </c>
      <c r="G113" s="16"/>
      <c r="H113" s="17">
        <f t="shared" si="1"/>
        <v>760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22.5" customHeight="1">
      <c r="A114" s="14" t="s">
        <v>264</v>
      </c>
      <c r="B114" s="14" t="s">
        <v>260</v>
      </c>
      <c r="C114" s="14" t="s">
        <v>265</v>
      </c>
      <c r="D114" s="15">
        <v>1.0</v>
      </c>
      <c r="E114" s="15">
        <v>330.0</v>
      </c>
      <c r="F114" s="15">
        <v>360.0</v>
      </c>
      <c r="G114" s="16"/>
      <c r="H114" s="17">
        <f t="shared" si="1"/>
        <v>330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22.5" customHeight="1">
      <c r="A115" s="14" t="s">
        <v>266</v>
      </c>
      <c r="B115" s="14" t="s">
        <v>260</v>
      </c>
      <c r="C115" s="14" t="s">
        <v>267</v>
      </c>
      <c r="D115" s="15">
        <v>1.0</v>
      </c>
      <c r="E115" s="15">
        <v>330.0</v>
      </c>
      <c r="F115" s="15">
        <v>360.0</v>
      </c>
      <c r="G115" s="16"/>
      <c r="H115" s="17">
        <f t="shared" si="1"/>
        <v>330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22.5" customHeight="1">
      <c r="A116" s="7" t="s">
        <v>268</v>
      </c>
      <c r="B116" s="7" t="s">
        <v>104</v>
      </c>
      <c r="C116" s="7" t="s">
        <v>269</v>
      </c>
      <c r="D116" s="8">
        <v>1.0</v>
      </c>
      <c r="E116" s="8">
        <v>225.0</v>
      </c>
      <c r="F116" s="8">
        <v>250.0</v>
      </c>
      <c r="H116" s="9">
        <f t="shared" si="1"/>
        <v>225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22.5" customHeight="1">
      <c r="A117" s="7" t="s">
        <v>270</v>
      </c>
      <c r="B117" s="7" t="s">
        <v>271</v>
      </c>
      <c r="C117" s="7" t="s">
        <v>272</v>
      </c>
      <c r="D117" s="8">
        <v>3.0</v>
      </c>
      <c r="E117" s="8">
        <v>160.0</v>
      </c>
      <c r="F117" s="8">
        <v>180.0</v>
      </c>
      <c r="H117" s="9">
        <f t="shared" si="1"/>
        <v>480</v>
      </c>
    </row>
    <row r="118" ht="22.5" customHeight="1">
      <c r="A118" s="7" t="s">
        <v>273</v>
      </c>
      <c r="B118" s="7" t="s">
        <v>271</v>
      </c>
      <c r="C118" s="7" t="s">
        <v>274</v>
      </c>
      <c r="D118" s="8">
        <v>3.0</v>
      </c>
      <c r="E118" s="8">
        <v>160.0</v>
      </c>
      <c r="F118" s="8">
        <v>180.0</v>
      </c>
      <c r="H118" s="9">
        <f t="shared" si="1"/>
        <v>480</v>
      </c>
    </row>
    <row r="119" ht="22.5" customHeight="1">
      <c r="A119" s="7" t="s">
        <v>275</v>
      </c>
      <c r="B119" s="7" t="s">
        <v>79</v>
      </c>
      <c r="C119" s="7" t="s">
        <v>276</v>
      </c>
      <c r="D119" s="8">
        <v>2.0</v>
      </c>
      <c r="E119" s="8">
        <v>325.0</v>
      </c>
      <c r="F119" s="8">
        <v>350.0</v>
      </c>
      <c r="H119" s="9">
        <f t="shared" si="1"/>
        <v>650</v>
      </c>
    </row>
    <row r="120" ht="22.5" customHeight="1">
      <c r="A120" s="7" t="s">
        <v>277</v>
      </c>
      <c r="B120" s="7" t="s">
        <v>278</v>
      </c>
      <c r="C120" s="7" t="s">
        <v>279</v>
      </c>
      <c r="D120" s="8">
        <v>2.0</v>
      </c>
      <c r="E120" s="8">
        <v>280.0</v>
      </c>
      <c r="F120" s="8">
        <v>300.0</v>
      </c>
      <c r="H120" s="9">
        <f t="shared" si="1"/>
        <v>560</v>
      </c>
    </row>
    <row r="121" ht="22.5" customHeight="1">
      <c r="A121" s="7" t="s">
        <v>280</v>
      </c>
      <c r="B121" s="7" t="s">
        <v>281</v>
      </c>
      <c r="C121" s="7" t="s">
        <v>282</v>
      </c>
      <c r="D121" s="8">
        <v>3.0</v>
      </c>
      <c r="E121" s="8">
        <v>280.0</v>
      </c>
      <c r="F121" s="8">
        <v>300.0</v>
      </c>
      <c r="H121" s="9">
        <f t="shared" si="1"/>
        <v>840</v>
      </c>
    </row>
    <row r="122" ht="22.5" customHeight="1">
      <c r="A122" s="7" t="s">
        <v>283</v>
      </c>
      <c r="B122" s="7" t="s">
        <v>281</v>
      </c>
      <c r="C122" s="7" t="s">
        <v>284</v>
      </c>
      <c r="D122" s="8">
        <v>3.0</v>
      </c>
      <c r="E122" s="8">
        <v>120.0</v>
      </c>
      <c r="F122" s="8">
        <v>150.0</v>
      </c>
      <c r="H122" s="9">
        <f t="shared" si="1"/>
        <v>360</v>
      </c>
    </row>
    <row r="123" ht="22.5" customHeight="1">
      <c r="A123" s="7" t="s">
        <v>285</v>
      </c>
      <c r="B123" s="7" t="s">
        <v>281</v>
      </c>
      <c r="C123" s="7" t="s">
        <v>286</v>
      </c>
      <c r="D123" s="8">
        <v>2.0</v>
      </c>
      <c r="E123" s="8">
        <v>70.0</v>
      </c>
      <c r="F123" s="8">
        <v>80.0</v>
      </c>
      <c r="H123" s="9">
        <f t="shared" si="1"/>
        <v>140</v>
      </c>
    </row>
    <row r="124" ht="22.5" customHeight="1">
      <c r="A124" s="7" t="s">
        <v>287</v>
      </c>
      <c r="B124" s="7" t="s">
        <v>260</v>
      </c>
      <c r="C124" s="7" t="s">
        <v>288</v>
      </c>
      <c r="D124" s="8">
        <v>2.0</v>
      </c>
      <c r="E124" s="8">
        <v>130.0</v>
      </c>
      <c r="F124" s="8">
        <v>150.0</v>
      </c>
      <c r="H124" s="9">
        <f t="shared" si="1"/>
        <v>260</v>
      </c>
    </row>
    <row r="125" ht="22.5" customHeight="1">
      <c r="A125" s="7" t="s">
        <v>289</v>
      </c>
      <c r="B125" s="7" t="s">
        <v>260</v>
      </c>
      <c r="C125" s="7" t="s">
        <v>290</v>
      </c>
      <c r="D125" s="8">
        <v>2.0</v>
      </c>
      <c r="E125" s="8">
        <v>130.0</v>
      </c>
      <c r="F125" s="8">
        <v>150.0</v>
      </c>
      <c r="H125" s="9">
        <f t="shared" si="1"/>
        <v>260</v>
      </c>
    </row>
    <row r="126" ht="22.5" customHeight="1">
      <c r="A126" s="7" t="s">
        <v>291</v>
      </c>
      <c r="B126" s="7" t="s">
        <v>292</v>
      </c>
      <c r="C126" s="7" t="s">
        <v>293</v>
      </c>
      <c r="D126" s="8">
        <v>2.0</v>
      </c>
      <c r="E126" s="8">
        <v>80.0</v>
      </c>
      <c r="F126" s="8">
        <v>100.0</v>
      </c>
      <c r="H126" s="9">
        <f t="shared" si="1"/>
        <v>160</v>
      </c>
    </row>
    <row r="127" ht="22.5" customHeight="1">
      <c r="A127" s="7" t="s">
        <v>294</v>
      </c>
      <c r="B127" s="7" t="s">
        <v>295</v>
      </c>
      <c r="C127" s="7" t="s">
        <v>296</v>
      </c>
      <c r="D127" s="8">
        <v>2.0</v>
      </c>
      <c r="E127" s="8">
        <v>200.0</v>
      </c>
      <c r="F127" s="8">
        <v>220.0</v>
      </c>
      <c r="H127" s="9">
        <f t="shared" si="1"/>
        <v>400</v>
      </c>
    </row>
    <row r="128" ht="22.5" customHeight="1">
      <c r="A128" s="7" t="s">
        <v>297</v>
      </c>
      <c r="B128" s="19" t="s">
        <v>298</v>
      </c>
      <c r="C128" s="19" t="s">
        <v>299</v>
      </c>
      <c r="D128" s="20">
        <v>1.0</v>
      </c>
      <c r="E128" s="20">
        <v>200.0</v>
      </c>
      <c r="F128" s="21">
        <v>220.0</v>
      </c>
      <c r="G128" s="22"/>
      <c r="H128" s="23">
        <f t="shared" si="1"/>
        <v>200</v>
      </c>
    </row>
    <row r="129" ht="22.5" customHeight="1">
      <c r="A129" s="7" t="s">
        <v>300</v>
      </c>
      <c r="B129" s="7" t="s">
        <v>301</v>
      </c>
      <c r="C129" s="7" t="s">
        <v>302</v>
      </c>
      <c r="D129" s="8">
        <v>2.0</v>
      </c>
      <c r="E129" s="8">
        <v>340.0</v>
      </c>
      <c r="F129" s="8">
        <v>380.0</v>
      </c>
      <c r="H129" s="9">
        <f t="shared" si="1"/>
        <v>680</v>
      </c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22.5" customHeight="1">
      <c r="A130" s="7" t="s">
        <v>303</v>
      </c>
      <c r="B130" s="7" t="s">
        <v>304</v>
      </c>
      <c r="C130" s="7" t="s">
        <v>111</v>
      </c>
      <c r="D130" s="8">
        <v>7.0</v>
      </c>
      <c r="E130" s="8">
        <v>160.0</v>
      </c>
      <c r="F130" s="8">
        <v>180.0</v>
      </c>
      <c r="H130" s="9">
        <f t="shared" si="1"/>
        <v>1120</v>
      </c>
    </row>
    <row r="131" ht="22.5" customHeight="1">
      <c r="A131" s="7" t="s">
        <v>305</v>
      </c>
      <c r="B131" s="7" t="s">
        <v>221</v>
      </c>
      <c r="C131" s="7" t="s">
        <v>306</v>
      </c>
      <c r="D131" s="8">
        <v>3.0</v>
      </c>
      <c r="E131" s="8">
        <v>220.0</v>
      </c>
      <c r="F131" s="8">
        <v>250.0</v>
      </c>
      <c r="H131" s="9">
        <f t="shared" si="1"/>
        <v>660</v>
      </c>
    </row>
    <row r="132" ht="22.5" customHeight="1">
      <c r="A132" s="7" t="s">
        <v>307</v>
      </c>
      <c r="B132" s="7" t="s">
        <v>308</v>
      </c>
      <c r="C132" s="7" t="s">
        <v>309</v>
      </c>
      <c r="D132" s="8">
        <v>2.0</v>
      </c>
      <c r="E132" s="8">
        <v>380.0</v>
      </c>
      <c r="F132" s="8">
        <v>400.0</v>
      </c>
      <c r="H132" s="9">
        <f t="shared" si="1"/>
        <v>760</v>
      </c>
    </row>
    <row r="133" ht="22.5" customHeight="1">
      <c r="A133" s="7" t="s">
        <v>310</v>
      </c>
      <c r="B133" s="7" t="s">
        <v>311</v>
      </c>
      <c r="C133" s="7" t="s">
        <v>312</v>
      </c>
      <c r="D133" s="8">
        <v>3.0</v>
      </c>
      <c r="E133" s="8">
        <v>360.0</v>
      </c>
      <c r="F133" s="8">
        <v>380.0</v>
      </c>
      <c r="H133" s="9">
        <f t="shared" si="1"/>
        <v>1080</v>
      </c>
    </row>
    <row r="134" ht="22.5" customHeight="1">
      <c r="A134" s="7" t="s">
        <v>313</v>
      </c>
      <c r="B134" s="7" t="s">
        <v>76</v>
      </c>
      <c r="C134" s="7" t="s">
        <v>314</v>
      </c>
      <c r="D134" s="8">
        <v>8.0</v>
      </c>
      <c r="E134" s="8">
        <v>230.0</v>
      </c>
      <c r="F134" s="8">
        <v>280.0</v>
      </c>
      <c r="H134" s="9">
        <f t="shared" si="1"/>
        <v>1840</v>
      </c>
    </row>
    <row r="135" ht="22.5" customHeight="1">
      <c r="A135" s="7" t="s">
        <v>315</v>
      </c>
      <c r="B135" s="7" t="s">
        <v>316</v>
      </c>
      <c r="C135" s="7" t="s">
        <v>317</v>
      </c>
      <c r="D135" s="8">
        <v>1.0</v>
      </c>
      <c r="E135" s="8">
        <v>320.0</v>
      </c>
      <c r="F135" s="8">
        <v>380.0</v>
      </c>
      <c r="H135" s="9">
        <f t="shared" si="1"/>
        <v>320</v>
      </c>
    </row>
    <row r="136" ht="22.5" customHeight="1">
      <c r="A136" s="7" t="s">
        <v>318</v>
      </c>
      <c r="B136" s="7" t="s">
        <v>319</v>
      </c>
      <c r="C136" s="7" t="s">
        <v>320</v>
      </c>
      <c r="D136" s="8">
        <v>22.0</v>
      </c>
      <c r="E136" s="8">
        <v>550.0</v>
      </c>
      <c r="F136" s="8">
        <v>600.0</v>
      </c>
      <c r="H136" s="9">
        <f t="shared" si="1"/>
        <v>12100</v>
      </c>
    </row>
    <row r="137" ht="22.5" customHeight="1">
      <c r="A137" s="7" t="s">
        <v>321</v>
      </c>
      <c r="B137" s="7" t="s">
        <v>322</v>
      </c>
      <c r="C137" s="7" t="s">
        <v>323</v>
      </c>
      <c r="D137" s="8">
        <v>1.0</v>
      </c>
      <c r="E137" s="8">
        <v>550.0</v>
      </c>
      <c r="F137" s="8">
        <v>600.0</v>
      </c>
      <c r="H137" s="9">
        <f t="shared" si="1"/>
        <v>550</v>
      </c>
    </row>
    <row r="138" ht="22.5" customHeight="1">
      <c r="A138" s="7" t="s">
        <v>324</v>
      </c>
      <c r="B138" s="7" t="s">
        <v>325</v>
      </c>
      <c r="C138" s="7" t="s">
        <v>320</v>
      </c>
      <c r="D138" s="8">
        <v>9.0</v>
      </c>
      <c r="E138" s="8">
        <v>550.0</v>
      </c>
      <c r="F138" s="8">
        <v>600.0</v>
      </c>
      <c r="H138" s="9">
        <f t="shared" si="1"/>
        <v>4950</v>
      </c>
    </row>
    <row r="139" ht="22.5" customHeight="1">
      <c r="A139" s="7" t="s">
        <v>326</v>
      </c>
      <c r="B139" s="7" t="s">
        <v>327</v>
      </c>
      <c r="C139" s="7" t="s">
        <v>328</v>
      </c>
      <c r="D139" s="8">
        <v>13.0</v>
      </c>
      <c r="E139" s="8">
        <v>90.0</v>
      </c>
      <c r="F139" s="8">
        <v>100.0</v>
      </c>
      <c r="H139" s="9">
        <f t="shared" si="1"/>
        <v>1170</v>
      </c>
    </row>
    <row r="140" ht="22.5" customHeight="1">
      <c r="A140" s="7" t="s">
        <v>329</v>
      </c>
      <c r="B140" s="7" t="s">
        <v>330</v>
      </c>
      <c r="C140" s="7" t="s">
        <v>331</v>
      </c>
      <c r="D140" s="8">
        <v>7.0</v>
      </c>
      <c r="E140" s="8">
        <v>300.0</v>
      </c>
      <c r="F140" s="8">
        <v>320.0</v>
      </c>
      <c r="H140" s="9">
        <f t="shared" si="1"/>
        <v>2100</v>
      </c>
    </row>
    <row r="141" ht="22.5" customHeight="1">
      <c r="A141" s="7" t="s">
        <v>332</v>
      </c>
      <c r="B141" s="7" t="s">
        <v>333</v>
      </c>
      <c r="C141" s="7" t="s">
        <v>334</v>
      </c>
      <c r="D141" s="8">
        <v>5.0</v>
      </c>
      <c r="E141" s="8">
        <v>150.0</v>
      </c>
      <c r="F141" s="8">
        <v>220.0</v>
      </c>
      <c r="H141" s="9">
        <f t="shared" si="1"/>
        <v>750</v>
      </c>
    </row>
    <row r="142" ht="22.5" customHeight="1">
      <c r="A142" s="7" t="s">
        <v>335</v>
      </c>
      <c r="B142" s="7" t="s">
        <v>61</v>
      </c>
      <c r="C142" s="7" t="s">
        <v>336</v>
      </c>
      <c r="D142" s="8">
        <v>2.0</v>
      </c>
      <c r="E142" s="8">
        <v>330.0</v>
      </c>
      <c r="F142" s="8">
        <v>400.0</v>
      </c>
      <c r="H142" s="9">
        <f t="shared" si="1"/>
        <v>660</v>
      </c>
    </row>
    <row r="143" ht="22.5" customHeight="1">
      <c r="A143" s="7" t="s">
        <v>337</v>
      </c>
      <c r="B143" s="7" t="s">
        <v>338</v>
      </c>
      <c r="C143" s="7" t="s">
        <v>127</v>
      </c>
      <c r="D143" s="8">
        <v>2.0</v>
      </c>
      <c r="E143" s="8">
        <v>210.0</v>
      </c>
      <c r="F143" s="8">
        <v>320.0</v>
      </c>
      <c r="H143" s="9">
        <f t="shared" si="1"/>
        <v>420</v>
      </c>
    </row>
    <row r="144" ht="22.5" customHeight="1">
      <c r="A144" s="7" t="s">
        <v>339</v>
      </c>
      <c r="B144" s="7" t="s">
        <v>340</v>
      </c>
      <c r="C144" s="7" t="s">
        <v>341</v>
      </c>
      <c r="D144" s="8">
        <v>6.0</v>
      </c>
      <c r="E144" s="8">
        <v>90.0</v>
      </c>
      <c r="F144" s="8">
        <v>110.0</v>
      </c>
      <c r="H144" s="9">
        <f t="shared" si="1"/>
        <v>540</v>
      </c>
    </row>
    <row r="145" ht="22.5" customHeight="1">
      <c r="A145" s="7" t="s">
        <v>342</v>
      </c>
      <c r="B145" s="7" t="s">
        <v>343</v>
      </c>
      <c r="C145" s="7" t="s">
        <v>344</v>
      </c>
      <c r="D145" s="8">
        <v>4.0</v>
      </c>
      <c r="E145" s="8">
        <v>180.0</v>
      </c>
      <c r="F145" s="8">
        <v>250.0</v>
      </c>
      <c r="H145" s="9">
        <f t="shared" si="1"/>
        <v>720</v>
      </c>
    </row>
    <row r="146" ht="22.5" customHeight="1">
      <c r="A146" s="7" t="s">
        <v>345</v>
      </c>
      <c r="B146" s="7" t="s">
        <v>346</v>
      </c>
      <c r="C146" s="7" t="s">
        <v>347</v>
      </c>
      <c r="D146" s="8">
        <v>2.0</v>
      </c>
      <c r="E146" s="8">
        <v>290.0</v>
      </c>
      <c r="F146" s="8">
        <v>350.0</v>
      </c>
      <c r="H146" s="9">
        <f t="shared" si="1"/>
        <v>580</v>
      </c>
    </row>
    <row r="147" ht="22.5" customHeight="1">
      <c r="A147" s="7" t="s">
        <v>348</v>
      </c>
      <c r="B147" s="7" t="s">
        <v>349</v>
      </c>
      <c r="C147" s="7" t="s">
        <v>350</v>
      </c>
      <c r="D147" s="8">
        <v>1.0</v>
      </c>
      <c r="E147" s="8">
        <v>290.0</v>
      </c>
      <c r="F147" s="8">
        <v>350.0</v>
      </c>
      <c r="H147" s="9">
        <f t="shared" si="1"/>
        <v>290</v>
      </c>
    </row>
    <row r="148" ht="22.5" customHeight="1">
      <c r="A148" s="7" t="s">
        <v>351</v>
      </c>
      <c r="B148" s="7" t="s">
        <v>352</v>
      </c>
      <c r="C148" s="7" t="s">
        <v>353</v>
      </c>
      <c r="D148" s="8">
        <v>2.0</v>
      </c>
      <c r="E148" s="8">
        <v>150.0</v>
      </c>
      <c r="F148" s="8">
        <v>250.0</v>
      </c>
      <c r="H148" s="9">
        <f t="shared" si="1"/>
        <v>300</v>
      </c>
    </row>
    <row r="149" ht="22.5" customHeight="1">
      <c r="A149" s="7" t="s">
        <v>354</v>
      </c>
      <c r="B149" s="7" t="s">
        <v>355</v>
      </c>
      <c r="C149" s="7" t="s">
        <v>356</v>
      </c>
      <c r="D149" s="8">
        <v>4.0</v>
      </c>
      <c r="E149" s="8">
        <v>90.0</v>
      </c>
      <c r="F149" s="8">
        <v>110.0</v>
      </c>
      <c r="H149" s="9">
        <f t="shared" si="1"/>
        <v>360</v>
      </c>
    </row>
    <row r="150" ht="22.5" customHeight="1">
      <c r="A150" s="7" t="s">
        <v>357</v>
      </c>
      <c r="B150" s="7" t="s">
        <v>358</v>
      </c>
      <c r="C150" s="7" t="s">
        <v>359</v>
      </c>
      <c r="D150" s="8">
        <v>1.0</v>
      </c>
      <c r="E150" s="8">
        <v>600.0</v>
      </c>
      <c r="F150" s="8">
        <v>700.0</v>
      </c>
      <c r="H150" s="9">
        <f t="shared" si="1"/>
        <v>600</v>
      </c>
    </row>
    <row r="151" ht="22.5" customHeight="1">
      <c r="A151" s="7" t="s">
        <v>360</v>
      </c>
      <c r="B151" s="7" t="s">
        <v>355</v>
      </c>
      <c r="C151" s="7" t="s">
        <v>361</v>
      </c>
      <c r="D151" s="8">
        <v>1.0</v>
      </c>
      <c r="E151" s="8">
        <v>160.0</v>
      </c>
      <c r="F151" s="8">
        <v>250.0</v>
      </c>
      <c r="H151" s="9">
        <f t="shared" si="1"/>
        <v>160</v>
      </c>
    </row>
    <row r="152" ht="22.5" customHeight="1">
      <c r="A152" s="7" t="s">
        <v>362</v>
      </c>
      <c r="B152" s="7" t="s">
        <v>363</v>
      </c>
      <c r="C152" s="7" t="s">
        <v>364</v>
      </c>
      <c r="D152" s="8">
        <v>4.0</v>
      </c>
      <c r="E152" s="8">
        <v>80.0</v>
      </c>
      <c r="F152" s="8">
        <v>100.0</v>
      </c>
      <c r="H152" s="9">
        <f t="shared" si="1"/>
        <v>320</v>
      </c>
    </row>
    <row r="153" ht="22.5" customHeight="1">
      <c r="A153" s="7" t="s">
        <v>365</v>
      </c>
      <c r="B153" s="7" t="s">
        <v>366</v>
      </c>
      <c r="D153" s="8">
        <v>3.0</v>
      </c>
      <c r="E153" s="8">
        <v>80.0</v>
      </c>
      <c r="F153" s="8">
        <v>100.0</v>
      </c>
      <c r="H153" s="9">
        <f t="shared" si="1"/>
        <v>240</v>
      </c>
    </row>
    <row r="154" ht="22.5" customHeight="1">
      <c r="A154" s="7" t="s">
        <v>213</v>
      </c>
      <c r="B154" s="7" t="s">
        <v>367</v>
      </c>
      <c r="C154" s="7" t="s">
        <v>367</v>
      </c>
      <c r="D154" s="8">
        <v>1.0</v>
      </c>
      <c r="E154" s="8">
        <v>280.0</v>
      </c>
      <c r="F154" s="8">
        <v>350.0</v>
      </c>
      <c r="H154" s="9">
        <f t="shared" si="1"/>
        <v>280</v>
      </c>
    </row>
    <row r="155" ht="22.5" customHeight="1">
      <c r="A155" s="10" t="s">
        <v>368</v>
      </c>
      <c r="B155" s="10" t="s">
        <v>369</v>
      </c>
      <c r="C155" s="10" t="s">
        <v>370</v>
      </c>
      <c r="D155" s="11">
        <v>27.0</v>
      </c>
      <c r="E155" s="11">
        <v>18.0</v>
      </c>
      <c r="F155" s="11">
        <v>25.0</v>
      </c>
      <c r="G155" s="12"/>
      <c r="H155" s="13">
        <f t="shared" si="1"/>
        <v>486</v>
      </c>
    </row>
    <row r="156" ht="22.5" customHeight="1">
      <c r="A156" s="10" t="s">
        <v>371</v>
      </c>
      <c r="B156" s="10" t="s">
        <v>98</v>
      </c>
      <c r="C156" s="10" t="s">
        <v>372</v>
      </c>
      <c r="D156" s="11">
        <v>5.0</v>
      </c>
      <c r="E156" s="11">
        <v>35.0</v>
      </c>
      <c r="F156" s="11">
        <v>50.0</v>
      </c>
      <c r="H156" s="9">
        <f t="shared" si="1"/>
        <v>175</v>
      </c>
    </row>
    <row r="157" ht="22.5" customHeight="1">
      <c r="A157" s="7" t="s">
        <v>373</v>
      </c>
      <c r="B157" s="7" t="s">
        <v>374</v>
      </c>
      <c r="C157" s="7" t="s">
        <v>375</v>
      </c>
      <c r="D157" s="8">
        <v>1.0</v>
      </c>
      <c r="E157" s="8">
        <v>150.0</v>
      </c>
      <c r="F157" s="8">
        <v>200.0</v>
      </c>
      <c r="H157" s="9">
        <f t="shared" si="1"/>
        <v>150</v>
      </c>
    </row>
    <row r="158" ht="22.5" customHeight="1">
      <c r="A158" s="7" t="s">
        <v>376</v>
      </c>
      <c r="B158" s="7" t="s">
        <v>208</v>
      </c>
      <c r="C158" s="7" t="s">
        <v>377</v>
      </c>
      <c r="D158" s="8">
        <v>1.0</v>
      </c>
      <c r="E158" s="8">
        <v>100.0</v>
      </c>
      <c r="F158" s="8">
        <v>200.0</v>
      </c>
      <c r="H158" s="9">
        <f t="shared" si="1"/>
        <v>100</v>
      </c>
    </row>
    <row r="159" ht="22.5" customHeight="1">
      <c r="A159" s="7" t="s">
        <v>378</v>
      </c>
      <c r="B159" s="7" t="s">
        <v>379</v>
      </c>
      <c r="C159" s="7" t="s">
        <v>380</v>
      </c>
      <c r="D159" s="8">
        <v>11.0</v>
      </c>
      <c r="E159" s="8">
        <v>130.0</v>
      </c>
      <c r="F159" s="8">
        <v>150.0</v>
      </c>
      <c r="H159" s="9">
        <f t="shared" si="1"/>
        <v>1430</v>
      </c>
    </row>
    <row r="160" ht="22.5" customHeight="1">
      <c r="A160" s="7" t="s">
        <v>381</v>
      </c>
      <c r="B160" s="7" t="s">
        <v>382</v>
      </c>
      <c r="C160" s="7" t="s">
        <v>383</v>
      </c>
      <c r="D160" s="8">
        <v>1.0</v>
      </c>
      <c r="E160" s="8">
        <v>300.0</v>
      </c>
      <c r="F160" s="8">
        <v>450.0</v>
      </c>
      <c r="H160" s="9">
        <f t="shared" si="1"/>
        <v>300</v>
      </c>
    </row>
    <row r="161" ht="22.5" customHeight="1">
      <c r="A161" s="14" t="s">
        <v>384</v>
      </c>
      <c r="B161" s="14" t="s">
        <v>385</v>
      </c>
      <c r="C161" s="14" t="s">
        <v>386</v>
      </c>
      <c r="D161" s="15">
        <v>12.0</v>
      </c>
      <c r="E161" s="15">
        <v>180.0</v>
      </c>
      <c r="F161" s="15">
        <v>200.0</v>
      </c>
      <c r="G161" s="16"/>
      <c r="H161" s="17">
        <f t="shared" si="1"/>
        <v>2160</v>
      </c>
    </row>
    <row r="162" ht="22.5" customHeight="1">
      <c r="A162" s="14" t="s">
        <v>387</v>
      </c>
      <c r="B162" s="14" t="s">
        <v>388</v>
      </c>
      <c r="C162" s="14" t="s">
        <v>386</v>
      </c>
      <c r="D162" s="15">
        <v>4.0</v>
      </c>
      <c r="E162" s="15">
        <v>180.0</v>
      </c>
      <c r="F162" s="15">
        <v>200.0</v>
      </c>
      <c r="G162" s="16"/>
      <c r="H162" s="17">
        <f t="shared" si="1"/>
        <v>720</v>
      </c>
    </row>
    <row r="163" ht="22.5" customHeight="1">
      <c r="A163" s="14" t="s">
        <v>389</v>
      </c>
      <c r="B163" s="14" t="s">
        <v>390</v>
      </c>
      <c r="C163" s="14" t="s">
        <v>386</v>
      </c>
      <c r="D163" s="15">
        <v>4.0</v>
      </c>
      <c r="E163" s="15">
        <v>150.0</v>
      </c>
      <c r="F163" s="15">
        <v>180.0</v>
      </c>
      <c r="G163" s="16"/>
      <c r="H163" s="17">
        <f t="shared" si="1"/>
        <v>600</v>
      </c>
    </row>
    <row r="164" ht="22.5" customHeight="1">
      <c r="A164" s="14" t="s">
        <v>391</v>
      </c>
      <c r="B164" s="14" t="s">
        <v>390</v>
      </c>
      <c r="C164" s="14" t="s">
        <v>392</v>
      </c>
      <c r="D164" s="15">
        <v>2.0</v>
      </c>
      <c r="E164" s="15">
        <v>90.0</v>
      </c>
      <c r="F164" s="15">
        <v>130.0</v>
      </c>
      <c r="G164" s="16"/>
      <c r="H164" s="17">
        <f t="shared" si="1"/>
        <v>180</v>
      </c>
    </row>
    <row r="165" ht="22.5" customHeight="1">
      <c r="A165" s="14" t="s">
        <v>393</v>
      </c>
      <c r="B165" s="14" t="s">
        <v>394</v>
      </c>
      <c r="C165" s="14" t="s">
        <v>395</v>
      </c>
      <c r="D165" s="15">
        <v>1.0</v>
      </c>
      <c r="E165" s="15">
        <v>650.0</v>
      </c>
      <c r="F165" s="15">
        <v>680.0</v>
      </c>
      <c r="G165" s="16"/>
      <c r="H165" s="17">
        <f t="shared" si="1"/>
        <v>650</v>
      </c>
    </row>
    <row r="166" ht="22.5" customHeight="1">
      <c r="A166" s="14" t="s">
        <v>396</v>
      </c>
      <c r="B166" s="14" t="s">
        <v>397</v>
      </c>
      <c r="C166" s="14" t="s">
        <v>398</v>
      </c>
      <c r="D166" s="15">
        <v>1.0</v>
      </c>
      <c r="E166" s="15">
        <v>650.0</v>
      </c>
      <c r="F166" s="15">
        <v>680.0</v>
      </c>
      <c r="G166" s="16"/>
      <c r="H166" s="17">
        <f t="shared" si="1"/>
        <v>650</v>
      </c>
    </row>
    <row r="167" ht="22.5" customHeight="1">
      <c r="A167" s="14" t="s">
        <v>399</v>
      </c>
      <c r="B167" s="14" t="s">
        <v>400</v>
      </c>
      <c r="C167" s="14" t="s">
        <v>401</v>
      </c>
      <c r="D167" s="15">
        <v>4.0</v>
      </c>
      <c r="E167" s="15">
        <v>130.0</v>
      </c>
      <c r="F167" s="15">
        <v>160.0</v>
      </c>
      <c r="G167" s="16"/>
      <c r="H167" s="17">
        <f t="shared" si="1"/>
        <v>520</v>
      </c>
    </row>
    <row r="168" ht="22.5" customHeight="1">
      <c r="A168" s="14" t="s">
        <v>402</v>
      </c>
      <c r="B168" s="14" t="s">
        <v>403</v>
      </c>
      <c r="C168" s="14" t="s">
        <v>404</v>
      </c>
      <c r="D168" s="15">
        <v>6.0</v>
      </c>
      <c r="E168" s="15">
        <v>260.0</v>
      </c>
      <c r="F168" s="15">
        <v>280.0</v>
      </c>
      <c r="G168" s="16"/>
      <c r="H168" s="17">
        <f t="shared" si="1"/>
        <v>1560</v>
      </c>
    </row>
    <row r="169" ht="22.5" customHeight="1">
      <c r="A169" s="14" t="s">
        <v>405</v>
      </c>
      <c r="B169" s="14" t="s">
        <v>403</v>
      </c>
      <c r="C169" s="14" t="s">
        <v>406</v>
      </c>
      <c r="D169" s="15">
        <v>4.0</v>
      </c>
      <c r="E169" s="15">
        <v>250.0</v>
      </c>
      <c r="F169" s="15">
        <v>300.0</v>
      </c>
      <c r="G169" s="16"/>
      <c r="H169" s="17">
        <f t="shared" si="1"/>
        <v>1000</v>
      </c>
    </row>
    <row r="170" ht="22.5" customHeight="1">
      <c r="A170" s="14" t="s">
        <v>407</v>
      </c>
      <c r="B170" s="14" t="s">
        <v>242</v>
      </c>
      <c r="C170" s="14" t="s">
        <v>408</v>
      </c>
      <c r="D170" s="15">
        <v>4.0</v>
      </c>
      <c r="E170" s="15">
        <v>180.0</v>
      </c>
      <c r="F170" s="15">
        <v>220.0</v>
      </c>
      <c r="G170" s="16"/>
      <c r="H170" s="17">
        <f t="shared" si="1"/>
        <v>720</v>
      </c>
    </row>
    <row r="171" ht="22.5" customHeight="1">
      <c r="A171" s="14" t="s">
        <v>409</v>
      </c>
      <c r="B171" s="14" t="s">
        <v>410</v>
      </c>
      <c r="C171" s="14" t="s">
        <v>411</v>
      </c>
      <c r="D171" s="15">
        <v>5.0</v>
      </c>
      <c r="E171" s="15">
        <v>200.0</v>
      </c>
      <c r="F171" s="15">
        <v>220.0</v>
      </c>
      <c r="G171" s="16"/>
      <c r="H171" s="17">
        <f t="shared" si="1"/>
        <v>1000</v>
      </c>
    </row>
    <row r="172" ht="22.5" customHeight="1">
      <c r="A172" s="14" t="s">
        <v>412</v>
      </c>
      <c r="B172" s="14" t="s">
        <v>413</v>
      </c>
      <c r="C172" s="14" t="s">
        <v>414</v>
      </c>
      <c r="D172" s="15">
        <v>4.0</v>
      </c>
      <c r="E172" s="15">
        <v>190.0</v>
      </c>
      <c r="F172" s="15">
        <v>230.0</v>
      </c>
      <c r="G172" s="16"/>
      <c r="H172" s="17">
        <f t="shared" si="1"/>
        <v>760</v>
      </c>
    </row>
    <row r="173" ht="22.5" customHeight="1">
      <c r="A173" s="14" t="s">
        <v>415</v>
      </c>
      <c r="B173" s="14" t="s">
        <v>416</v>
      </c>
      <c r="C173" s="14" t="s">
        <v>417</v>
      </c>
      <c r="D173" s="15">
        <v>2.0</v>
      </c>
      <c r="E173" s="15">
        <v>320.0</v>
      </c>
      <c r="F173" s="15">
        <v>380.0</v>
      </c>
      <c r="G173" s="16"/>
      <c r="H173" s="17">
        <f t="shared" si="1"/>
        <v>640</v>
      </c>
    </row>
    <row r="174" ht="22.5" customHeight="1">
      <c r="A174" s="14" t="s">
        <v>418</v>
      </c>
      <c r="B174" s="14" t="s">
        <v>390</v>
      </c>
      <c r="C174" s="14" t="s">
        <v>419</v>
      </c>
      <c r="D174" s="15">
        <v>2.0</v>
      </c>
      <c r="E174" s="15">
        <v>180.0</v>
      </c>
      <c r="F174" s="15">
        <v>200.0</v>
      </c>
      <c r="G174" s="16"/>
      <c r="H174" s="17">
        <f t="shared" si="1"/>
        <v>360</v>
      </c>
    </row>
    <row r="175" ht="22.5" customHeight="1">
      <c r="A175" s="14" t="s">
        <v>420</v>
      </c>
      <c r="B175" s="14" t="s">
        <v>394</v>
      </c>
      <c r="C175" s="14" t="s">
        <v>386</v>
      </c>
      <c r="D175" s="15">
        <v>12.0</v>
      </c>
      <c r="E175" s="15">
        <v>180.0</v>
      </c>
      <c r="F175" s="15">
        <v>230.0</v>
      </c>
      <c r="G175" s="16"/>
      <c r="H175" s="17">
        <f t="shared" si="1"/>
        <v>2160</v>
      </c>
    </row>
    <row r="176" ht="22.5" customHeight="1">
      <c r="A176" s="25" t="s">
        <v>421</v>
      </c>
      <c r="B176" s="25" t="s">
        <v>422</v>
      </c>
      <c r="C176" s="25" t="s">
        <v>423</v>
      </c>
      <c r="D176" s="26">
        <v>22.0</v>
      </c>
      <c r="E176" s="26">
        <v>260.0</v>
      </c>
      <c r="F176" s="26">
        <v>260.0</v>
      </c>
      <c r="G176" s="27"/>
      <c r="H176" s="28">
        <f t="shared" si="1"/>
        <v>5720</v>
      </c>
    </row>
    <row r="177" ht="22.5" customHeight="1">
      <c r="A177" s="10" t="s">
        <v>424</v>
      </c>
      <c r="B177" s="10" t="s">
        <v>425</v>
      </c>
      <c r="C177" s="10" t="s">
        <v>426</v>
      </c>
      <c r="D177" s="11">
        <v>2.0</v>
      </c>
      <c r="E177" s="11">
        <v>60.0</v>
      </c>
      <c r="F177" s="11">
        <v>80.0</v>
      </c>
      <c r="G177" s="12"/>
      <c r="H177" s="13">
        <f t="shared" si="1"/>
        <v>120</v>
      </c>
    </row>
    <row r="178" ht="22.5" customHeight="1">
      <c r="A178" s="7" t="s">
        <v>427</v>
      </c>
      <c r="B178" s="7" t="s">
        <v>308</v>
      </c>
      <c r="C178" s="7" t="s">
        <v>428</v>
      </c>
      <c r="D178" s="8">
        <v>3.0</v>
      </c>
      <c r="E178" s="8">
        <v>200.0</v>
      </c>
      <c r="F178" s="8">
        <v>240.0</v>
      </c>
      <c r="H178" s="9">
        <f t="shared" si="1"/>
        <v>600</v>
      </c>
    </row>
    <row r="179" ht="22.5" customHeight="1">
      <c r="A179" s="7" t="s">
        <v>429</v>
      </c>
      <c r="B179" s="7" t="s">
        <v>173</v>
      </c>
      <c r="C179" s="7" t="s">
        <v>430</v>
      </c>
      <c r="D179" s="8">
        <v>5.0</v>
      </c>
      <c r="E179" s="8">
        <v>130.0</v>
      </c>
      <c r="F179" s="8">
        <v>160.0</v>
      </c>
      <c r="H179" s="9">
        <f t="shared" si="1"/>
        <v>650</v>
      </c>
    </row>
    <row r="180" ht="22.5" customHeight="1">
      <c r="B180" s="7" t="s">
        <v>173</v>
      </c>
      <c r="C180" s="7" t="s">
        <v>431</v>
      </c>
      <c r="D180" s="8">
        <v>1.0</v>
      </c>
      <c r="E180" s="9"/>
      <c r="F180" s="8">
        <v>160.0</v>
      </c>
      <c r="H180" s="9">
        <f t="shared" si="1"/>
        <v>0</v>
      </c>
    </row>
    <row r="181" ht="22.5" customHeight="1">
      <c r="A181" s="7" t="s">
        <v>432</v>
      </c>
      <c r="B181" s="7" t="s">
        <v>433</v>
      </c>
      <c r="C181" s="7" t="s">
        <v>111</v>
      </c>
      <c r="D181" s="8">
        <v>4.0</v>
      </c>
      <c r="E181" s="8">
        <v>120.0</v>
      </c>
      <c r="F181" s="8">
        <v>180.0</v>
      </c>
      <c r="H181" s="9"/>
    </row>
    <row r="182" ht="22.5" customHeight="1">
      <c r="A182" s="10" t="s">
        <v>434</v>
      </c>
      <c r="B182" s="10" t="s">
        <v>435</v>
      </c>
      <c r="C182" s="10" t="s">
        <v>435</v>
      </c>
      <c r="D182" s="11">
        <v>3.0</v>
      </c>
      <c r="E182" s="11">
        <v>25.0</v>
      </c>
      <c r="F182" s="11">
        <v>25.0</v>
      </c>
      <c r="G182" s="12"/>
      <c r="H182" s="13">
        <f t="shared" ref="H182:H258" si="2">D182*E182</f>
        <v>75</v>
      </c>
    </row>
    <row r="183" ht="22.5" customHeight="1">
      <c r="A183" s="10" t="s">
        <v>436</v>
      </c>
      <c r="B183" s="10" t="s">
        <v>436</v>
      </c>
      <c r="C183" s="10" t="s">
        <v>437</v>
      </c>
      <c r="D183" s="11">
        <v>3.0</v>
      </c>
      <c r="E183" s="11">
        <v>20.0</v>
      </c>
      <c r="F183" s="11">
        <v>20.0</v>
      </c>
      <c r="G183" s="12"/>
      <c r="H183" s="13">
        <f t="shared" si="2"/>
        <v>60</v>
      </c>
    </row>
    <row r="184" ht="22.5" customHeight="1">
      <c r="A184" s="10" t="s">
        <v>438</v>
      </c>
      <c r="B184" s="10" t="s">
        <v>439</v>
      </c>
      <c r="C184" s="10" t="s">
        <v>440</v>
      </c>
      <c r="D184" s="11">
        <v>5.0</v>
      </c>
      <c r="E184" s="11">
        <v>35.0</v>
      </c>
      <c r="F184" s="11">
        <v>35.0</v>
      </c>
      <c r="G184" s="12"/>
      <c r="H184" s="13">
        <f t="shared" si="2"/>
        <v>175</v>
      </c>
    </row>
    <row r="185" ht="22.5" customHeight="1">
      <c r="A185" s="10" t="s">
        <v>441</v>
      </c>
      <c r="B185" s="10" t="s">
        <v>441</v>
      </c>
      <c r="C185" s="10" t="s">
        <v>441</v>
      </c>
      <c r="D185" s="11">
        <v>3.0</v>
      </c>
      <c r="E185" s="11">
        <v>20.0</v>
      </c>
      <c r="F185" s="11">
        <v>20.0</v>
      </c>
      <c r="G185" s="12"/>
      <c r="H185" s="13">
        <f t="shared" si="2"/>
        <v>60</v>
      </c>
    </row>
    <row r="186" ht="22.5" customHeight="1">
      <c r="A186" s="10" t="s">
        <v>442</v>
      </c>
      <c r="B186" s="10" t="s">
        <v>443</v>
      </c>
      <c r="C186" s="10" t="s">
        <v>443</v>
      </c>
      <c r="D186" s="11">
        <v>1.0</v>
      </c>
      <c r="E186" s="11">
        <v>20.0</v>
      </c>
      <c r="F186" s="11">
        <v>20.0</v>
      </c>
      <c r="G186" s="12"/>
      <c r="H186" s="13">
        <f t="shared" si="2"/>
        <v>20</v>
      </c>
    </row>
    <row r="187" ht="22.5" customHeight="1">
      <c r="A187" s="10" t="s">
        <v>444</v>
      </c>
      <c r="B187" s="10" t="s">
        <v>445</v>
      </c>
      <c r="C187" s="10" t="s">
        <v>445</v>
      </c>
      <c r="D187" s="11">
        <v>5.0</v>
      </c>
      <c r="E187" s="11">
        <v>50.0</v>
      </c>
      <c r="F187" s="11">
        <v>50.0</v>
      </c>
      <c r="G187" s="12"/>
      <c r="H187" s="13">
        <f t="shared" si="2"/>
        <v>250</v>
      </c>
    </row>
    <row r="188" ht="22.5" customHeight="1">
      <c r="A188" s="10" t="s">
        <v>446</v>
      </c>
      <c r="B188" s="10" t="s">
        <v>446</v>
      </c>
      <c r="C188" s="10" t="s">
        <v>446</v>
      </c>
      <c r="D188" s="11">
        <v>2.0</v>
      </c>
      <c r="E188" s="11">
        <v>50.0</v>
      </c>
      <c r="F188" s="11">
        <v>50.0</v>
      </c>
      <c r="G188" s="12"/>
      <c r="H188" s="13">
        <f t="shared" si="2"/>
        <v>100</v>
      </c>
    </row>
    <row r="189" ht="22.5" customHeight="1">
      <c r="A189" s="10" t="s">
        <v>447</v>
      </c>
      <c r="B189" s="10" t="s">
        <v>447</v>
      </c>
      <c r="C189" s="10" t="s">
        <v>447</v>
      </c>
      <c r="D189" s="11">
        <v>1.0</v>
      </c>
      <c r="E189" s="11">
        <v>20.0</v>
      </c>
      <c r="F189" s="11">
        <v>20.0</v>
      </c>
      <c r="G189" s="12"/>
      <c r="H189" s="13">
        <f t="shared" si="2"/>
        <v>20</v>
      </c>
    </row>
    <row r="190" ht="22.5" customHeight="1">
      <c r="A190" s="10" t="s">
        <v>448</v>
      </c>
      <c r="B190" s="10" t="s">
        <v>448</v>
      </c>
      <c r="C190" s="10" t="s">
        <v>448</v>
      </c>
      <c r="D190" s="11">
        <v>1.0</v>
      </c>
      <c r="E190" s="11">
        <v>40.0</v>
      </c>
      <c r="F190" s="11">
        <v>40.0</v>
      </c>
      <c r="G190" s="12"/>
      <c r="H190" s="13">
        <f t="shared" si="2"/>
        <v>40</v>
      </c>
    </row>
    <row r="191" ht="22.5" customHeight="1">
      <c r="A191" s="10" t="s">
        <v>449</v>
      </c>
      <c r="B191" s="10" t="s">
        <v>449</v>
      </c>
      <c r="C191" s="10" t="s">
        <v>449</v>
      </c>
      <c r="D191" s="11">
        <v>1.0</v>
      </c>
      <c r="E191" s="11">
        <v>80.0</v>
      </c>
      <c r="F191" s="11">
        <v>80.0</v>
      </c>
      <c r="G191" s="12"/>
      <c r="H191" s="13">
        <f t="shared" si="2"/>
        <v>80</v>
      </c>
    </row>
    <row r="192" ht="22.5" customHeight="1">
      <c r="A192" s="10" t="s">
        <v>450</v>
      </c>
      <c r="B192" s="10" t="s">
        <v>450</v>
      </c>
      <c r="C192" s="10" t="s">
        <v>450</v>
      </c>
      <c r="D192" s="11">
        <v>1.0</v>
      </c>
      <c r="E192" s="11">
        <v>80.0</v>
      </c>
      <c r="F192" s="11">
        <v>80.0</v>
      </c>
      <c r="G192" s="12"/>
      <c r="H192" s="13">
        <f t="shared" si="2"/>
        <v>80</v>
      </c>
    </row>
    <row r="193" ht="22.5" customHeight="1">
      <c r="A193" s="7" t="s">
        <v>451</v>
      </c>
      <c r="B193" s="7" t="s">
        <v>452</v>
      </c>
      <c r="C193" s="7" t="s">
        <v>453</v>
      </c>
      <c r="D193" s="8">
        <v>2.0</v>
      </c>
      <c r="E193" s="8">
        <v>180.0</v>
      </c>
      <c r="F193" s="8">
        <v>220.0</v>
      </c>
      <c r="H193" s="9">
        <f t="shared" si="2"/>
        <v>360</v>
      </c>
    </row>
    <row r="194" ht="22.5" customHeight="1">
      <c r="A194" s="7" t="s">
        <v>454</v>
      </c>
      <c r="B194" s="7" t="s">
        <v>455</v>
      </c>
      <c r="C194" s="7" t="s">
        <v>456</v>
      </c>
      <c r="D194" s="8">
        <v>1.0</v>
      </c>
      <c r="E194" s="8">
        <v>340.0</v>
      </c>
      <c r="F194" s="8">
        <v>380.0</v>
      </c>
      <c r="H194" s="9">
        <f t="shared" si="2"/>
        <v>340</v>
      </c>
    </row>
    <row r="195" ht="22.5" customHeight="1">
      <c r="A195" s="7" t="s">
        <v>457</v>
      </c>
      <c r="B195" s="7" t="s">
        <v>311</v>
      </c>
      <c r="C195" s="7" t="s">
        <v>458</v>
      </c>
      <c r="D195" s="8">
        <v>2.0</v>
      </c>
      <c r="E195" s="8">
        <v>260.0</v>
      </c>
      <c r="F195" s="8">
        <v>300.0</v>
      </c>
      <c r="H195" s="9">
        <f t="shared" si="2"/>
        <v>520</v>
      </c>
    </row>
    <row r="196" ht="22.5" customHeight="1">
      <c r="A196" s="7" t="s">
        <v>459</v>
      </c>
      <c r="B196" s="7" t="s">
        <v>460</v>
      </c>
      <c r="C196" s="7" t="s">
        <v>461</v>
      </c>
      <c r="D196" s="8">
        <v>1.0</v>
      </c>
      <c r="E196" s="8">
        <v>240.0</v>
      </c>
      <c r="F196" s="8">
        <v>280.0</v>
      </c>
      <c r="H196" s="9">
        <f t="shared" si="2"/>
        <v>240</v>
      </c>
    </row>
    <row r="197" ht="22.5" customHeight="1">
      <c r="A197" s="7" t="s">
        <v>462</v>
      </c>
      <c r="B197" s="7" t="s">
        <v>221</v>
      </c>
      <c r="C197" s="7" t="s">
        <v>463</v>
      </c>
      <c r="D197" s="8">
        <v>3.0</v>
      </c>
      <c r="E197" s="8">
        <v>130.0</v>
      </c>
      <c r="F197" s="8">
        <v>150.0</v>
      </c>
      <c r="H197" s="9">
        <f t="shared" si="2"/>
        <v>390</v>
      </c>
    </row>
    <row r="198" ht="22.5" customHeight="1">
      <c r="A198" s="7" t="s">
        <v>464</v>
      </c>
      <c r="B198" s="7" t="s">
        <v>465</v>
      </c>
      <c r="C198" s="7" t="s">
        <v>466</v>
      </c>
      <c r="D198" s="8">
        <v>2.0</v>
      </c>
      <c r="E198" s="8">
        <v>380.0</v>
      </c>
      <c r="F198" s="8">
        <v>400.0</v>
      </c>
      <c r="H198" s="9">
        <f t="shared" si="2"/>
        <v>760</v>
      </c>
    </row>
    <row r="199" ht="22.5" customHeight="1">
      <c r="A199" s="7" t="s">
        <v>467</v>
      </c>
      <c r="B199" s="7" t="s">
        <v>468</v>
      </c>
      <c r="C199" s="7" t="s">
        <v>423</v>
      </c>
      <c r="D199" s="8">
        <v>4.0</v>
      </c>
      <c r="E199" s="8">
        <v>100.0</v>
      </c>
      <c r="F199" s="8">
        <v>120.0</v>
      </c>
      <c r="H199" s="9">
        <f t="shared" si="2"/>
        <v>400</v>
      </c>
    </row>
    <row r="200" ht="22.5" customHeight="1">
      <c r="A200" s="7" t="s">
        <v>469</v>
      </c>
      <c r="B200" s="7" t="s">
        <v>422</v>
      </c>
      <c r="C200" s="7" t="s">
        <v>470</v>
      </c>
      <c r="D200" s="8">
        <v>4.0</v>
      </c>
      <c r="E200" s="8">
        <v>300.0</v>
      </c>
      <c r="F200" s="8">
        <v>300.0</v>
      </c>
      <c r="H200" s="9">
        <f t="shared" si="2"/>
        <v>1200</v>
      </c>
    </row>
    <row r="201" ht="22.5" customHeight="1">
      <c r="A201" s="7" t="s">
        <v>471</v>
      </c>
      <c r="B201" s="7" t="s">
        <v>472</v>
      </c>
      <c r="C201" s="7" t="s">
        <v>473</v>
      </c>
      <c r="D201" s="8">
        <v>2.0</v>
      </c>
      <c r="E201" s="8">
        <v>130.0</v>
      </c>
      <c r="F201" s="8">
        <v>160.0</v>
      </c>
      <c r="H201" s="9">
        <f t="shared" si="2"/>
        <v>260</v>
      </c>
    </row>
    <row r="202" ht="22.5" customHeight="1">
      <c r="A202" s="7" t="s">
        <v>474</v>
      </c>
      <c r="B202" s="7" t="s">
        <v>446</v>
      </c>
      <c r="C202" s="7" t="s">
        <v>475</v>
      </c>
      <c r="D202" s="8">
        <v>1.0</v>
      </c>
      <c r="E202" s="8">
        <v>100.0</v>
      </c>
      <c r="F202" s="8">
        <v>120.0</v>
      </c>
      <c r="H202" s="9">
        <f t="shared" si="2"/>
        <v>100</v>
      </c>
    </row>
    <row r="203" ht="22.5" customHeight="1">
      <c r="A203" s="7" t="s">
        <v>476</v>
      </c>
      <c r="B203" s="7" t="s">
        <v>472</v>
      </c>
      <c r="C203" s="7" t="s">
        <v>477</v>
      </c>
      <c r="D203" s="8">
        <v>2.0</v>
      </c>
      <c r="E203" s="8">
        <v>120.0</v>
      </c>
      <c r="F203" s="8">
        <v>160.0</v>
      </c>
      <c r="H203" s="9">
        <f t="shared" si="2"/>
        <v>240</v>
      </c>
    </row>
    <row r="204" ht="22.5" customHeight="1">
      <c r="A204" s="7" t="s">
        <v>478</v>
      </c>
      <c r="B204" s="7" t="s">
        <v>479</v>
      </c>
      <c r="C204" s="7" t="s">
        <v>480</v>
      </c>
      <c r="D204" s="8">
        <v>3.0</v>
      </c>
      <c r="E204" s="8">
        <v>120.0</v>
      </c>
      <c r="F204" s="8">
        <v>160.0</v>
      </c>
      <c r="H204" s="9">
        <f t="shared" si="2"/>
        <v>360</v>
      </c>
    </row>
    <row r="205" ht="22.5" customHeight="1">
      <c r="D205" s="9"/>
      <c r="E205" s="9"/>
      <c r="F205" s="9"/>
      <c r="H205" s="9">
        <f t="shared" si="2"/>
        <v>0</v>
      </c>
    </row>
    <row r="206" ht="22.5" customHeight="1">
      <c r="D206" s="9"/>
      <c r="E206" s="9"/>
      <c r="F206" s="9"/>
      <c r="H206" s="9">
        <f t="shared" si="2"/>
        <v>0</v>
      </c>
    </row>
    <row r="207" ht="22.5" customHeight="1">
      <c r="D207" s="9"/>
      <c r="E207" s="9"/>
      <c r="F207" s="9"/>
      <c r="H207" s="9">
        <f t="shared" si="2"/>
        <v>0</v>
      </c>
    </row>
    <row r="208" ht="22.5" customHeight="1">
      <c r="D208" s="9"/>
      <c r="E208" s="9"/>
      <c r="F208" s="9"/>
      <c r="H208" s="9">
        <f t="shared" si="2"/>
        <v>0</v>
      </c>
    </row>
    <row r="209" ht="22.5" customHeight="1">
      <c r="D209" s="9"/>
      <c r="E209" s="9"/>
      <c r="F209" s="9"/>
      <c r="H209" s="9">
        <f t="shared" si="2"/>
        <v>0</v>
      </c>
    </row>
    <row r="210" ht="22.5" customHeight="1">
      <c r="D210" s="9"/>
      <c r="E210" s="9"/>
      <c r="F210" s="9"/>
      <c r="H210" s="9">
        <f t="shared" si="2"/>
        <v>0</v>
      </c>
    </row>
    <row r="211" ht="22.5" customHeight="1">
      <c r="D211" s="9"/>
      <c r="E211" s="9"/>
      <c r="F211" s="9"/>
      <c r="H211" s="9">
        <f t="shared" si="2"/>
        <v>0</v>
      </c>
    </row>
    <row r="212" ht="22.5" customHeight="1">
      <c r="D212" s="9"/>
      <c r="E212" s="9"/>
      <c r="F212" s="9"/>
      <c r="H212" s="9">
        <f t="shared" si="2"/>
        <v>0</v>
      </c>
    </row>
    <row r="213" ht="22.5" customHeight="1">
      <c r="D213" s="9"/>
      <c r="E213" s="9"/>
      <c r="F213" s="9"/>
      <c r="H213" s="9">
        <f t="shared" si="2"/>
        <v>0</v>
      </c>
    </row>
    <row r="214" ht="22.5" customHeight="1">
      <c r="D214" s="9"/>
      <c r="E214" s="9"/>
      <c r="F214" s="9"/>
      <c r="H214" s="9">
        <f t="shared" si="2"/>
        <v>0</v>
      </c>
    </row>
    <row r="215" ht="22.5" customHeight="1">
      <c r="D215" s="9"/>
      <c r="E215" s="9"/>
      <c r="F215" s="9"/>
      <c r="H215" s="9">
        <f t="shared" si="2"/>
        <v>0</v>
      </c>
    </row>
    <row r="216" ht="22.5" customHeight="1">
      <c r="D216" s="9"/>
      <c r="E216" s="9"/>
      <c r="F216" s="9"/>
      <c r="H216" s="9">
        <f t="shared" si="2"/>
        <v>0</v>
      </c>
    </row>
    <row r="217" ht="22.5" customHeight="1">
      <c r="D217" s="9"/>
      <c r="E217" s="9"/>
      <c r="F217" s="9"/>
      <c r="H217" s="9">
        <f t="shared" si="2"/>
        <v>0</v>
      </c>
    </row>
    <row r="218" ht="22.5" customHeight="1">
      <c r="D218" s="9"/>
      <c r="E218" s="9"/>
      <c r="F218" s="9"/>
      <c r="H218" s="9">
        <f t="shared" si="2"/>
        <v>0</v>
      </c>
    </row>
    <row r="219" ht="22.5" customHeight="1">
      <c r="D219" s="9"/>
      <c r="E219" s="9"/>
      <c r="F219" s="9"/>
      <c r="H219" s="9">
        <f t="shared" si="2"/>
        <v>0</v>
      </c>
    </row>
    <row r="220" ht="22.5" customHeight="1">
      <c r="D220" s="9"/>
      <c r="E220" s="9"/>
      <c r="F220" s="9"/>
      <c r="H220" s="9">
        <f t="shared" si="2"/>
        <v>0</v>
      </c>
    </row>
    <row r="221" ht="22.5" customHeight="1">
      <c r="D221" s="9"/>
      <c r="E221" s="9"/>
      <c r="F221" s="9"/>
      <c r="H221" s="9">
        <f t="shared" si="2"/>
        <v>0</v>
      </c>
    </row>
    <row r="222" ht="22.5" customHeight="1">
      <c r="D222" s="9"/>
      <c r="E222" s="9"/>
      <c r="F222" s="9"/>
      <c r="H222" s="9">
        <f t="shared" si="2"/>
        <v>0</v>
      </c>
    </row>
    <row r="223" ht="22.5" customHeight="1">
      <c r="D223" s="9"/>
      <c r="E223" s="9"/>
      <c r="F223" s="9"/>
      <c r="H223" s="9">
        <f t="shared" si="2"/>
        <v>0</v>
      </c>
    </row>
    <row r="224" ht="22.5" customHeight="1">
      <c r="D224" s="9"/>
      <c r="E224" s="9"/>
      <c r="F224" s="9"/>
      <c r="H224" s="9">
        <f t="shared" si="2"/>
        <v>0</v>
      </c>
    </row>
    <row r="225" ht="22.5" customHeight="1">
      <c r="D225" s="9"/>
      <c r="E225" s="9"/>
      <c r="F225" s="9"/>
      <c r="H225" s="9">
        <f t="shared" si="2"/>
        <v>0</v>
      </c>
    </row>
    <row r="226" ht="22.5" customHeight="1">
      <c r="D226" s="9"/>
      <c r="E226" s="9"/>
      <c r="F226" s="9"/>
      <c r="H226" s="9">
        <f t="shared" si="2"/>
        <v>0</v>
      </c>
    </row>
    <row r="227" ht="22.5" customHeight="1">
      <c r="D227" s="9"/>
      <c r="E227" s="9"/>
      <c r="F227" s="9"/>
      <c r="H227" s="9">
        <f t="shared" si="2"/>
        <v>0</v>
      </c>
    </row>
    <row r="228" ht="22.5" customHeight="1">
      <c r="D228" s="9"/>
      <c r="E228" s="9"/>
      <c r="F228" s="9"/>
      <c r="H228" s="9">
        <f t="shared" si="2"/>
        <v>0</v>
      </c>
    </row>
    <row r="229" ht="22.5" customHeight="1">
      <c r="D229" s="9"/>
      <c r="E229" s="9"/>
      <c r="F229" s="9"/>
      <c r="H229" s="9">
        <f t="shared" si="2"/>
        <v>0</v>
      </c>
    </row>
    <row r="230" ht="22.5" customHeight="1">
      <c r="D230" s="9"/>
      <c r="E230" s="9"/>
      <c r="F230" s="9"/>
      <c r="H230" s="9">
        <f t="shared" si="2"/>
        <v>0</v>
      </c>
    </row>
    <row r="231" ht="22.5" customHeight="1">
      <c r="D231" s="9"/>
      <c r="E231" s="9"/>
      <c r="F231" s="9"/>
      <c r="H231" s="9">
        <f t="shared" si="2"/>
        <v>0</v>
      </c>
    </row>
    <row r="232" ht="22.5" customHeight="1">
      <c r="D232" s="9"/>
      <c r="E232" s="9"/>
      <c r="F232" s="9"/>
      <c r="H232" s="9">
        <f t="shared" si="2"/>
        <v>0</v>
      </c>
    </row>
    <row r="233" ht="22.5" customHeight="1">
      <c r="D233" s="9"/>
      <c r="E233" s="9"/>
      <c r="F233" s="9"/>
      <c r="H233" s="9">
        <f t="shared" si="2"/>
        <v>0</v>
      </c>
    </row>
    <row r="234" ht="22.5" customHeight="1">
      <c r="D234" s="9"/>
      <c r="E234" s="9"/>
      <c r="F234" s="9"/>
      <c r="H234" s="9">
        <f t="shared" si="2"/>
        <v>0</v>
      </c>
    </row>
    <row r="235" ht="22.5" customHeight="1">
      <c r="D235" s="9"/>
      <c r="E235" s="9"/>
      <c r="F235" s="9"/>
      <c r="H235" s="9">
        <f t="shared" si="2"/>
        <v>0</v>
      </c>
    </row>
    <row r="236" ht="22.5" customHeight="1">
      <c r="D236" s="9"/>
      <c r="E236" s="9"/>
      <c r="F236" s="9"/>
      <c r="H236" s="9">
        <f t="shared" si="2"/>
        <v>0</v>
      </c>
    </row>
    <row r="237" ht="22.5" customHeight="1">
      <c r="D237" s="9"/>
      <c r="E237" s="9"/>
      <c r="F237" s="9"/>
      <c r="H237" s="9">
        <f t="shared" si="2"/>
        <v>0</v>
      </c>
    </row>
    <row r="238" ht="22.5" customHeight="1">
      <c r="D238" s="9"/>
      <c r="E238" s="9"/>
      <c r="F238" s="9"/>
      <c r="H238" s="9">
        <f t="shared" si="2"/>
        <v>0</v>
      </c>
    </row>
    <row r="239" ht="22.5" customHeight="1">
      <c r="D239" s="9"/>
      <c r="E239" s="9"/>
      <c r="F239" s="9"/>
      <c r="H239" s="9">
        <f t="shared" si="2"/>
        <v>0</v>
      </c>
    </row>
    <row r="240" ht="22.5" customHeight="1">
      <c r="D240" s="9"/>
      <c r="E240" s="9"/>
      <c r="F240" s="9"/>
      <c r="H240" s="9">
        <f t="shared" si="2"/>
        <v>0</v>
      </c>
    </row>
    <row r="241" ht="22.5" customHeight="1">
      <c r="D241" s="9"/>
      <c r="E241" s="9"/>
      <c r="F241" s="9"/>
      <c r="H241" s="9">
        <f t="shared" si="2"/>
        <v>0</v>
      </c>
    </row>
    <row r="242" ht="22.5" customHeight="1">
      <c r="D242" s="9"/>
      <c r="E242" s="9"/>
      <c r="F242" s="9"/>
      <c r="H242" s="9">
        <f t="shared" si="2"/>
        <v>0</v>
      </c>
    </row>
    <row r="243" ht="22.5" customHeight="1">
      <c r="D243" s="9"/>
      <c r="E243" s="9"/>
      <c r="F243" s="9"/>
      <c r="H243" s="9">
        <f t="shared" si="2"/>
        <v>0</v>
      </c>
    </row>
    <row r="244" ht="22.5" customHeight="1">
      <c r="D244" s="9"/>
      <c r="E244" s="9"/>
      <c r="F244" s="9"/>
      <c r="H244" s="9">
        <f t="shared" si="2"/>
        <v>0</v>
      </c>
    </row>
    <row r="245" ht="22.5" customHeight="1">
      <c r="D245" s="9"/>
      <c r="E245" s="9"/>
      <c r="F245" s="9"/>
      <c r="H245" s="9">
        <f t="shared" si="2"/>
        <v>0</v>
      </c>
    </row>
    <row r="246" ht="22.5" customHeight="1">
      <c r="D246" s="9"/>
      <c r="E246" s="9"/>
      <c r="F246" s="9"/>
      <c r="H246" s="9">
        <f t="shared" si="2"/>
        <v>0</v>
      </c>
    </row>
    <row r="247" ht="22.5" customHeight="1">
      <c r="D247" s="9"/>
      <c r="E247" s="9"/>
      <c r="F247" s="9"/>
      <c r="H247" s="9">
        <f t="shared" si="2"/>
        <v>0</v>
      </c>
    </row>
    <row r="248" ht="22.5" customHeight="1">
      <c r="D248" s="9"/>
      <c r="E248" s="9"/>
      <c r="F248" s="9"/>
      <c r="H248" s="9">
        <f t="shared" si="2"/>
        <v>0</v>
      </c>
    </row>
    <row r="249" ht="22.5" customHeight="1">
      <c r="D249" s="9"/>
      <c r="E249" s="9"/>
      <c r="F249" s="9"/>
      <c r="H249" s="9">
        <f t="shared" si="2"/>
        <v>0</v>
      </c>
    </row>
    <row r="250" ht="22.5" customHeight="1">
      <c r="D250" s="9"/>
      <c r="E250" s="9"/>
      <c r="F250" s="9"/>
      <c r="H250" s="9">
        <f t="shared" si="2"/>
        <v>0</v>
      </c>
    </row>
    <row r="251" ht="22.5" customHeight="1">
      <c r="D251" s="9"/>
      <c r="E251" s="9"/>
      <c r="F251" s="9"/>
      <c r="H251" s="9">
        <f t="shared" si="2"/>
        <v>0</v>
      </c>
    </row>
    <row r="252" ht="22.5" customHeight="1">
      <c r="D252" s="9"/>
      <c r="E252" s="9"/>
      <c r="F252" s="9"/>
      <c r="H252" s="9">
        <f t="shared" si="2"/>
        <v>0</v>
      </c>
    </row>
    <row r="253" ht="22.5" customHeight="1">
      <c r="D253" s="9"/>
      <c r="E253" s="9"/>
      <c r="F253" s="9"/>
      <c r="H253" s="9">
        <f t="shared" si="2"/>
        <v>0</v>
      </c>
    </row>
    <row r="254" ht="22.5" customHeight="1">
      <c r="D254" s="9"/>
      <c r="E254" s="9"/>
      <c r="F254" s="9"/>
      <c r="H254" s="9">
        <f t="shared" si="2"/>
        <v>0</v>
      </c>
    </row>
    <row r="255" ht="22.5" customHeight="1">
      <c r="D255" s="9"/>
      <c r="E255" s="9"/>
      <c r="F255" s="9"/>
      <c r="H255" s="9">
        <f t="shared" si="2"/>
        <v>0</v>
      </c>
    </row>
    <row r="256" ht="22.5" customHeight="1">
      <c r="D256" s="9"/>
      <c r="E256" s="9"/>
      <c r="F256" s="9"/>
      <c r="H256" s="9">
        <f t="shared" si="2"/>
        <v>0</v>
      </c>
    </row>
    <row r="257" ht="22.5" customHeight="1">
      <c r="D257" s="9"/>
      <c r="E257" s="9"/>
      <c r="F257" s="9"/>
      <c r="H257" s="9">
        <f t="shared" si="2"/>
        <v>0</v>
      </c>
    </row>
    <row r="258" ht="22.5" customHeight="1">
      <c r="D258" s="9"/>
      <c r="E258" s="9"/>
      <c r="F258" s="9"/>
      <c r="H258" s="9">
        <f t="shared" si="2"/>
        <v>0</v>
      </c>
    </row>
  </sheetData>
  <mergeCells count="2">
    <mergeCell ref="A1:G4"/>
    <mergeCell ref="J1:O4"/>
  </mergeCells>
  <dataValidations>
    <dataValidation type="custom" allowBlank="1" showDropDown="1" sqref="D7:F258 H7:H258">
      <formula1>AND(ISNUMBER(D7),(NOT(OR(NOT(ISERROR(DATEVALUE(D7))), AND(ISNUMBER(D7), LEFT(CELL("format", D7))="D")))))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mergeCells count="1">
    <mergeCell ref="A1:F3"/>
  </mergeCells>
  <drawing r:id="rId1"/>
</worksheet>
</file>