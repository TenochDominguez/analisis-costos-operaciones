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Limpios " sheetId="1" r:id="rId5"/>
    <sheet state="visible" name="Tabla dinámica 1" sheetId="2" r:id="rId6"/>
    <sheet state="visible" name="Dashboard" sheetId="3" r:id="rId7"/>
    <sheet state="visible" name="datos Originales" sheetId="4" r:id="rId8"/>
  </sheets>
  <definedNames>
    <definedName hidden="1" localSheetId="0" name="_xlnm._FilterDatabase">'Datos Limpios '!$J$1:$J$151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<sst xmlns="http://schemas.openxmlformats.org/spreadsheetml/2006/main" count="3197" uniqueCount="1169">
  <si>
    <t>guest_id</t>
  </si>
  <si>
    <t>name</t>
  </si>
  <si>
    <t>first_name</t>
  </si>
  <si>
    <t>last_name</t>
  </si>
  <si>
    <t>approval_status</t>
  </si>
  <si>
    <t>checked_in_at</t>
  </si>
  <si>
    <t>email</t>
  </si>
  <si>
    <t>Estatus Asistencia</t>
  </si>
  <si>
    <t>phone_number</t>
  </si>
  <si>
    <t>created_at</t>
  </si>
  <si>
    <t>utm_source</t>
  </si>
  <si>
    <t>utm_medium</t>
  </si>
  <si>
    <t>utm_campaign</t>
  </si>
  <si>
    <t>utm_term</t>
  </si>
  <si>
    <t>utm_content</t>
  </si>
  <si>
    <t>referrer</t>
  </si>
  <si>
    <t>referred_by</t>
  </si>
  <si>
    <t>qr_code_url</t>
  </si>
  <si>
    <t>Fecha Check-in</t>
  </si>
  <si>
    <t>amount</t>
  </si>
  <si>
    <t>amount_tax</t>
  </si>
  <si>
    <t>Barrio</t>
  </si>
  <si>
    <t>amount_discount</t>
  </si>
  <si>
    <t>currency</t>
  </si>
  <si>
    <t>Barrio Limpio</t>
  </si>
  <si>
    <t>coupon_code</t>
  </si>
  <si>
    <t>eth_address</t>
  </si>
  <si>
    <t>solana_address</t>
  </si>
  <si>
    <t>survey_response_rating</t>
  </si>
  <si>
    <t>Dayami arizbeth Rosas</t>
  </si>
  <si>
    <t>Dayami Arizbeth</t>
  </si>
  <si>
    <t>Rosas</t>
  </si>
  <si>
    <t>approved</t>
  </si>
  <si>
    <t>survey_response_feedback</t>
  </si>
  <si>
    <t>ticket_type_id</t>
  </si>
  <si>
    <t>ticket_name</t>
  </si>
  <si>
    <t>Nombre de Barrio o Rama</t>
  </si>
  <si>
    <t>gst-CDtWxXBneO2RECv</t>
  </si>
  <si>
    <t>dayamiarizbethrosas@gmail.com</t>
  </si>
  <si>
    <t>2026-09-13T16:38:19.007Z</t>
  </si>
  <si>
    <t>https://luma.com/check-in/evt-uUhcE8jx1Pd49Fv?pk=oqJ0RnNnUZuyKMp</t>
  </si>
  <si>
    <t>Cedral</t>
  </si>
  <si>
    <t>Sariah Flores</t>
  </si>
  <si>
    <t>Sariah</t>
  </si>
  <si>
    <t>Flores</t>
  </si>
  <si>
    <t>2026-09-12T17:40:15.297Z</t>
  </si>
  <si>
    <t>marioesc11@hotmail.com</t>
  </si>
  <si>
    <t>Acoxpan</t>
  </si>
  <si>
    <t>Naomi Gonzales</t>
  </si>
  <si>
    <t>Naomi</t>
  </si>
  <si>
    <t>Gonzales</t>
  </si>
  <si>
    <t>2026-09-12T17:32:55.350Z</t>
  </si>
  <si>
    <t>josemiguelfloresvaltzar@gmail.com</t>
  </si>
  <si>
    <t xml:space="preserve">La noria </t>
  </si>
  <si>
    <t>Veronica Leon Alva</t>
  </si>
  <si>
    <t>Veronica</t>
  </si>
  <si>
    <t>Leon Alva</t>
  </si>
  <si>
    <t>2026-09-12T17:32:19.073Z</t>
  </si>
  <si>
    <t>José Luis Rocha</t>
  </si>
  <si>
    <t>José Luis</t>
  </si>
  <si>
    <t>Rocha</t>
  </si>
  <si>
    <t>2026-09-12T18:23:55.156Z</t>
  </si>
  <si>
    <t>La noria</t>
  </si>
  <si>
    <t>Marelly Alejandra Castrejon Ocampo</t>
  </si>
  <si>
    <t>Marelly</t>
  </si>
  <si>
    <t>$0.00</t>
  </si>
  <si>
    <t>Alejandra Castrejon Ocampo</t>
  </si>
  <si>
    <t xml:space="preserve">Villa coapa </t>
  </si>
  <si>
    <t>Geremy</t>
  </si>
  <si>
    <t>usd</t>
  </si>
  <si>
    <t>2026-09-12T18:23:16.417Z</t>
  </si>
  <si>
    <t>ttype-Dv70WAoYp8nmx0l</t>
  </si>
  <si>
    <t>Standard</t>
  </si>
  <si>
    <t>Azteca</t>
  </si>
  <si>
    <t>gst-xB3WtcECgYBOyHr</t>
  </si>
  <si>
    <t>Dinavell Dominguez</t>
  </si>
  <si>
    <t>Dinavell</t>
  </si>
  <si>
    <t>sharps_736@hotmail.com</t>
  </si>
  <si>
    <t>Dominguez</t>
  </si>
  <si>
    <t>2026-09-12T17:39:57.345Z</t>
  </si>
  <si>
    <t>2026-09-12T17:13:17.040Z</t>
  </si>
  <si>
    <t>https://luma.com/check-in/evt-uUhcE8jx1Pd49Fv?pk=q3HjZSJCXHbYMp1</t>
  </si>
  <si>
    <t>Mario Sosar</t>
  </si>
  <si>
    <t>Mario</t>
  </si>
  <si>
    <t>Sosar</t>
  </si>
  <si>
    <t>2026-09-12T17:08:22.258Z</t>
  </si>
  <si>
    <t>emzztk@gmail.com</t>
  </si>
  <si>
    <t>Del valle</t>
  </si>
  <si>
    <t>Leonardo Flavio Martinez Leon</t>
  </si>
  <si>
    <t>Leonardo Flavio</t>
  </si>
  <si>
    <t>Martinez Leon</t>
  </si>
  <si>
    <t>2026-09-12T17:00:08.571Z</t>
  </si>
  <si>
    <t xml:space="preserve">Ciudad alegre </t>
  </si>
  <si>
    <t>Miguel Flores</t>
  </si>
  <si>
    <t>Miguel</t>
  </si>
  <si>
    <t>2026-09-12T16:59:32.676Z</t>
  </si>
  <si>
    <t>Acoxpa</t>
  </si>
  <si>
    <t>marionpalma.ceramica@gmail.com</t>
  </si>
  <si>
    <t>gst-q59CluRyx8nWNMz</t>
  </si>
  <si>
    <t xml:space="preserve">San Pablo </t>
  </si>
  <si>
    <t>Karina Baltazar</t>
  </si>
  <si>
    <t>Karina</t>
  </si>
  <si>
    <t>Baltazar</t>
  </si>
  <si>
    <t>2026-09-12T16:59:50.246Z</t>
  </si>
  <si>
    <t>naomihddkk@gmail.com</t>
  </si>
  <si>
    <t>2026-09-12T17:32:51.390Z</t>
  </si>
  <si>
    <t>https://luma.com/check-in/evt-uUhcE8jx1Pd49Fv?pk=SnnnVzjwbIEiX2Y</t>
  </si>
  <si>
    <t>Ana Victoria Flores Valtazar</t>
  </si>
  <si>
    <t>Ana Victoria</t>
  </si>
  <si>
    <t>Flores Valtazar</t>
  </si>
  <si>
    <t>2026-09-12T16:58:35.645Z</t>
  </si>
  <si>
    <t>Alisson Natasha</t>
  </si>
  <si>
    <t>Alisson</t>
  </si>
  <si>
    <t>Natasha</t>
  </si>
  <si>
    <t>2026-09-12T16:55:44.724Z</t>
  </si>
  <si>
    <t>Villa Coapa</t>
  </si>
  <si>
    <t>Mariana Godinez</t>
  </si>
  <si>
    <t>Mariana</t>
  </si>
  <si>
    <t>Godinez</t>
  </si>
  <si>
    <t>2026-09-12T16:53:12.467Z</t>
  </si>
  <si>
    <t>gst-Hi5jOo3vuwjARdi</t>
  </si>
  <si>
    <t>veronicaydisj@gmail.com</t>
  </si>
  <si>
    <t>2026-09-12T17:32:03.755Z</t>
  </si>
  <si>
    <t>https://luma.com/check-in/evt-uUhcE8jx1Pd49Fv?pk=Zmz0e7eDEPVoNBm</t>
  </si>
  <si>
    <t>Vitor Sequiera</t>
  </si>
  <si>
    <t>Vitor</t>
  </si>
  <si>
    <t>Sequiera</t>
  </si>
  <si>
    <t>2026-09-12T16:50:14.718Z</t>
  </si>
  <si>
    <t>violetagatica@yahoo.com.mx</t>
  </si>
  <si>
    <t xml:space="preserve">Independencia </t>
  </si>
  <si>
    <t>Maite Sequeira</t>
  </si>
  <si>
    <t>Maite</t>
  </si>
  <si>
    <t>Sequeira</t>
  </si>
  <si>
    <t>2026-09-12T16:52:37.367Z</t>
  </si>
  <si>
    <t>gst-BZJDhjS0AbBZNN5</t>
  </si>
  <si>
    <t>Marion Palma Sequiera</t>
  </si>
  <si>
    <t>Marion</t>
  </si>
  <si>
    <t>crow.rocha7@gmail.com</t>
  </si>
  <si>
    <t>Palma Sequiera</t>
  </si>
  <si>
    <t>2026-09-12T17:16:29.320Z</t>
  </si>
  <si>
    <t>2026-09-12T16:50:01.423Z</t>
  </si>
  <si>
    <t>Instagram</t>
  </si>
  <si>
    <t>https://luma.com/check-in/evt-uUhcE8jx1Pd49Fv?pk=FOsQiuiVdHdX7vb</t>
  </si>
  <si>
    <t>Maria Jose Uribe Rodriguez</t>
  </si>
  <si>
    <t>Maria Jose</t>
  </si>
  <si>
    <t>Uribe Rodriguez</t>
  </si>
  <si>
    <t>2026-09-12T16:49:23.793Z</t>
  </si>
  <si>
    <t>Tlalpan</t>
  </si>
  <si>
    <t>Maria De La paz Labra</t>
  </si>
  <si>
    <t>Maria</t>
  </si>
  <si>
    <t>De La Paz Labra</t>
  </si>
  <si>
    <t>2026-09-12T16:43:29.561Z</t>
  </si>
  <si>
    <t>gst-XQmusjLELZGRSzA</t>
  </si>
  <si>
    <t>Ingrid Yanet Elvir</t>
  </si>
  <si>
    <t>Ingrid</t>
  </si>
  <si>
    <t>omarelly0@gmail.com</t>
  </si>
  <si>
    <t>Yanet Elvir</t>
  </si>
  <si>
    <t>2026-09-12T17:16:26.371Z</t>
  </si>
  <si>
    <t>2026-09-12T16:42:06.681Z</t>
  </si>
  <si>
    <t>https://luma.com/check-in/evt-uUhcE8jx1Pd49Fv?pk=OkgX78C0RLN2rrZ</t>
  </si>
  <si>
    <t>Ixtapaluca</t>
  </si>
  <si>
    <t>Blnaca Bazan</t>
  </si>
  <si>
    <t>Blanca</t>
  </si>
  <si>
    <t>Bazan</t>
  </si>
  <si>
    <t>2026-09-12T16:41:56.129Z</t>
  </si>
  <si>
    <t>La Noria</t>
  </si>
  <si>
    <t>Gisselle Rodriguez</t>
  </si>
  <si>
    <t>Gisselle</t>
  </si>
  <si>
    <t>Rodriguez</t>
  </si>
  <si>
    <t>2026-09-12T16:39:56.041Z</t>
  </si>
  <si>
    <t>Dante Sequeira</t>
  </si>
  <si>
    <t>Dante</t>
  </si>
  <si>
    <t>gst-a2QK95prgqONmtG</t>
  </si>
  <si>
    <t>2026-09-12T16:46:29.474Z</t>
  </si>
  <si>
    <t>gere152010@gmail.com</t>
  </si>
  <si>
    <t>2026-09-12T17:15:43.604Z</t>
  </si>
  <si>
    <t>https://luma.com/check-in/evt-uUhcE8jx1Pd49Fv?pk=HPm4nuMadEwBOfp</t>
  </si>
  <si>
    <t>Linette Melendez</t>
  </si>
  <si>
    <t>Linette</t>
  </si>
  <si>
    <t>Melendez</t>
  </si>
  <si>
    <t>2026-09-12T16:37:56.082Z</t>
  </si>
  <si>
    <t>Eva</t>
  </si>
  <si>
    <t>2026-09-12T17:20:22.979Z</t>
  </si>
  <si>
    <t xml:space="preserve">Chinampas </t>
  </si>
  <si>
    <t>Gael Sandoval Garcia</t>
  </si>
  <si>
    <t>Gael</t>
  </si>
  <si>
    <t>gst-UesvvuDud1Cxa70</t>
  </si>
  <si>
    <t>Sandoval Garcia</t>
  </si>
  <si>
    <t>2026-09-12T16:32:16.672Z</t>
  </si>
  <si>
    <t>unpasoadelanted@hotmail.com</t>
  </si>
  <si>
    <t>2026-09-12T17:13:01.855Z</t>
  </si>
  <si>
    <t>https://luma.com/check-in/evt-uUhcE8jx1Pd49Fv?pk=y2KqAUBAd9HC6Kh</t>
  </si>
  <si>
    <t xml:space="preserve">Hidalgo </t>
  </si>
  <si>
    <t>Yuliana Correo Uribe</t>
  </si>
  <si>
    <t>Yuliana</t>
  </si>
  <si>
    <t>Correo Uribe</t>
  </si>
  <si>
    <t>2026-09-12T16:42:31.310Z</t>
  </si>
  <si>
    <t>Violeta Gatica</t>
  </si>
  <si>
    <t>Violeta</t>
  </si>
  <si>
    <t>Gatica</t>
  </si>
  <si>
    <t>2026-09-12T16:08:36.412Z</t>
  </si>
  <si>
    <t xml:space="preserve">Cuicuilco </t>
  </si>
  <si>
    <t>gst-zv1Vb3XU1GJ87ls</t>
  </si>
  <si>
    <t>Marissa Juan Lazcano</t>
  </si>
  <si>
    <t>Marissa</t>
  </si>
  <si>
    <t>Juan Lazcano</t>
  </si>
  <si>
    <t>2026-09-12T17:08:02.997Z</t>
  </si>
  <si>
    <t>2026-09-12T17:03:31.653Z</t>
  </si>
  <si>
    <t>https://luma.com/check-in/evt-uUhcE8jx1Pd49Fv?pk=lAA57VgmElYM17d</t>
  </si>
  <si>
    <t>verofuertejuan@gmail.com</t>
  </si>
  <si>
    <t>Paola Sharo Uribe Labra</t>
  </si>
  <si>
    <t>Paola Sharo</t>
  </si>
  <si>
    <t>Uribe Labra</t>
  </si>
  <si>
    <t>2026-09-12T16:42:18.152Z</t>
  </si>
  <si>
    <t>Fer</t>
  </si>
  <si>
    <t>2026-09-12T15:59:25.037Z</t>
  </si>
  <si>
    <t>gst-isD92K0JWp95BCp</t>
  </si>
  <si>
    <t>Carlos Leonel Bustos López</t>
  </si>
  <si>
    <t>Carlos Leonel</t>
  </si>
  <si>
    <t>Bustos López</t>
  </si>
  <si>
    <t>leonardoleona@yahoo.com.mx</t>
  </si>
  <si>
    <t>2026-09-12T16:01:16.044Z</t>
  </si>
  <si>
    <t>2026-09-12T16:59:45.279Z</t>
  </si>
  <si>
    <t>https://luma.com/check-in/evt-uUhcE8jx1Pd49Fv?pk=5c0hVQFR03hxAfb</t>
  </si>
  <si>
    <t>Vicente Jorge Sequeira Palma</t>
  </si>
  <si>
    <t>Vicente</t>
  </si>
  <si>
    <t>Jorge Sequeira Palma</t>
  </si>
  <si>
    <t>2026-09-12T16:45:48.394Z</t>
  </si>
  <si>
    <t>Santiago Sequeira</t>
  </si>
  <si>
    <t>Santiago</t>
  </si>
  <si>
    <t>2026-09-12T16:46:36.035Z</t>
  </si>
  <si>
    <t>gst-lD0OIf4LtVcIimd</t>
  </si>
  <si>
    <t>2026-09-12T16:59:21.121Z</t>
  </si>
  <si>
    <t>Velkan Fuerte</t>
  </si>
  <si>
    <t>Velkan</t>
  </si>
  <si>
    <t>Fuerte</t>
  </si>
  <si>
    <t>https://luma.com/check-in/evt-uUhcE8jx1Pd49Fv?pk=WPrqDb35J31FwIv</t>
  </si>
  <si>
    <t>2026-09-12T17:03:35.861Z</t>
  </si>
  <si>
    <t>Felicitas Juárez Solis</t>
  </si>
  <si>
    <t>Felicitas</t>
  </si>
  <si>
    <t>Juárez Solis</t>
  </si>
  <si>
    <t>2026-09-12T16:59:50.395Z</t>
  </si>
  <si>
    <t>Bruno Yescas Godínez</t>
  </si>
  <si>
    <t>Bruno</t>
  </si>
  <si>
    <t>Yescas Godínez</t>
  </si>
  <si>
    <t>2026-09-12T16:51:53.344Z</t>
  </si>
  <si>
    <t>gst-74jhNFSpVrqasSC</t>
  </si>
  <si>
    <t>karybaltazar3@gmail.com</t>
  </si>
  <si>
    <t>2026-09-12T16:59:16.885Z</t>
  </si>
  <si>
    <t xml:space="preserve">Acoxpan </t>
  </si>
  <si>
    <t>Rafaella Sequeira</t>
  </si>
  <si>
    <t>https://luma.com/check-in/evt-uUhcE8jx1Pd49Fv?pk=ys8NW4Du8lcxdZH</t>
  </si>
  <si>
    <t>Rafaella</t>
  </si>
  <si>
    <t>2026-09-12T16:46:49.697Z</t>
  </si>
  <si>
    <t>Ar Flores</t>
  </si>
  <si>
    <t>Ar</t>
  </si>
  <si>
    <t>Areira</t>
  </si>
  <si>
    <t>2026-09-12T17:11:47.798Z</t>
  </si>
  <si>
    <t>Rama San pablo</t>
  </si>
  <si>
    <t>gst-rGSDNRsOnwm8HyY</t>
  </si>
  <si>
    <t>Vivian Lopez</t>
  </si>
  <si>
    <t>Vivian</t>
  </si>
  <si>
    <t>anacivtir@gmail.com</t>
  </si>
  <si>
    <t>Lopez</t>
  </si>
  <si>
    <t>2026-09-12T16:58:10.692Z</t>
  </si>
  <si>
    <t>2026-09-12T17:16:39.005Z</t>
  </si>
  <si>
    <t>https://luma.com/check-in/evt-uUhcE8jx1Pd49Fv?pk=nVMTvMeoQQn3EEN</t>
  </si>
  <si>
    <t>Leslie Giselle Zoe Medina Piña</t>
  </si>
  <si>
    <t>Leslie</t>
  </si>
  <si>
    <t>Giselle Zoe Medina Piña</t>
  </si>
  <si>
    <t>2026-09-12T17:10:45.575Z</t>
  </si>
  <si>
    <t>Montoya Segura Eva Alondra</t>
  </si>
  <si>
    <t>Eva Alondra</t>
  </si>
  <si>
    <t>Montoya Segura</t>
  </si>
  <si>
    <t>Nefi Castellanos Rivera</t>
  </si>
  <si>
    <t>Nefi</t>
  </si>
  <si>
    <t>Castellanos Rivera</t>
  </si>
  <si>
    <t>2026-09-12T17:00:04.720Z</t>
  </si>
  <si>
    <t>Ariel Uribe Labra</t>
  </si>
  <si>
    <t>Ariel</t>
  </si>
  <si>
    <t>2026-09-12T16:41:18.441Z</t>
  </si>
  <si>
    <t>San pablo</t>
  </si>
  <si>
    <t>Alison</t>
  </si>
  <si>
    <t>gst-Jm34rYoqCffCL1C</t>
  </si>
  <si>
    <t>alissomz@gmail.com</t>
  </si>
  <si>
    <t>Cuicuilco</t>
  </si>
  <si>
    <t>2026-09-12T16:54:23.184Z</t>
  </si>
  <si>
    <t>Nadia</t>
  </si>
  <si>
    <t>https://luma.com/check-in/evt-uUhcE8jx1Pd49Fv?pk=qPgXqm5mLTthDfd</t>
  </si>
  <si>
    <t>sanazu_0511@hotmail.com</t>
  </si>
  <si>
    <t>David Atl Montero Sierra</t>
  </si>
  <si>
    <t>David</t>
  </si>
  <si>
    <t>Atl Montero Sierra</t>
  </si>
  <si>
    <t>2026-09-12T16:42:38.222Z</t>
  </si>
  <si>
    <t xml:space="preserve">Aragón </t>
  </si>
  <si>
    <t>Luz Elena Ortíz Urzúa</t>
  </si>
  <si>
    <t>Luz Elena</t>
  </si>
  <si>
    <t>Ortíz Urzúa</t>
  </si>
  <si>
    <t>gst-6zdlKn233NzRiLz</t>
  </si>
  <si>
    <t>marianagh-7@gmail.com</t>
  </si>
  <si>
    <t>2026-09-12T16:52:10.307Z</t>
  </si>
  <si>
    <t>https://luma.com/check-in/evt-uUhcE8jx1Pd49Fv?pk=xJWCFHszSP4FSt7</t>
  </si>
  <si>
    <t>Vanessa Ortíz Urzúa</t>
  </si>
  <si>
    <t>Vanessa</t>
  </si>
  <si>
    <t>Luis Madrigal</t>
  </si>
  <si>
    <t>Luis</t>
  </si>
  <si>
    <t>Madrigal</t>
  </si>
  <si>
    <t>gst-GYlzXG2ZhJY0O3A</t>
  </si>
  <si>
    <t>2026-09-12T17:25:25.406Z</t>
  </si>
  <si>
    <t>marionpalma.ceramic@gmail.com</t>
  </si>
  <si>
    <t>2026-09-12T16:49:42.257Z</t>
  </si>
  <si>
    <t>Xochimilco</t>
  </si>
  <si>
    <t>https://luma.com/check-in/evt-uUhcE8jx1Pd49Fv?pk=ix0oMaOLoqSpx3k</t>
  </si>
  <si>
    <t>Laura Madrigal</t>
  </si>
  <si>
    <t>Laura</t>
  </si>
  <si>
    <t>2026-09-12T17:25:18.256Z</t>
  </si>
  <si>
    <t>Isabella Regina Vázquez Aburto</t>
  </si>
  <si>
    <t>Isabella Regina</t>
  </si>
  <si>
    <t>Vázquez Aburto</t>
  </si>
  <si>
    <t>Ivonne Garcia</t>
  </si>
  <si>
    <t>gst-nUfKQFRaxTusjHJ</t>
  </si>
  <si>
    <t>Ivonne</t>
  </si>
  <si>
    <t>Garcia</t>
  </si>
  <si>
    <t>maite.sequeira.p@gmail.com</t>
  </si>
  <si>
    <t>2026-09-12T16:30:21.841Z</t>
  </si>
  <si>
    <t>2026-09-12T16:49:37.855Z</t>
  </si>
  <si>
    <t>https://luma.com/check-in/evt-uUhcE8jx1Pd49Fv?pk=KgvgaGceNCCJawY</t>
  </si>
  <si>
    <t>Scarlett Ley</t>
  </si>
  <si>
    <t>Scarlett</t>
  </si>
  <si>
    <t>Ley</t>
  </si>
  <si>
    <t>2026-09-12T15:58:58.396Z</t>
  </si>
  <si>
    <t>Frida Sofía Ramírez Sánchez</t>
  </si>
  <si>
    <t>Frida Sofía</t>
  </si>
  <si>
    <t>Ramírez Sánchez</t>
  </si>
  <si>
    <t>2026-09-12T16:44:39.603Z</t>
  </si>
  <si>
    <t>Independencia</t>
  </si>
  <si>
    <t>gst-2drQtHY8u754lNs</t>
  </si>
  <si>
    <t>Emma Jocelyn Ramirez Sánchez</t>
  </si>
  <si>
    <t>Emma Jocelyn</t>
  </si>
  <si>
    <t>Ramirez Sánchez</t>
  </si>
  <si>
    <t>2026-09-12T16:48:51.694Z</t>
  </si>
  <si>
    <t>2026-09-12T16:44:48.018Z</t>
  </si>
  <si>
    <t>https://luma.com/check-in/evt-uUhcE8jx1Pd49Fv?pk=5vzP6RVwlWH2X1t</t>
  </si>
  <si>
    <t>LAURA E.MADRIGAL RAMIREZ</t>
  </si>
  <si>
    <t>Madrigal Ramirez</t>
  </si>
  <si>
    <t xml:space="preserve">Xochimilco </t>
  </si>
  <si>
    <t>Frida María Vázquez Alva</t>
  </si>
  <si>
    <t>Frida María</t>
  </si>
  <si>
    <t>Vázquez Alva</t>
  </si>
  <si>
    <t>gst-T5nz7BqeXs4WHA2</t>
  </si>
  <si>
    <t>Irving Tejeda Deciderio</t>
  </si>
  <si>
    <t>Irving</t>
  </si>
  <si>
    <t>meryfere1@gmail.com</t>
  </si>
  <si>
    <t>Tejeda Deciderio</t>
  </si>
  <si>
    <t>2026-09-12T16:48:24.151Z</t>
  </si>
  <si>
    <t>https://luma.com/check-in/evt-uUhcE8jx1Pd49Fv?pk=305ojMFFzX6lch6</t>
  </si>
  <si>
    <t>Efraín</t>
  </si>
  <si>
    <t>2026-09-12T16:55:55.525Z</t>
  </si>
  <si>
    <t>Santos Joel Miranda Figueroa</t>
  </si>
  <si>
    <t>Santos</t>
  </si>
  <si>
    <t>Joel Miranda Figueroa</t>
  </si>
  <si>
    <t>Métrica de Negocio</t>
  </si>
  <si>
    <t>Avril Arizmendi</t>
  </si>
  <si>
    <t>Resultado</t>
  </si>
  <si>
    <t>Avril</t>
  </si>
  <si>
    <t>Arizmendi</t>
  </si>
  <si>
    <t>Total de Registros Recibidos</t>
  </si>
  <si>
    <t xml:space="preserve">chinampas </t>
  </si>
  <si>
    <t>Brandon Vega Castillo</t>
  </si>
  <si>
    <t>Brandon</t>
  </si>
  <si>
    <t>Vega Castillo</t>
  </si>
  <si>
    <t>Andrea Loezzy Morales Rosales</t>
  </si>
  <si>
    <t>Andrea</t>
  </si>
  <si>
    <t>Loezzy Morales Rosales</t>
  </si>
  <si>
    <t>Ernesto Castellanos Juarez</t>
  </si>
  <si>
    <t>Ernesto</t>
  </si>
  <si>
    <t>Castellanos Juarez</t>
  </si>
  <si>
    <t>2026-09-12T17:00:14.197Z</t>
  </si>
  <si>
    <t>Tlapan</t>
  </si>
  <si>
    <t>gst-NwOTzPGBA1LeETP</t>
  </si>
  <si>
    <t>marypazlabra@gmail.com</t>
  </si>
  <si>
    <t>2026-09-12T16:42:54.771Z</t>
  </si>
  <si>
    <t>https://luma.com/check-in/evt-uUhcE8jx1Pd49Fv?pk=uTeegCM4ICHXsdA</t>
  </si>
  <si>
    <t>Daniel Soriano Mireles</t>
  </si>
  <si>
    <t>Daniel</t>
  </si>
  <si>
    <t>Total Registros Aprobados</t>
  </si>
  <si>
    <t>Soriano Mireles</t>
  </si>
  <si>
    <t>Jardines</t>
  </si>
  <si>
    <t>gst-Hro0oXNk0qEvNWF</t>
  </si>
  <si>
    <t>Rubén Soriano Mireles</t>
  </si>
  <si>
    <t>Rubén</t>
  </si>
  <si>
    <t>elviryanet@gmail.com</t>
  </si>
  <si>
    <t>2026-09-12T16:41:02.769Z</t>
  </si>
  <si>
    <t>2026-09-12T17:06:56.922Z</t>
  </si>
  <si>
    <t>https://luma.com/check-in/evt-uUhcE8jx1Pd49Fv?pk=5aV8UIHi8xqHxqs</t>
  </si>
  <si>
    <t>Total Asistentes Reales</t>
  </si>
  <si>
    <t>Aarón San Juan Medina</t>
  </si>
  <si>
    <t>Aarón</t>
  </si>
  <si>
    <t>San Juan Medina</t>
  </si>
  <si>
    <t>2026-09-12T17:06:45.088Z</t>
  </si>
  <si>
    <t>Miriam Mireles Rebollo</t>
  </si>
  <si>
    <t>Miriam</t>
  </si>
  <si>
    <t>Mireles Rebollo</t>
  </si>
  <si>
    <t>2026-09-12T17:06:41.346Z</t>
  </si>
  <si>
    <t>gst-X4evmPJYGXappad</t>
  </si>
  <si>
    <t>blanca.bazan.love@gmail.com</t>
  </si>
  <si>
    <t>Total Ausentes (No Asistieron)</t>
  </si>
  <si>
    <t>2026-09-12T16:40:08.989Z</t>
  </si>
  <si>
    <t>Valeria Pérez Galván</t>
  </si>
  <si>
    <t>Valeria</t>
  </si>
  <si>
    <t>Pérez Galván</t>
  </si>
  <si>
    <t>https://luma.com/check-in/evt-uUhcE8jx1Pd49Fv?pk=QGvhxo9schYK9VC</t>
  </si>
  <si>
    <t xml:space="preserve">Bosque de tlalpan </t>
  </si>
  <si>
    <t>Elma MIRELES REBOLLO</t>
  </si>
  <si>
    <t>Elma</t>
  </si>
  <si>
    <t>Tasa de Asistencia (Show-up Rate)</t>
  </si>
  <si>
    <t xml:space="preserve">Querétaro </t>
  </si>
  <si>
    <t>SERGIO VAZQUEZ ESTRADA</t>
  </si>
  <si>
    <t>Sergio</t>
  </si>
  <si>
    <t>Vazquez Estrada</t>
  </si>
  <si>
    <t>Alexander Valdemar Rosas Vázquez</t>
  </si>
  <si>
    <t>Alexander</t>
  </si>
  <si>
    <t>Valdemar Rosas Vázquez</t>
  </si>
  <si>
    <t>2026-09-12T16:44:02.538Z</t>
  </si>
  <si>
    <t>gst-RfqurjZ1kOpEUaY</t>
  </si>
  <si>
    <t>Narvarte</t>
  </si>
  <si>
    <t>gissellermarin@gmail.com</t>
  </si>
  <si>
    <t>2026-09-12T16:39:23.583Z</t>
  </si>
  <si>
    <t>Mia Luana Diaz Monroy</t>
  </si>
  <si>
    <t>Mia</t>
  </si>
  <si>
    <t>Luana Diaz Monroy</t>
  </si>
  <si>
    <t>https://luma.com/check-in/evt-uUhcE8jx1Pd49Fv?pk=JPat68NnIaM8aDW</t>
  </si>
  <si>
    <t>Roberto Muñoz Liberato</t>
  </si>
  <si>
    <t>Roberto</t>
  </si>
  <si>
    <t>Muñoz Liberato</t>
  </si>
  <si>
    <t>Rosal</t>
  </si>
  <si>
    <t>Roberto Lehi Muñoz Hernandez</t>
  </si>
  <si>
    <t>Lehi Muñoz Hernandez</t>
  </si>
  <si>
    <t>gst-55EtPKr9XQyAYKA</t>
  </si>
  <si>
    <t>dante.sequeira.p@gmail.com</t>
  </si>
  <si>
    <t>2026-09-12T16:37:37.956Z</t>
  </si>
  <si>
    <t>Geraldine</t>
  </si>
  <si>
    <t>https://luma.com/check-in/evt-uUhcE8jx1Pd49Fv?pk=n9QFuHCc7ODtJCW</t>
  </si>
  <si>
    <t xml:space="preserve">Villa Coapa </t>
  </si>
  <si>
    <t>Azul</t>
  </si>
  <si>
    <t>Kyana Paola Uribe Rodríguez</t>
  </si>
  <si>
    <t>Kyana Paola</t>
  </si>
  <si>
    <t>Uribe Rodríguez</t>
  </si>
  <si>
    <t>2026-09-12T16:44:21.259Z</t>
  </si>
  <si>
    <t xml:space="preserve">Barrio Independencia </t>
  </si>
  <si>
    <t>gst-C4lz0Kz6WFkKkC9</t>
  </si>
  <si>
    <t>linettemf28@gmail.com</t>
  </si>
  <si>
    <t>2026-09-12T16:37:10.291Z</t>
  </si>
  <si>
    <t>María Fernanda Rodríguez Ramos</t>
  </si>
  <si>
    <t>https://luma.com/check-in/evt-uUhcE8jx1Pd49Fv?pk=elkO8UxYcv4OK4h</t>
  </si>
  <si>
    <t>María</t>
  </si>
  <si>
    <t>Fernanda Rodríguez Ramos</t>
  </si>
  <si>
    <t>2026-09-12T16:41:00.387Z</t>
  </si>
  <si>
    <t>Ma Del Rosario Cruz Rebollán</t>
  </si>
  <si>
    <t>Ma Del Rosario</t>
  </si>
  <si>
    <t>Cruz Rebollán</t>
  </si>
  <si>
    <t>San Pedro Mártir 2</t>
  </si>
  <si>
    <t>Vania Melissa Arias</t>
  </si>
  <si>
    <t>Vania</t>
  </si>
  <si>
    <t>Melissa Arias</t>
  </si>
  <si>
    <t>gst-CjfmHRfDPufEbEW</t>
  </si>
  <si>
    <t>2026-09-12T17:16:18.096Z</t>
  </si>
  <si>
    <t>evaa.monsescuela03@gmail.com</t>
  </si>
  <si>
    <t>2026-09-12T16:31:30.068Z</t>
  </si>
  <si>
    <t>https://luma.com/check-in/evt-uUhcE8jx1Pd49Fv?pk=bpQ6ks2DUXj9CZl</t>
  </si>
  <si>
    <t>Daniel Misael Arias Pedro</t>
  </si>
  <si>
    <t>Misael Arias Pedro</t>
  </si>
  <si>
    <t>2026-09-12T17:15:42.048Z</t>
  </si>
  <si>
    <t>Edith Ruiz</t>
  </si>
  <si>
    <t>Edith</t>
  </si>
  <si>
    <t>Ruiz</t>
  </si>
  <si>
    <t>2026-09-12T17:16:14.896Z</t>
  </si>
  <si>
    <t>Martha Hilda Haro Delgado</t>
  </si>
  <si>
    <t>Martha</t>
  </si>
  <si>
    <t>gst-OnLR0OxJxDPG23I</t>
  </si>
  <si>
    <t>Haro Delgado</t>
  </si>
  <si>
    <t>sandovalgael44@gmail.com</t>
  </si>
  <si>
    <t>2026-09-12T16:31:19.678Z</t>
  </si>
  <si>
    <t xml:space="preserve">Cedral </t>
  </si>
  <si>
    <t>https://luma.com/check-in/evt-uUhcE8jx1Pd49Fv?pk=R5X0HFsFxA3g57z</t>
  </si>
  <si>
    <t>Paul Garcia Garduño</t>
  </si>
  <si>
    <t>Paul</t>
  </si>
  <si>
    <t>Garcia Garduño</t>
  </si>
  <si>
    <t>San Pedro Mártir 1</t>
  </si>
  <si>
    <t>Ana Vergara</t>
  </si>
  <si>
    <t>Ana</t>
  </si>
  <si>
    <t>Vergara</t>
  </si>
  <si>
    <t>Any Alvarez</t>
  </si>
  <si>
    <t>Any</t>
  </si>
  <si>
    <t>Alvarez</t>
  </si>
  <si>
    <t xml:space="preserve">Rosal </t>
  </si>
  <si>
    <t>Zahida Monserrat</t>
  </si>
  <si>
    <t>Zahida</t>
  </si>
  <si>
    <t>Monserrat</t>
  </si>
  <si>
    <t>2026-09-12T16:52:27.704Z</t>
  </si>
  <si>
    <t>gst-ws5pJ9jjG6CUWmY</t>
  </si>
  <si>
    <t>yulianacorreouribe@gmail.com</t>
  </si>
  <si>
    <t>2026-09-12T16:15:30.721Z</t>
  </si>
  <si>
    <t>https://luma.com/check-in/evt-uUhcE8jx1Pd49Fv?pk=UHMNM93zmcgV08I</t>
  </si>
  <si>
    <t>Nataly Gonzalez</t>
  </si>
  <si>
    <t>Nataly</t>
  </si>
  <si>
    <t>Gonzalez</t>
  </si>
  <si>
    <t>Lorelaine Juarez Espinosa</t>
  </si>
  <si>
    <t>Lorelaine</t>
  </si>
  <si>
    <t>Juarez Espinosa</t>
  </si>
  <si>
    <t>MELANIE JUAREZ ESPINOSA</t>
  </si>
  <si>
    <t>Melanie</t>
  </si>
  <si>
    <t>gst-jczXwGLKaeF6EXH</t>
  </si>
  <si>
    <t>Gabriela Peralta Aldave</t>
  </si>
  <si>
    <t>Gabriela</t>
  </si>
  <si>
    <t>Peralta Aldave</t>
  </si>
  <si>
    <t xml:space="preserve">Bosque de Tlalpan </t>
  </si>
  <si>
    <t>Jair Hernandez</t>
  </si>
  <si>
    <t>Jair</t>
  </si>
  <si>
    <t>Hernandez</t>
  </si>
  <si>
    <t>2026-09-12T16:44:30.578Z</t>
  </si>
  <si>
    <t>Sara Nuñez</t>
  </si>
  <si>
    <t>Sara</t>
  </si>
  <si>
    <t>Nuñez</t>
  </si>
  <si>
    <t>COUNTA de Estatus Asistencia</t>
  </si>
  <si>
    <t>Milpa Alta</t>
  </si>
  <si>
    <t>Lisel</t>
  </si>
  <si>
    <t>2026-09-12T16:07:43.317Z</t>
  </si>
  <si>
    <t>Asistió</t>
  </si>
  <si>
    <t xml:space="preserve">Picacho </t>
  </si>
  <si>
    <t>No Asistió</t>
  </si>
  <si>
    <t>Dani Raquel</t>
  </si>
  <si>
    <t>Suma total</t>
  </si>
  <si>
    <t>Dani</t>
  </si>
  <si>
    <t>Raquel</t>
  </si>
  <si>
    <t>https://luma.com/check-in/evt-uUhcE8jx1Pd49Fv?pk=CbVWPbNqPEoQGzj</t>
  </si>
  <si>
    <t>Idali González</t>
  </si>
  <si>
    <t>Idali</t>
  </si>
  <si>
    <t>González</t>
  </si>
  <si>
    <t>Héctor Raúl Nolasco Carmona</t>
  </si>
  <si>
    <t>Héctor</t>
  </si>
  <si>
    <t>Raúl Nolasco Carmona</t>
  </si>
  <si>
    <t>YOANA DUARTE NUÑEZ</t>
  </si>
  <si>
    <t>Yoana</t>
  </si>
  <si>
    <t>Duarte Nuñez</t>
  </si>
  <si>
    <t>San Pablo</t>
  </si>
  <si>
    <t>gst-re27MWwGXcLzEtc</t>
  </si>
  <si>
    <t>Irasema</t>
  </si>
  <si>
    <t>Kya</t>
  </si>
  <si>
    <t>marjuanl@hotmail.com</t>
  </si>
  <si>
    <t>2026-09-12T15:36:15.784Z</t>
  </si>
  <si>
    <t>Leslie Samanta Lira Becerra</t>
  </si>
  <si>
    <t>https://luma.com/check-in/evt-uUhcE8jx1Pd49Fv?pk=QBnlhjB17Zzt8nM</t>
  </si>
  <si>
    <t>Samanta Lira Becerra</t>
  </si>
  <si>
    <t>2026-09-12T16:44:26.675Z</t>
  </si>
  <si>
    <t>Hidalgo</t>
  </si>
  <si>
    <t>Camila Mila</t>
  </si>
  <si>
    <t>Camila</t>
  </si>
  <si>
    <t>Mila</t>
  </si>
  <si>
    <t>Chinampas</t>
  </si>
  <si>
    <t>2026-09-12T16:45:41.465Z</t>
  </si>
  <si>
    <t>Celia</t>
  </si>
  <si>
    <t>2026-09-12T16:45:19.759Z</t>
  </si>
  <si>
    <t>gst-Pt3yfaqt33HBJsx</t>
  </si>
  <si>
    <t>annia</t>
  </si>
  <si>
    <t>Annia</t>
  </si>
  <si>
    <t>Querétaro</t>
  </si>
  <si>
    <t>sharopaol@gmail.com</t>
  </si>
  <si>
    <t>Picacho</t>
  </si>
  <si>
    <t>2026-09-12T15:30:19.738Z</t>
  </si>
  <si>
    <t>Bosque De Tlalpan</t>
  </si>
  <si>
    <t>Edgar Eduardo Torres Morales</t>
  </si>
  <si>
    <t>Edgar Eduardo</t>
  </si>
  <si>
    <t>https://luma.com/check-in/evt-uUhcE8jx1Pd49Fv?pk=rdfJ3zDISTKu85H</t>
  </si>
  <si>
    <t>Torres Morales</t>
  </si>
  <si>
    <t>Del Valle</t>
  </si>
  <si>
    <t>Melissa Velasquez Carbajal</t>
  </si>
  <si>
    <t>Ciudad Alegre</t>
  </si>
  <si>
    <t>Melissa</t>
  </si>
  <si>
    <t>Velasquez Carbajal</t>
  </si>
  <si>
    <t>Aragón</t>
  </si>
  <si>
    <t>Mayte</t>
  </si>
  <si>
    <t xml:space="preserve">Tlalpan </t>
  </si>
  <si>
    <t>gst-D1C9hqe1bkc7dD1</t>
  </si>
  <si>
    <t>fernandabustoslopez@gmail.com</t>
  </si>
  <si>
    <t>2026-09-12T15:19:28.384Z</t>
  </si>
  <si>
    <t>https://luma.com/check-in/evt-uUhcE8jx1Pd49Fv?pk=R7zoFf62Z3iDtD5</t>
  </si>
  <si>
    <t>Daniela Bustos</t>
  </si>
  <si>
    <t>Daniela</t>
  </si>
  <si>
    <t>Bustos</t>
  </si>
  <si>
    <t>2026-09-12T16:01:25.141Z</t>
  </si>
  <si>
    <t>Leonel Bustos</t>
  </si>
  <si>
    <t>Leonel</t>
  </si>
  <si>
    <t>Jarom Dominguez</t>
  </si>
  <si>
    <t>Jarom</t>
  </si>
  <si>
    <t>gst-Mbqzi053WuKtvG5</t>
  </si>
  <si>
    <t>2026-09-12T16:29:46.768Z</t>
  </si>
  <si>
    <t>carlosleonelbustoslopez@gmail.com</t>
  </si>
  <si>
    <t>2026-09-12T15:18:39.295Z</t>
  </si>
  <si>
    <t>https://luma.com/check-in/evt-uUhcE8jx1Pd49Fv?pk=TSF2OIi7bBcXxEd</t>
  </si>
  <si>
    <t>Antonio Castellanos</t>
  </si>
  <si>
    <t>Antonio</t>
  </si>
  <si>
    <t>Castellanos</t>
  </si>
  <si>
    <t>yenissei.eaa@gmail.com</t>
  </si>
  <si>
    <t>Yenissei Jiménez Domínguez</t>
  </si>
  <si>
    <t>Yenissei</t>
  </si>
  <si>
    <t>Jiménez Domínguez</t>
  </si>
  <si>
    <t>Ishainna Castellanos Jimenez</t>
  </si>
  <si>
    <t>Ishainna</t>
  </si>
  <si>
    <t>Castellanos Jimenez</t>
  </si>
  <si>
    <t>gst-DsDyqMMyKfTwT9X</t>
  </si>
  <si>
    <t>vicente.sequeira.p@gmail.com</t>
  </si>
  <si>
    <t>2026-09-12T15:10:39.797Z</t>
  </si>
  <si>
    <t>https://luma.com/check-in/evt-uUhcE8jx1Pd49Fv?pk=PAFBR6EuaNoLonU</t>
  </si>
  <si>
    <t>Dulcel Garcia</t>
  </si>
  <si>
    <t>Dulcel</t>
  </si>
  <si>
    <t>Lia Yekaterina Tello Pacheco</t>
  </si>
  <si>
    <t>Lia Yekaterina</t>
  </si>
  <si>
    <t>Tello Pacheco</t>
  </si>
  <si>
    <t>2026-09-12T16:52:17.470Z</t>
  </si>
  <si>
    <t>Barrio independencia</t>
  </si>
  <si>
    <t>gst-nl0ef0AziSfPSXT</t>
  </si>
  <si>
    <t>David Felix</t>
  </si>
  <si>
    <t>Felix</t>
  </si>
  <si>
    <t>santiago.sequeira.p@gmail.com</t>
  </si>
  <si>
    <t>2026-09-12T15:09:36.191Z</t>
  </si>
  <si>
    <t>https://luma.com/check-in/evt-uUhcE8jx1Pd49Fv?pk=4NJEHUvzoGuJ8nc</t>
  </si>
  <si>
    <t>Vanessa Bustos</t>
  </si>
  <si>
    <t>2026-09-12T15:59:13.516Z</t>
  </si>
  <si>
    <t>Noemi Melendez</t>
  </si>
  <si>
    <t>Noemi</t>
  </si>
  <si>
    <t>Cabrera Ortega Raúl</t>
  </si>
  <si>
    <t>gst-z3sy96kacMLnZ9j</t>
  </si>
  <si>
    <t>Raúl</t>
  </si>
  <si>
    <t>Cabrera Ortega</t>
  </si>
  <si>
    <t>2026-09-12T15:08:27.120Z</t>
  </si>
  <si>
    <t>https://luma.com/check-in/evt-uUhcE8jx1Pd49Fv?pk=dHthoz3nwT1njrZ</t>
  </si>
  <si>
    <t>AZTECA</t>
  </si>
  <si>
    <t>Bárbara Waleska Tello Tello</t>
  </si>
  <si>
    <t>Bárbara Waleska</t>
  </si>
  <si>
    <t>Tello Tello</t>
  </si>
  <si>
    <t>María Fernanda Alvarado Jiménez</t>
  </si>
  <si>
    <t>María Fernanda</t>
  </si>
  <si>
    <t>Alvarado Jiménez</t>
  </si>
  <si>
    <t>jaqui_usagi@hotmail.com</t>
  </si>
  <si>
    <t>gst-qbUANAOYI2ojeVD</t>
  </si>
  <si>
    <t>Marisela García</t>
  </si>
  <si>
    <t>Marisela</t>
  </si>
  <si>
    <t>García</t>
  </si>
  <si>
    <t>jfelicitas269@gmail.com</t>
  </si>
  <si>
    <t>2026-09-12T14:39:28.461Z</t>
  </si>
  <si>
    <t>2026-09-12T16:55:17.483Z</t>
  </si>
  <si>
    <t>https://luma.com/check-in/evt-uUhcE8jx1Pd49Fv?pk=sDNUUnfbAAG1aSx</t>
  </si>
  <si>
    <t>oscar flores</t>
  </si>
  <si>
    <t>Oscar</t>
  </si>
  <si>
    <t>2026-09-12T16:55:15.055Z</t>
  </si>
  <si>
    <t>Sugeit Arizmendi Morales</t>
  </si>
  <si>
    <t>Sugeit</t>
  </si>
  <si>
    <t>Arizmendi Morales</t>
  </si>
  <si>
    <t>gst-SefCR3Zl5EetOjF</t>
  </si>
  <si>
    <t>Ana sofia Alvarado</t>
  </si>
  <si>
    <t>Ana Sofia</t>
  </si>
  <si>
    <t>Alvarado</t>
  </si>
  <si>
    <t>marianagh7@gmail.com</t>
  </si>
  <si>
    <t>2026-09-12T13:52:45.347Z</t>
  </si>
  <si>
    <t>https://luma.com/check-in/evt-uUhcE8jx1Pd49Fv?pk=CYYHO0M5i85MBQX</t>
  </si>
  <si>
    <t>Braulio Betancourt</t>
  </si>
  <si>
    <t>Braulio</t>
  </si>
  <si>
    <t>Betancourt</t>
  </si>
  <si>
    <t>2026-09-12T16:05:08.131Z</t>
  </si>
  <si>
    <t>Iris Frausto</t>
  </si>
  <si>
    <t>Iris</t>
  </si>
  <si>
    <t>Frausto</t>
  </si>
  <si>
    <t>2026-09-12T16:04:04.336Z</t>
  </si>
  <si>
    <t xml:space="preserve">Azteca </t>
  </si>
  <si>
    <t>Jaqueline Jiménez Nápoles</t>
  </si>
  <si>
    <t>Jaqueline</t>
  </si>
  <si>
    <t>gst-fkBKqvufnWPvFWO</t>
  </si>
  <si>
    <t>Jiménez Nápoles</t>
  </si>
  <si>
    <t>rafaella.sequeira.p@gmail.com</t>
  </si>
  <si>
    <t>2026-09-12T13:14:19.769Z</t>
  </si>
  <si>
    <t>Thomas Ilikei Colin González</t>
  </si>
  <si>
    <t>https://luma.com/check-in/evt-uUhcE8jx1Pd49Fv?pk=keQlwlhqHbmsnWd</t>
  </si>
  <si>
    <t>Thomas</t>
  </si>
  <si>
    <t>Ilikei Colin González</t>
  </si>
  <si>
    <t>Erika Ricca Aires</t>
  </si>
  <si>
    <t>Erika</t>
  </si>
  <si>
    <t>Ricca Aires</t>
  </si>
  <si>
    <t>Jared Domínguez</t>
  </si>
  <si>
    <t>Jared</t>
  </si>
  <si>
    <t>Domínguez</t>
  </si>
  <si>
    <t>2026-09-12T16:45:40.754Z</t>
  </si>
  <si>
    <t xml:space="preserve">La Noria </t>
  </si>
  <si>
    <t>Daniel Helaman Vazuqez Alva</t>
  </si>
  <si>
    <t>Daniel Helaman</t>
  </si>
  <si>
    <t>Vazuqez Alva</t>
  </si>
  <si>
    <t>2026-09-12T16:54:45.089Z</t>
  </si>
  <si>
    <t>gst-6S5X9xw5h3nPVL7</t>
  </si>
  <si>
    <t>a_reia@hotmail.com</t>
  </si>
  <si>
    <t>2026-09-12T07:20:19.464Z</t>
  </si>
  <si>
    <t>Valentina Betancourt Frausto</t>
  </si>
  <si>
    <t>https://luma.com/check-in/evt-uUhcE8jx1Pd49Fv?pk=IoEqjDkPMBemi1X</t>
  </si>
  <si>
    <t>Valentina</t>
  </si>
  <si>
    <t>Betancourt Frausto</t>
  </si>
  <si>
    <t>2026-09-12T16:03:49.545Z</t>
  </si>
  <si>
    <t>Iker Daniel Santos Cordero</t>
  </si>
  <si>
    <t>Iker</t>
  </si>
  <si>
    <t>Daniel Santos Cordero</t>
  </si>
  <si>
    <t>Issa Yaretzi Alvarado Jiménez</t>
  </si>
  <si>
    <t>Issa Yaretzi</t>
  </si>
  <si>
    <t>gst-eGfY9jLqoNbY6PP</t>
  </si>
  <si>
    <t>areira.flores@gmail.com</t>
  </si>
  <si>
    <t>Diego Eduardo Rivera de la Sancha</t>
  </si>
  <si>
    <t>2026-09-12T07:09:30.385Z</t>
  </si>
  <si>
    <t>Diego</t>
  </si>
  <si>
    <t>Eduardo Rivera de la Sancha</t>
  </si>
  <si>
    <t>2026-09-12T16:44:02.491Z</t>
  </si>
  <si>
    <t>https://luma.com/check-in/evt-uUhcE8jx1Pd49Fv?pk=EzInHJEirB7O4ML</t>
  </si>
  <si>
    <t xml:space="preserve">la noria </t>
  </si>
  <si>
    <t>Danna Milenka Tello Tello</t>
  </si>
  <si>
    <t>Danna Milenka</t>
  </si>
  <si>
    <t>2026-09-12T16:52:35.340Z</t>
  </si>
  <si>
    <t>Suri Damayanti</t>
  </si>
  <si>
    <t>Suri</t>
  </si>
  <si>
    <t>Damayanti</t>
  </si>
  <si>
    <t>2026-09-12T17:25:39.653Z</t>
  </si>
  <si>
    <t>gst-6nESRkoxWOjX6G0</t>
  </si>
  <si>
    <t>Jorge Dominguez</t>
  </si>
  <si>
    <t>Jorge</t>
  </si>
  <si>
    <t>vigilochi09@gmail.com</t>
  </si>
  <si>
    <t>2026-09-12T06:29:32.728Z</t>
  </si>
  <si>
    <t>2026-09-12T17:27:56.835Z</t>
  </si>
  <si>
    <t>https://luma.com/check-in/evt-uUhcE8jx1Pd49Fv?pk=BGlHbyKwg7pNUDt</t>
  </si>
  <si>
    <t>Estaca Villa Coapa</t>
  </si>
  <si>
    <t>Tenoch</t>
  </si>
  <si>
    <t>declined</t>
  </si>
  <si>
    <t>Fernanda Sosa</t>
  </si>
  <si>
    <t>Fernanda</t>
  </si>
  <si>
    <t>Sosa</t>
  </si>
  <si>
    <t>Villacoapa</t>
  </si>
  <si>
    <t>gst-rMcuZnWnT5rkIxT</t>
  </si>
  <si>
    <t>zoemedinapina@gmail.com</t>
  </si>
  <si>
    <t>2026-09-12T06:05:35.527Z</t>
  </si>
  <si>
    <t>https://luma.com/check-in/evt-uUhcE8jx1Pd49Fv?pk=PHz9E4yENYBy6Ar</t>
  </si>
  <si>
    <t>gst-GW3jKOagicsAtsh</t>
  </si>
  <si>
    <t>damayantidsl2001@gmail.com</t>
  </si>
  <si>
    <t>2026-09-12T05:34:33.691Z</t>
  </si>
  <si>
    <t>https://luma.com/check-in/evt-uUhcE8jx1Pd49Fv?pk=AqY3Ea4iMwdPtjj</t>
  </si>
  <si>
    <t>gst-V2figHbIoH1RiNy</t>
  </si>
  <si>
    <t>aneticasri@outlook.com</t>
  </si>
  <si>
    <t>2026-09-12T05:16:06.067Z</t>
  </si>
  <si>
    <t>https://luma.com/check-in/evt-uUhcE8jx1Pd49Fv?pk=ni8uIPNg6JsEO0A</t>
  </si>
  <si>
    <t>gst-JDd1iDGuMJuFsI3</t>
  </si>
  <si>
    <t>arieluribe07@gmail.com</t>
  </si>
  <si>
    <t>2026-09-12T03:46:06.577Z</t>
  </si>
  <si>
    <t>https://luma.com/check-in/evt-uUhcE8jx1Pd49Fv?pk=FkF9KPukaaMxIWA</t>
  </si>
  <si>
    <t>gst-F3MIYFJRCq7kPEz</t>
  </si>
  <si>
    <t>yasmintello18499@gmail.com</t>
  </si>
  <si>
    <t>2026-09-12T03:39:54.384Z</t>
  </si>
  <si>
    <t>https://luma.com/check-in/evt-uUhcE8jx1Pd49Fv?pk=udXMgoQvx52FruV</t>
  </si>
  <si>
    <t>gst-9U82TYbXkAymkJm</t>
  </si>
  <si>
    <t>fam.ramirez.sanchez05@gmail.com</t>
  </si>
  <si>
    <t>2026-09-12T03:29:46.579Z</t>
  </si>
  <si>
    <t>https://luma.com/check-in/evt-uUhcE8jx1Pd49Fv?pk=Hg8gXh5gsWBBiwS</t>
  </si>
  <si>
    <t>gst-xO2ZOwxgCMplYY9</t>
  </si>
  <si>
    <t>monterdav@yahoo.com.mx</t>
  </si>
  <si>
    <t>2026-09-12T03:06:55.072Z</t>
  </si>
  <si>
    <t>https://luma.com/check-in/evt-uUhcE8jx1Pd49Fv?pk=G7ZPj6yJTDmR7Q2</t>
  </si>
  <si>
    <t>gst-O3n9gn23oeqTLf5</t>
  </si>
  <si>
    <t>lepepu2@gmail.com</t>
  </si>
  <si>
    <t>2026-09-12T02:59:22.111Z</t>
  </si>
  <si>
    <t>https://luma.com/check-in/evt-uUhcE8jx1Pd49Fv?pk=voD4ZCHwVZUujuU</t>
  </si>
  <si>
    <t>gst-HEK0LOW0KeDkDfO</t>
  </si>
  <si>
    <t>lepepu@yahoo.com</t>
  </si>
  <si>
    <t>2026-09-12T02:58:31.864Z</t>
  </si>
  <si>
    <t>https://luma.com/check-in/evt-uUhcE8jx1Pd49Fv?pk=YGJNoSoA0yWLiEv</t>
  </si>
  <si>
    <t>gst-brEhbnpnUmHibMu</t>
  </si>
  <si>
    <t>luisbyrdfi@yahoo.com.mx</t>
  </si>
  <si>
    <t>2026-09-12T01:59:05.235Z</t>
  </si>
  <si>
    <t>https://luma.com/check-in/evt-uUhcE8jx1Pd49Fv?pk=0iEhcrpHwXkI3ro</t>
  </si>
  <si>
    <t>gst-J5CSeSt9BPkfkCq</t>
  </si>
  <si>
    <t>mabyluisbyrd@gmail.com</t>
  </si>
  <si>
    <t>2026-09-12T01:58:24.360Z</t>
  </si>
  <si>
    <t>https://luma.com/check-in/evt-uUhcE8jx1Pd49Fv?pk=sQvZxbtVq05IMxU</t>
  </si>
  <si>
    <t>gst-sX5sMBzCJR5zzHo</t>
  </si>
  <si>
    <t>isabellaregina@icloud.com</t>
  </si>
  <si>
    <t>2026-09-12T00:28:28.395Z</t>
  </si>
  <si>
    <t>https://luma.com/check-in/evt-uUhcE8jx1Pd49Fv?pk=TIDSC7I16Gx4dJx</t>
  </si>
  <si>
    <t xml:space="preserve">Barrio independencia </t>
  </si>
  <si>
    <t>gst-ErBpHgZCLUES5Ug</t>
  </si>
  <si>
    <t>bonymi2273@gmail.com</t>
  </si>
  <si>
    <t>2026-09-11T20:17:41.077Z</t>
  </si>
  <si>
    <t>https://luma.com/check-in/evt-uUhcE8jx1Pd49Fv?pk=qiMrtUsVgwvL4rt</t>
  </si>
  <si>
    <t>gst-hboR5zmG2wiZfQw</t>
  </si>
  <si>
    <t>scarlettleym@gmail.com</t>
  </si>
  <si>
    <t>2026-09-11T18:35:45.099Z</t>
  </si>
  <si>
    <t>https://luma.com/check-in/evt-uUhcE8jx1Pd49Fv?pk=g170sNksGEPyjRu</t>
  </si>
  <si>
    <t>gst-tDvcwKuAeluGjMv</t>
  </si>
  <si>
    <t>2026-09-11T12:24:49.506Z</t>
  </si>
  <si>
    <t>https://luma.com/check-in/evt-uUhcE8jx1Pd49Fv?pk=de1z6BuOFrsN9Xy</t>
  </si>
  <si>
    <t>gst-xxsWAi9uu4xPac5</t>
  </si>
  <si>
    <t>sanazu_86@hotmail.com</t>
  </si>
  <si>
    <t>2026-09-11T12:21:17.097Z</t>
  </si>
  <si>
    <t>https://luma.com/check-in/evt-uUhcE8jx1Pd49Fv?pk=PzHb9WFbDkWQAAA</t>
  </si>
  <si>
    <t>gst-Nuxuc5oEl8LXAMq</t>
  </si>
  <si>
    <t>lauraelizabethmadrigalramirez@gmail.com</t>
  </si>
  <si>
    <t>2026-09-11T02:17:09.013Z</t>
  </si>
  <si>
    <t>https://luma.com/check-in/evt-uUhcE8jx1Pd49Fv?pk=eLYGGQF3B5gAanV</t>
  </si>
  <si>
    <t>gst-ZCWf6zmvnKsjueH</t>
  </si>
  <si>
    <t>fridamaria.va@gmail.com</t>
  </si>
  <si>
    <t>2026-09-11T01:32:15.113Z</t>
  </si>
  <si>
    <t>https://luma.com/check-in/evt-uUhcE8jx1Pd49Fv?pk=NvSj57jxPId6g5h</t>
  </si>
  <si>
    <t>gst-SgL7MJREijJ41Vx</t>
  </si>
  <si>
    <t>irvingtejeda394@gmail.com</t>
  </si>
  <si>
    <t>2026-09-10T21:13:17.999Z</t>
  </si>
  <si>
    <t>https://luma.com/check-in/evt-uUhcE8jx1Pd49Fv?pk=DvNJPGkSDk46C3j</t>
  </si>
  <si>
    <t>gst-CPtpPM8WIgxHWIg</t>
  </si>
  <si>
    <t>guillermosanchez.3033@gmail.com</t>
  </si>
  <si>
    <t>2026-09-10T21:11:53.840Z</t>
  </si>
  <si>
    <t>https://luma.com/check-in/evt-uUhcE8jx1Pd49Fv?pk=WMPjk8DSd3hFwun</t>
  </si>
  <si>
    <t>Rama San Pablo</t>
  </si>
  <si>
    <t>gst-JUFivdBo6E687wP</t>
  </si>
  <si>
    <t>santosjoel2003@gmail.com</t>
  </si>
  <si>
    <t>2026-09-10T21:08:00.966Z</t>
  </si>
  <si>
    <t>https://luma.com/check-in/evt-uUhcE8jx1Pd49Fv?pk=Ic0M0Qc2wvf5rKC</t>
  </si>
  <si>
    <t>gst-w7g2XqGgGJHhdCx</t>
  </si>
  <si>
    <t>zmendiaula@gmail.com</t>
  </si>
  <si>
    <t>2026-09-10T21:00:42.655Z</t>
  </si>
  <si>
    <t>https://luma.com/check-in/evt-uUhcE8jx1Pd49Fv?pk=u99uv67RwzhP2hR</t>
  </si>
  <si>
    <t>gst-K6sDaX0TY20UTE7</t>
  </si>
  <si>
    <t>axelvegacaastillo@gmail.com</t>
  </si>
  <si>
    <t>2026-09-10T20:52:33.920Z</t>
  </si>
  <si>
    <t>https://luma.com/check-in/evt-uUhcE8jx1Pd49Fv?pk=aezLymIvpgVhUCl</t>
  </si>
  <si>
    <t>gst-lXs0W3IbycojPd5</t>
  </si>
  <si>
    <t>andyloezzy@gmail.com</t>
  </si>
  <si>
    <t>2026-09-10T18:40:53.557Z</t>
  </si>
  <si>
    <t>https://luma.com/check-in/evt-uUhcE8jx1Pd49Fv?pk=sQ1WzvGOKtAKHo4</t>
  </si>
  <si>
    <t>gst-WuwTy4Ys6g8BFg3</t>
  </si>
  <si>
    <t>neficasriver@gmail.com</t>
  </si>
  <si>
    <t>2026-09-10T17:28:05.108Z</t>
  </si>
  <si>
    <t>https://luma.com/check-in/evt-uUhcE8jx1Pd49Fv?pk=BVFPIlnKU46OHWL</t>
  </si>
  <si>
    <t>gst-BToB1U7DLwVgHAP</t>
  </si>
  <si>
    <t>mose.evalondra@gmail.com</t>
  </si>
  <si>
    <t>2026-09-10T17:27:23.371Z</t>
  </si>
  <si>
    <t>https://luma.com/check-in/evt-uUhcE8jx1Pd49Fv?pk=NTe35uhx5rtzFKr</t>
  </si>
  <si>
    <t>gst-utUsMdDFgEP6opg</t>
  </si>
  <si>
    <t>liamdsoriano@gmail.com</t>
  </si>
  <si>
    <t>2026-09-10T05:05:31.679Z</t>
  </si>
  <si>
    <t>https://luma.com/check-in/evt-uUhcE8jx1Pd49Fv?pk=nrKXLajRHR77XJP</t>
  </si>
  <si>
    <t>gst-cDjUb7tjZxDZk67</t>
  </si>
  <si>
    <t>mmrsud@gmail.com</t>
  </si>
  <si>
    <t>2026-09-10T05:01:42.048Z</t>
  </si>
  <si>
    <t>https://luma.com/check-in/evt-uUhcE8jx1Pd49Fv?pk=FSRFU8XWAGdP7ea</t>
  </si>
  <si>
    <t>gst-SxmatIdHBvUOJHs</t>
  </si>
  <si>
    <t>aaronsjm19@gmail.com</t>
  </si>
  <si>
    <t>2026-09-10T04:55:41.977Z</t>
  </si>
  <si>
    <t>https://luma.com/check-in/evt-uUhcE8jx1Pd49Fv?pk=vex9AngJ5e8n6yD</t>
  </si>
  <si>
    <t>gst-f7MBrTG7InMElYv</t>
  </si>
  <si>
    <t>mmr_lds@hotmail.com</t>
  </si>
  <si>
    <t>2026-09-10T04:37:46.760Z</t>
  </si>
  <si>
    <t>https://luma.com/check-in/evt-uUhcE8jx1Pd49Fv?pk=W43QFqK4DDj4hSr</t>
  </si>
  <si>
    <t>gst-EfXxCDcWtmCiHzB</t>
  </si>
  <si>
    <t>valeeperezg0510@gmail.com</t>
  </si>
  <si>
    <t>2026-09-10T02:26:47.625Z</t>
  </si>
  <si>
    <t>https://luma.com/check-in/evt-uUhcE8jx1Pd49Fv?pk=lBN3bQH1xafHNdB</t>
  </si>
  <si>
    <t>gst-VxH93IDJXE8c0lx</t>
  </si>
  <si>
    <t>ivetmireles@gmail.com</t>
  </si>
  <si>
    <t>2026-09-10T00:17:22.158Z</t>
  </si>
  <si>
    <t>https://luma.com/check-in/evt-uUhcE8jx1Pd49Fv?pk=Qfba6PI7L57A9qt</t>
  </si>
  <si>
    <t>gst-O08GGzI2HVTRpTM</t>
  </si>
  <si>
    <t>vazquez_serge@hotmail.com</t>
  </si>
  <si>
    <t>2026-09-10T00:15:45.099Z</t>
  </si>
  <si>
    <t>https://luma.com/check-in/evt-uUhcE8jx1Pd49Fv?pk=sEfmy3CUvBf51nU</t>
  </si>
  <si>
    <t>gst-Vd9lJXQjiSQWRoo</t>
  </si>
  <si>
    <t>alexanderutopia21@gmail.com</t>
  </si>
  <si>
    <t>2026-09-09T23:03:08.331Z</t>
  </si>
  <si>
    <t>https://luma.com/check-in/evt-uUhcE8jx1Pd49Fv?pk=sE5At1RCucaHtMD</t>
  </si>
  <si>
    <t>gst-V644oB4INLIxCYJ</t>
  </si>
  <si>
    <t>octavio08diaz@hotmail.com</t>
  </si>
  <si>
    <t>2026-09-09T21:58:37.916Z</t>
  </si>
  <si>
    <t>https://luma.com/check-in/evt-uUhcE8jx1Pd49Fv?pk=Fv43fmdWrAKLnDY</t>
  </si>
  <si>
    <t>gst-92pOMUrkXASCkHJ</t>
  </si>
  <si>
    <t>normahernandez916@gmail.com</t>
  </si>
  <si>
    <t>2026-09-09T17:04:25.962Z</t>
  </si>
  <si>
    <t>https://luma.com/check-in/evt-uUhcE8jx1Pd49Fv?pk=pge7kVI5YDPcwDy</t>
  </si>
  <si>
    <t>gst-CwuryMW8KQORhDc</t>
  </si>
  <si>
    <t>norma.hernandez1772@gmail.com</t>
  </si>
  <si>
    <t>2026-09-09T16:57:07.557Z</t>
  </si>
  <si>
    <t>https://luma.com/check-in/evt-uUhcE8jx1Pd49Fv?pk=RPXWVu3pdbiCxu9</t>
  </si>
  <si>
    <t>gst-0UGRstqpAk5UpAZ</t>
  </si>
  <si>
    <t>geraldineidalyroca@gmail.com</t>
  </si>
  <si>
    <t>2026-09-09T16:22:52.734Z</t>
  </si>
  <si>
    <t>https://luma.com/check-in/evt-uUhcE8jx1Pd49Fv?pk=ETqxhdNnq9TwTL0</t>
  </si>
  <si>
    <t>gst-ZlwMBhtdZOoPz0w</t>
  </si>
  <si>
    <t>azulamayranih16@gmail.com</t>
  </si>
  <si>
    <t>2026-09-09T05:01:31.572Z</t>
  </si>
  <si>
    <t>https://luma.com/check-in/evt-uUhcE8jx1Pd49Fv?pk=DIqJT3n3s30kvmh</t>
  </si>
  <si>
    <t>gst-Socf34S3i2PQSHN</t>
  </si>
  <si>
    <t>kyana.ur09@gmail.com</t>
  </si>
  <si>
    <t>2026-09-08T22:12:40.652Z</t>
  </si>
  <si>
    <t>https://luma.com/check-in/evt-uUhcE8jx1Pd49Fv?pk=1Yq4RyoNYBwaeX1</t>
  </si>
  <si>
    <t>gst-3u38pDN8zF05ste</t>
  </si>
  <si>
    <t>rrmaryfere@gmail.com</t>
  </si>
  <si>
    <t>2026-09-08T21:52:06.467Z</t>
  </si>
  <si>
    <t>https://luma.com/check-in/evt-uUhcE8jx1Pd49Fv?pk=xz3mWEzKChXe1nv</t>
  </si>
  <si>
    <t>gst-dFaQ58djuBZCGnr</t>
  </si>
  <si>
    <t>tangram.rep@gmail.com</t>
  </si>
  <si>
    <t>2026-09-08T18:18:06.410Z</t>
  </si>
  <si>
    <t>https://luma.com/check-in/evt-uUhcE8jx1Pd49Fv?pk=3NHnew7s3sYLNhE</t>
  </si>
  <si>
    <t>gst-89G9kg7O2rLFzAV</t>
  </si>
  <si>
    <t>221207296@prepaenlinea-sep.edu.mx</t>
  </si>
  <si>
    <t>2026-09-08T14:44:24.039Z</t>
  </si>
  <si>
    <t>https://luma.com/check-in/evt-uUhcE8jx1Pd49Fv?pk=CsviSnpHYqTjLmN</t>
  </si>
  <si>
    <t>gst-yHwpEqLlGiwXlXp</t>
  </si>
  <si>
    <t>danyblue1986@gmail.com</t>
  </si>
  <si>
    <t>2026-09-08T14:36:36.792Z</t>
  </si>
  <si>
    <t>https://luma.com/check-in/evt-uUhcE8jx1Pd49Fv?pk=QHiFPqoajPtEYhS</t>
  </si>
  <si>
    <t>gst-BaqmPHTs2HaYYAe</t>
  </si>
  <si>
    <t>edithruiz1509@gmail.com</t>
  </si>
  <si>
    <t>2026-09-08T14:24:25.962Z</t>
  </si>
  <si>
    <t>https://luma.com/check-in/evt-uUhcE8jx1Pd49Fv?pk=EYF6FB73RRAOCyO</t>
  </si>
  <si>
    <t>gst-TXANxGLcrtTielm</t>
  </si>
  <si>
    <t>haromarthahilda@gmail.com</t>
  </si>
  <si>
    <t>2026-09-08T04:58:29.206Z</t>
  </si>
  <si>
    <t>https://luma.com/check-in/evt-uUhcE8jx1Pd49Fv?pk=Mg8pEhd0zfwcIks</t>
  </si>
  <si>
    <t>gst-H6ZODJ7E81XA1bo</t>
  </si>
  <si>
    <t>atticus_boy@hotmail.com</t>
  </si>
  <si>
    <t>2026-09-08T04:07:08.756Z</t>
  </si>
  <si>
    <t>https://luma.com/check-in/evt-uUhcE8jx1Pd49Fv?pk=UwWxGTiUXicUXzV</t>
  </si>
  <si>
    <t>gst-v9xKfG5nL84SY9A</t>
  </si>
  <si>
    <t>anybet30@gmail.com</t>
  </si>
  <si>
    <t>2026-09-08T04:01:33.232Z</t>
  </si>
  <si>
    <t>https://luma.com/check-in/evt-uUhcE8jx1Pd49Fv?pk=3JRfBqzKYtebFkJ</t>
  </si>
  <si>
    <t xml:space="preserve">San Pedro Martir </t>
  </si>
  <si>
    <t>gst-NykLeO9jAFxfJdm</t>
  </si>
  <si>
    <t>anyalvarez322@gmail.com</t>
  </si>
  <si>
    <t>2026-09-08T03:46:55.478Z</t>
  </si>
  <si>
    <t>https://luma.com/check-in/evt-uUhcE8jx1Pd49Fv?pk=cBYGdhApQqu4mcd</t>
  </si>
  <si>
    <t>gst-BWpjwMWapEPKm5I</t>
  </si>
  <si>
    <t>zahidamonserratgonzlaezgomez@gmail.com</t>
  </si>
  <si>
    <t>2026-09-08T03:32:52.600Z</t>
  </si>
  <si>
    <t>https://luma.com/check-in/evt-uUhcE8jx1Pd49Fv?pk=yjws9CGf609EAMf</t>
  </si>
  <si>
    <t>gst-NjhnW4jIUNGtQ9b</t>
  </si>
  <si>
    <t>natgonzalez0w0@gmail.com</t>
  </si>
  <si>
    <t>2026-09-08T02:46:55.427Z</t>
  </si>
  <si>
    <t>https://luma.com/check-in/evt-uUhcE8jx1Pd49Fv?pk=mcajF5JDF69Ivdr</t>
  </si>
  <si>
    <t>gst-ljXDnMuERRDr92b</t>
  </si>
  <si>
    <t>lorelainee.juae25@gmail.com</t>
  </si>
  <si>
    <t>2026-09-08T02:43:26.942Z</t>
  </si>
  <si>
    <t>https://luma.com/check-in/evt-uUhcE8jx1Pd49Fv?pk=G0bKJjkeUHQ4Y4a</t>
  </si>
  <si>
    <t>gst-DEIzT3XVq3myiDk</t>
  </si>
  <si>
    <t>melanie.juaes9@gmail.com</t>
  </si>
  <si>
    <t>2026-09-08T02:35:58.562Z</t>
  </si>
  <si>
    <t>https://luma.com/check-in/evt-uUhcE8jx1Pd49Fv?pk=F7oR0VipvcMIbTY</t>
  </si>
  <si>
    <t>gst-2pB2Rrtr06vvCM1</t>
  </si>
  <si>
    <t>gabyperaltaaldave@gmail.com</t>
  </si>
  <si>
    <t>2026-09-07T14:45:19.082Z</t>
  </si>
  <si>
    <t>https://luma.com/check-in/evt-uUhcE8jx1Pd49Fv?pk=kgtVD0b2ijkovXm</t>
  </si>
  <si>
    <t>gst-1yBmyZeRmv58nKo</t>
  </si>
  <si>
    <t>jairasael1@gmail.com</t>
  </si>
  <si>
    <t>2026-09-07T01:55:52.367Z</t>
  </si>
  <si>
    <t>https://luma.com/check-in/evt-uUhcE8jx1Pd49Fv?pk=KNzmxnqXAHO1IaM</t>
  </si>
  <si>
    <t>gst-yTnRDGhNpJ5r5nR</t>
  </si>
  <si>
    <t>quiroga530@hotmail.com</t>
  </si>
  <si>
    <t>2026-09-07T00:37:12.211Z</t>
  </si>
  <si>
    <t>https://luma.com/check-in/evt-uUhcE8jx1Pd49Fv?pk=0qMt7hVg5ktcqCd</t>
  </si>
  <si>
    <t xml:space="preserve">Barrio Milpa Alta </t>
  </si>
  <si>
    <t>gst-pYepfub1I1RQr82</t>
  </si>
  <si>
    <t>sunshine_sud@hotmail.com</t>
  </si>
  <si>
    <t>2026-09-06T18:38:30.629Z</t>
  </si>
  <si>
    <t>https://luma.com/check-in/evt-uUhcE8jx1Pd49Fv?pk=Q7BkwQ8oeUOqbXI</t>
  </si>
  <si>
    <t>gst-vtJdwKS6zDXEm3G</t>
  </si>
  <si>
    <t>daniraqms@gmail.com</t>
  </si>
  <si>
    <t>2026-09-06T18:33:29.977Z</t>
  </si>
  <si>
    <t>https://luma.com/check-in/evt-uUhcE8jx1Pd49Fv?pk=KTAL6CKMPkC1ScR</t>
  </si>
  <si>
    <t>gst-nmLQmGrICxlirdG</t>
  </si>
  <si>
    <t>arili132307@gmail.com</t>
  </si>
  <si>
    <t>2026-09-06T18:27:13.318Z</t>
  </si>
  <si>
    <t>https://luma.com/check-in/evt-uUhcE8jx1Pd49Fv?pk=Ggfw0DmhCLPwZeq</t>
  </si>
  <si>
    <t>gst-6E6t4Us8CZJq1zu</t>
  </si>
  <si>
    <t>hnolascocarmona@gmail.com</t>
  </si>
  <si>
    <t>2026-09-06T18:08:18.691Z</t>
  </si>
  <si>
    <t>https://luma.com/check-in/evt-uUhcE8jx1Pd49Fv?pk=B38RIZs1laxU7v0</t>
  </si>
  <si>
    <t>gst-vo3Pq7YzWqT2C5f</t>
  </si>
  <si>
    <t>ydu950727@gmail.com</t>
  </si>
  <si>
    <t>2026-09-06T18:02:54.028Z</t>
  </si>
  <si>
    <t>https://luma.com/check-in/evt-uUhcE8jx1Pd49Fv?pk=TAJDrrjgoNkX0ch</t>
  </si>
  <si>
    <t>gst-fMkNEnQAbdWFF1B</t>
  </si>
  <si>
    <t>2026-09-06T17:20:47.386Z</t>
  </si>
  <si>
    <t>https://luma.com/check-in/evt-uUhcE8jx1Pd49Fv?pk=CGdugLrmwgJRYtA</t>
  </si>
  <si>
    <t>gst-rKg67ABv5sqteRG</t>
  </si>
  <si>
    <t>kya.lmn.fls@hotmail.com</t>
  </si>
  <si>
    <t>2026-09-06T17:19:33.976Z</t>
  </si>
  <si>
    <t>https://luma.com/check-in/evt-uUhcE8jx1Pd49Fv?pk=HzCPHBr07tvRkSJ</t>
  </si>
  <si>
    <t>gst-TXrqTXjbq2YpZxG</t>
  </si>
  <si>
    <t>samliralb240802@gmail.com</t>
  </si>
  <si>
    <t>2026-09-06T17:12:29.943Z</t>
  </si>
  <si>
    <t>https://luma.com/check-in/evt-uUhcE8jx1Pd49Fv?pk=oF0f2D6P3z899bZ</t>
  </si>
  <si>
    <t>gst-URlQiIVpa7Mjlze</t>
  </si>
  <si>
    <t>frida2018.mec@gmail.com</t>
  </si>
  <si>
    <t>2026-09-06T17:12:14.009Z</t>
  </si>
  <si>
    <t>https://luma.com/check-in/evt-uUhcE8jx1Pd49Fv?pk=eS8gIVB5aELYOEn</t>
  </si>
  <si>
    <t>gst-H61vWKajuhdEpRz</t>
  </si>
  <si>
    <t>sofia.mendez.1c@gmail.com</t>
  </si>
  <si>
    <t>2026-09-06T17:10:43.584Z</t>
  </si>
  <si>
    <t>https://luma.com/check-in/evt-uUhcE8jx1Pd49Fv?pk=7V69zVJaUUqHSdp</t>
  </si>
  <si>
    <t>gst-cGyanIToZJSEFnN</t>
  </si>
  <si>
    <t>martinez.mejia.annia@gmail.com</t>
  </si>
  <si>
    <t>2026-09-06T17:04:03.370Z</t>
  </si>
  <si>
    <t>https://luma.com/check-in/evt-uUhcE8jx1Pd49Fv?pk=dp6E0r4HmYazSM9</t>
  </si>
  <si>
    <t xml:space="preserve">hidalgo </t>
  </si>
  <si>
    <t>gst-HC3EPsCy7HPoHhF</t>
  </si>
  <si>
    <t>edgartorresmorales79@hotmail.com</t>
  </si>
  <si>
    <t>2026-09-06T16:51:30.486Z</t>
  </si>
  <si>
    <t>https://luma.com/check-in/evt-uUhcE8jx1Pd49Fv?pk=J6bNclPkRO1iDZM</t>
  </si>
  <si>
    <t>gst-DkBpKVXhKztgzY9</t>
  </si>
  <si>
    <t>melissavelascarba@gmail.com</t>
  </si>
  <si>
    <t>2026-09-06T16:48:42.244Z</t>
  </si>
  <si>
    <t>https://luma.com/check-in/evt-uUhcE8jx1Pd49Fv?pk=OtjSM8MJr8PmWbj</t>
  </si>
  <si>
    <t>Barrio hidalgo</t>
  </si>
  <si>
    <t>gst-nqXYn2zPRlS48QT</t>
  </si>
  <si>
    <t>maytevelasquezcarbajal@gmail.com</t>
  </si>
  <si>
    <t>2026-09-06T16:45:03.623Z</t>
  </si>
  <si>
    <t>https://luma.com/check-in/evt-uUhcE8jx1Pd49Fv?pk=4ZqEp35V2Jr94x4</t>
  </si>
  <si>
    <t>gst-ZSQuY5SfxD944kg</t>
  </si>
  <si>
    <t>annia.mtz.m05@gmail.com</t>
  </si>
  <si>
    <t>2026-09-06T16:44:04.550Z</t>
  </si>
  <si>
    <t>https://luma.com/check-in/evt-uUhcE8jx1Pd49Fv?pk=O0sxrcoUC6r7atp</t>
  </si>
  <si>
    <t>gst-C4fTMSepvhU5tq3</t>
  </si>
  <si>
    <t>danielabustoslopez@gmail.com</t>
  </si>
  <si>
    <t>2026-09-06T14:49:14.071Z</t>
  </si>
  <si>
    <t>https://luma.com/check-in/evt-uUhcE8jx1Pd49Fv?pk=y0WMTV0KOphEeCh</t>
  </si>
  <si>
    <t>gst-ahs1B2aRdMTLy7l</t>
  </si>
  <si>
    <t>buycam.mexico@gmail.com</t>
  </si>
  <si>
    <t>2026-09-06T14:24:04.108Z</t>
  </si>
  <si>
    <t>https://luma.com/check-in/evt-uUhcE8jx1Pd49Fv?pk=WhrIBgbBMvYDF2B</t>
  </si>
  <si>
    <t>gst-jmfFrWc4r7af2X5</t>
  </si>
  <si>
    <t>jarom1001@gmail.com</t>
  </si>
  <si>
    <t>2026-09-06T01:48:52.452Z</t>
  </si>
  <si>
    <t>https://luma.com/check-in/evt-uUhcE8jx1Pd49Fv?pk=VWhvLjsmVFUzpnA</t>
  </si>
  <si>
    <t>gst-lBVUBcnSmOALgMP</t>
  </si>
  <si>
    <t>yenalhid@gmail.com</t>
  </si>
  <si>
    <t>2026-09-05T16:38:01.215Z</t>
  </si>
  <si>
    <t>https://luma.com/check-in/evt-uUhcE8jx1Pd49Fv?pk=VssjSiYHYe9GIsY</t>
  </si>
  <si>
    <t>gst-8yZVXPFgRpKGgV1</t>
  </si>
  <si>
    <t>antonio.120river@gmail.com</t>
  </si>
  <si>
    <t>2026-09-05T16:34:33.918Z</t>
  </si>
  <si>
    <t>https://luma.com/check-in/evt-uUhcE8jx1Pd49Fv?pk=EkhL4mwi4dDf8KK</t>
  </si>
  <si>
    <t>gst-KZxxPlfncDDLczH</t>
  </si>
  <si>
    <t>alhiyan.yen@hotmail.com</t>
  </si>
  <si>
    <t>2026-09-05T16:32:37.990Z</t>
  </si>
  <si>
    <t>https://luma.com/check-in/evt-uUhcE8jx1Pd49Fv?pk=2Z535R8O95kX16u</t>
  </si>
  <si>
    <t>gst-oYtU0a6mekjsZPT</t>
  </si>
  <si>
    <t>2026-09-05T16:19:19.991Z</t>
  </si>
  <si>
    <t>https://luma.com/check-in/evt-uUhcE8jx1Pd49Fv?pk=prSRHRZxVlfWvPF</t>
  </si>
  <si>
    <t>gst-tiiTQIVqoKZGu2s</t>
  </si>
  <si>
    <t>dulcelgarcia77@gmail.com</t>
  </si>
  <si>
    <t>2026-09-05T14:46:56.287Z</t>
  </si>
  <si>
    <t>https://luma.com/check-in/evt-uUhcE8jx1Pd49Fv?pk=qqeFxMrHOssjUkE</t>
  </si>
  <si>
    <t>gst-zdFJ6zsVMKhC3ls</t>
  </si>
  <si>
    <t>cytp_s@yahoo.com</t>
  </si>
  <si>
    <t>2026-09-04T20:47:43.996Z</t>
  </si>
  <si>
    <t>https://luma.com/check-in/evt-uUhcE8jx1Pd49Fv?pk=Ea6Az6uhebdbQYn</t>
  </si>
  <si>
    <t>gst-wQb6aq8UtpMpTfk</t>
  </si>
  <si>
    <t>gerarf41@gmail.com</t>
  </si>
  <si>
    <t>2026-09-04T17:30:58.551Z</t>
  </si>
  <si>
    <t>Arts &amp; Culture</t>
  </si>
  <si>
    <t>https://luma.com/check-in/evt-uUhcE8jx1Pd49Fv?pk=hVSmUMg4xOXCSFc</t>
  </si>
  <si>
    <t>gst-o5SwsE3hwm5zyF2</t>
  </si>
  <si>
    <t>vanessaitzelbustoslopez@gmail.com</t>
  </si>
  <si>
    <t>2026-09-04T15:34:05.769Z</t>
  </si>
  <si>
    <t>https://luma.com/check-in/evt-uUhcE8jx1Pd49Fv?pk=ZbjPW3vQ0wVkE7T</t>
  </si>
  <si>
    <t>gst-UKxxwdhBIbXRb9W</t>
  </si>
  <si>
    <t>noemimelendez20132010@gmail.com</t>
  </si>
  <si>
    <t>2026-09-03T00:07:45.925Z</t>
  </si>
  <si>
    <t>https://luma.com/check-in/evt-uUhcE8jx1Pd49Fv?pk=xUQ02YdGAKbWomW</t>
  </si>
  <si>
    <t>gst-giPYwxhIWydQPri</t>
  </si>
  <si>
    <t>cabreraherrero7013@gmail.com</t>
  </si>
  <si>
    <t>2026-09-03T00:02:23.209Z</t>
  </si>
  <si>
    <t>https://luma.com/check-in/evt-uUhcE8jx1Pd49Fv?pk=tFI6gMCjzWZW2Hj</t>
  </si>
  <si>
    <t>gst-pKp0gm8WWZZTJQH</t>
  </si>
  <si>
    <t>waleskatellotello@gmail.com</t>
  </si>
  <si>
    <t>2026-09-02T21:36:41.604Z</t>
  </si>
  <si>
    <t>https://luma.com/check-in/evt-uUhcE8jx1Pd49Fv?pk=lrndMRgUrci3t4k</t>
  </si>
  <si>
    <t xml:space="preserve">Cuicuil </t>
  </si>
  <si>
    <t>gst-FCWGDc93tuhzBue</t>
  </si>
  <si>
    <t>jaqui.usagi@gmail.com</t>
  </si>
  <si>
    <t>2026-09-02T20:17:07.631Z</t>
  </si>
  <si>
    <t>https://luma.com/check-in/evt-uUhcE8jx1Pd49Fv?pk=4B8bCBwYlMhYmhQ</t>
  </si>
  <si>
    <t xml:space="preserve">Milpa Alta </t>
  </si>
  <si>
    <t>gst-4MBDQMu1HPhOrmZ</t>
  </si>
  <si>
    <t>mari_ga_es@hotmail.com</t>
  </si>
  <si>
    <t>2026-09-02T17:34:23.170Z</t>
  </si>
  <si>
    <t>https://luma.com/check-in/evt-uUhcE8jx1Pd49Fv?pk=LwDwseBSgAVF1Pe</t>
  </si>
  <si>
    <t>gst-vA0CnR6ZR6sFKoa</t>
  </si>
  <si>
    <t>omae5532348086@gmail.com</t>
  </si>
  <si>
    <t>2026-09-02T17:20:39.095Z</t>
  </si>
  <si>
    <t>https://luma.com/check-in/evt-uUhcE8jx1Pd49Fv?pk=z1qBUhNMFMj3giP</t>
  </si>
  <si>
    <t>gst-3UNrBqqDbH9cy9X</t>
  </si>
  <si>
    <t>cocovril02@gmail.com</t>
  </si>
  <si>
    <t>2026-09-02T15:20:51.794Z</t>
  </si>
  <si>
    <t>https://luma.com/check-in/evt-uUhcE8jx1Pd49Fv?pk=DW5DumDyvpOEfGd</t>
  </si>
  <si>
    <t>gst-8StyBXDbBKFE4TB</t>
  </si>
  <si>
    <t>anagatiosquis@gmail.com</t>
  </si>
  <si>
    <t>2026-09-02T13:32:35.727Z</t>
  </si>
  <si>
    <t>https://luma.com/check-in/evt-uUhcE8jx1Pd49Fv?pk=GEunhDlEEUIf6IC</t>
  </si>
  <si>
    <t>gst-JHgkdy7GsCfVEm0</t>
  </si>
  <si>
    <t>luisbrauliobf@igu.edu.mx</t>
  </si>
  <si>
    <t>2026-09-02T13:06:15.319Z</t>
  </si>
  <si>
    <t>https://luma.com/check-in/evt-uUhcE8jx1Pd49Fv?pk=73GYPsP1xSIDAG1</t>
  </si>
  <si>
    <t>gst-VIv1X9dYudgDIbV</t>
  </si>
  <si>
    <t>iris_frausto@hotmail.com</t>
  </si>
  <si>
    <t>2026-09-02T13:04:18.108Z</t>
  </si>
  <si>
    <t>https://luma.com/check-in/evt-uUhcE8jx1Pd49Fv?pk=mqImioHTZ5FFzhy</t>
  </si>
  <si>
    <t>gst-qybAPK2YIXx5VFu</t>
  </si>
  <si>
    <t>2026-09-02T05:04:59.376Z</t>
  </si>
  <si>
    <t>https://luma.com/check-in/evt-uUhcE8jx1Pd49Fv?pk=efnICH0e9LWRDEJ</t>
  </si>
  <si>
    <t>gst-POCnixK4mPhnCBr</t>
  </si>
  <si>
    <t>ilikeicolin@gmail.com</t>
  </si>
  <si>
    <t>2026-09-02T04:09:47.360Z</t>
  </si>
  <si>
    <t>https://luma.com/check-in/evt-uUhcE8jx1Pd49Fv?pk=w7Oc9lhtDZspA7o</t>
  </si>
  <si>
    <t>gst-OLJj4XduYr5oqQB</t>
  </si>
  <si>
    <t>valeriaricca@gmail.com</t>
  </si>
  <si>
    <t>2026-09-02T01:45:34.392Z</t>
  </si>
  <si>
    <t>https://luma.com/check-in/evt-uUhcE8jx1Pd49Fv?pk=mKA7gxA0daMdGVF</t>
  </si>
  <si>
    <t>gst-5xlQFH3HOyJaTZU</t>
  </si>
  <si>
    <t>berealfaro1504@gmail.com</t>
  </si>
  <si>
    <t>2026-09-02T01:45:31.600Z</t>
  </si>
  <si>
    <t>https://luma.com/check-in/evt-uUhcE8jx1Pd49Fv?pk=1OvYpdSHcTcRNtE</t>
  </si>
  <si>
    <t>gst-C7iOfSHKHtextJp</t>
  </si>
  <si>
    <t>helaman.dva@gmail.com</t>
  </si>
  <si>
    <t>2026-09-02T01:33:57.066Z</t>
  </si>
  <si>
    <t>https://luma.com/check-in/evt-uUhcE8jx1Pd49Fv?pk=1BN3Gx5hhAdiSkD</t>
  </si>
  <si>
    <t>gst-7XZyXEQ73aXURF9</t>
  </si>
  <si>
    <t>viole_gatica@hotmail.com</t>
  </si>
  <si>
    <t>2026-09-02T01:30:35.400Z</t>
  </si>
  <si>
    <t>https://luma.com/check-in/evt-uUhcE8jx1Pd49Fv?pk=L5kUvMoJtG0nuaP</t>
  </si>
  <si>
    <t>gst-SXtLZ1xB8LwjxOL</t>
  </si>
  <si>
    <t>alex_fall@yahoo.com</t>
  </si>
  <si>
    <t>2026-09-02T01:28:21.305Z</t>
  </si>
  <si>
    <t>https://luma.com/check-in/evt-uUhcE8jx1Pd49Fv?pk=pFnAG3nWwVRWDMT</t>
  </si>
  <si>
    <t>gst-rUePRMA6bnAjBoH</t>
  </si>
  <si>
    <t>issayari.2000@gmail.com</t>
  </si>
  <si>
    <t>2026-09-02T01:22:46.532Z</t>
  </si>
  <si>
    <t>https://luma.com/check-in/evt-uUhcE8jx1Pd49Fv?pk=oqkSugjmCjbnFq0</t>
  </si>
  <si>
    <t>gst-dOZMtufXCmj1Ejz</t>
  </si>
  <si>
    <t>riveragarciac1@gmail.com</t>
  </si>
  <si>
    <t>2026-09-02T01:03:10.768Z</t>
  </si>
  <si>
    <t>https://luma.com/check-in/evt-uUhcE8jx1Pd49Fv?pk=4JrqaV0ZRUcZYiA</t>
  </si>
  <si>
    <t>gst-ucdbDpNNCT7Azyl</t>
  </si>
  <si>
    <t>tellosaavedra@hotmail.com</t>
  </si>
  <si>
    <t>2026-09-02T00:56:35.016Z</t>
  </si>
  <si>
    <t>https://luma.com/check-in/evt-uUhcE8jx1Pd49Fv?pk=3WFohcKIvpGOycR</t>
  </si>
  <si>
    <t>gst-B0aBmMk05xqSD2r</t>
  </si>
  <si>
    <t>damisdiamante465@gmail.com</t>
  </si>
  <si>
    <t>2026-09-02T00:37:35.695Z</t>
  </si>
  <si>
    <t>https://luma.com/check-in/evt-uUhcE8jx1Pd49Fv?pk=4tVz1MBRxRw5EhP</t>
  </si>
  <si>
    <t>gst-fXIGzKDPUdTkVTv</t>
  </si>
  <si>
    <t>jorgenriq30@gmail.com</t>
  </si>
  <si>
    <t>2026-08-31T03:09:12.060Z</t>
  </si>
  <si>
    <t>https://luma.com/check-in/evt-uUhcE8jx1Pd49Fv?pk=NB3OmUbAEuzj6or</t>
  </si>
  <si>
    <t>gst-ZmsDDsoCyNL0lTF</t>
  </si>
  <si>
    <t>tenoch.alfa03@gmail.com</t>
  </si>
  <si>
    <t>2026-08-31T02:56:34.873Z</t>
  </si>
  <si>
    <t>https://luma.com/check-in/evt-uUhcE8jx1Pd49Fv?pk=g-HIupQx6YLbD3bFr</t>
  </si>
  <si>
    <t>gst-aIQG9ArKsqsgRqM</t>
  </si>
  <si>
    <t>fernanda.sosahdez@gmail.com</t>
  </si>
  <si>
    <t>2026-08-31T02:56:23.738Z</t>
  </si>
  <si>
    <t>https://luma.com/check-in/evt-uUhcE8jx1Pd49Fv?pk=g-RLidMym0lPtlTGo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</si>
</sst>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444746"/>
      <name val="&quot;Google Sans Mono&quot;"/>
    </font>
    <font>
      <color rgb="FFF7981D"/>
      <name val="&quot;Google Sans Mono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DE3EA"/>
        <bgColor rgb="FFDDE3EA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2" fontId="3" numFmtId="0" xfId="0" applyFill="1" applyFon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'Tabla dinámica 1'!$B$1:$B$2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'Tabla dinámica 1'!$A$3:$A$27</c:f>
            </c:strRef>
          </c:cat>
          <c:val>
            <c:numRef>
              <c:f>'Tabla dinámica 1'!$B$3:$B$27</c:f>
              <c:numCache/>
            </c:numRef>
          </c:val>
        </c:ser>
        <c:ser>
          <c:idx val="1"/>
          <c:order val="1"/>
          <c:tx>
            <c:strRef>
              <c:f>'Tabla dinámica 1'!$C$1:$C$2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'Tabla dinámica 1'!$A$3:$A$27</c:f>
            </c:strRef>
          </c:cat>
          <c:val>
            <c:numRef>
              <c:f>'Tabla dinámica 1'!$C$3:$C$27</c:f>
              <c:numCache/>
            </c:numRef>
          </c:val>
        </c:ser>
        <c:ser>
          <c:idx val="2"/>
          <c:order val="2"/>
          <c:tx>
            <c:strRef>
              <c:f>'Tabla dinámica 1'!$D$1:$D$2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'Tabla dinámica 1'!$A$3:$A$27</c:f>
            </c:strRef>
          </c:cat>
          <c:val>
            <c:numRef>
              <c:f>'Tabla dinámica 1'!$D$3:$D$27</c:f>
              <c:numCache/>
            </c:numRef>
          </c:val>
        </c:ser>
        <c:axId val="107518049"/>
        <c:axId val="7068904"/>
      </c:barChart>
      <c:catAx>
        <c:axId val="107518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8904"/>
      </c:catAx>
      <c:valAx>
        <c:axId val="7068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18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Dashboard!$A$5:$B$5</c:f>
              <c:numCache/>
            </c:numRef>
          </c:val>
        </c:ser>
        <c:axId val="740804032"/>
        <c:axId val="1952461481"/>
      </c:barChart>
      <c:catAx>
        <c:axId val="740804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461481"/>
      </c:catAx>
      <c:valAx>
        <c:axId val="1952461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804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0</xdr:row>
      <xdr:rowOff>38100</xdr:rowOff>
    </xdr:from>
    <xdr:ext cx="4162425" cy="25812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0</xdr:row>
      <xdr:rowOff>76200</xdr:rowOff>
    </xdr:from>
    <xdr:ext cx="2638425" cy="16383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49" sheet="Datos Limpios "/>
  </cacheSource>
  <cacheFields>
    <cacheField name="name" numFmtId="0">
      <sharedItems>
        <s v="Dayami arizbeth Rosas"/>
        <s v="Sariah Flores"/>
        <s v="Naomi Gonzales"/>
        <s v="Veronica Leon Alva"/>
        <s v="José Luis Rocha"/>
        <s v="Marelly Alejandra Castrejon Ocampo"/>
        <s v="Geremy"/>
        <s v="Dinavell Dominguez"/>
        <s v="Mario Sosar"/>
        <s v="Leonardo Flavio Martinez Leon"/>
        <s v="Miguel Flores"/>
        <s v="Karina Baltazar"/>
        <s v="Ana Victoria Flores Valtazar"/>
        <s v="Alisson Natasha"/>
        <s v="Mariana Godinez"/>
        <s v="Vitor Sequiera"/>
        <s v="Maite Sequeira"/>
        <s v="Marion Palma Sequiera"/>
        <s v="Maria Jose Uribe Rodriguez"/>
        <s v="Maria De La paz Labra"/>
        <s v="Ingrid Yanet Elvir"/>
        <s v="Blnaca Bazan"/>
        <s v="Gisselle Rodriguez"/>
        <s v="Dante Sequeira"/>
        <s v="Linette Melendez"/>
        <s v="Eva"/>
        <s v="Gael Sandoval Garcia"/>
        <s v="Yuliana Correo Uribe"/>
        <s v="Violeta Gatica"/>
        <s v="Marissa Juan Lazcano"/>
        <s v="Paola Sharo Uribe Labra"/>
        <s v="Fer"/>
        <s v="Carlos Leonel Bustos López"/>
        <s v="Vicente Jorge Sequeira Palma"/>
        <s v="Santiago Sequeira"/>
        <s v="Velkan Fuerte"/>
        <s v="Felicitas Juárez Solis"/>
        <s v="Bruno Yescas Godínez"/>
        <s v="Rafaella Sequeira"/>
        <s v="Ar Flores"/>
        <s v="Areira"/>
        <s v="Vivian Lopez"/>
        <s v="Leslie Giselle Zoe Medina Piña"/>
        <s v="Montoya Segura Eva Alondra"/>
        <s v="Nefi Castellanos Rivera"/>
        <s v="Ariel Uribe Labra"/>
        <s v="Alison"/>
        <s v="Nadia"/>
        <s v="David Atl Montero Sierra"/>
        <s v="Luz Elena Ortíz Urzúa"/>
        <s v="Vanessa Ortíz Urzúa"/>
        <s v="Luis Madrigal"/>
        <s v="Laura Madrigal"/>
        <s v="Isabella Regina Vázquez Aburto"/>
        <s v="Ivonne Garcia"/>
        <s v="Scarlett Ley"/>
        <s v="Frida Sofía Ramírez Sánchez"/>
        <s v="Emma Jocelyn Ramirez Sánchez"/>
        <s v="LAURA E.MADRIGAL RAMIREZ"/>
        <s v="Frida María Vázquez Alva"/>
        <s v="Irving Tejeda Deciderio"/>
        <s v="Efraín"/>
        <s v="Santos Joel Miranda Figueroa"/>
        <s v="Avril Arizmendi"/>
        <s v="Brandon Vega Castillo"/>
        <s v="Andrea Loezzy Morales Rosales"/>
        <s v="Ernesto Castellanos Juarez"/>
        <s v="Daniel Soriano Mireles"/>
        <s v="Rubén Soriano Mireles"/>
        <s v="Aarón San Juan Medina"/>
        <s v="Miriam Mireles Rebollo"/>
        <s v="Valeria Pérez Galván"/>
        <s v="Elma MIRELES REBOLLO"/>
        <s v="SERGIO VAZQUEZ ESTRADA"/>
        <s v="Alexander Valdemar Rosas Vázquez"/>
        <s v="Mia Luana Diaz Monroy"/>
        <s v="Roberto Muñoz Liberato"/>
        <s v="Roberto Lehi Muñoz Hernandez"/>
        <s v="Geraldine"/>
        <s v="Azul"/>
        <s v="Kyana Paola Uribe Rodríguez"/>
        <s v="María Fernanda Rodríguez Ramos"/>
        <s v="Ma Del Rosario Cruz Rebollán"/>
        <s v="Vania Melissa Arias"/>
        <s v="Daniel Misael Arias Pedro"/>
        <s v="Edith Ruiz"/>
        <s v="Martha Hilda Haro Delgado"/>
        <s v="Paul Garcia Garduño"/>
        <s v="Ana Vergara"/>
        <s v="Any Alvarez"/>
        <s v="Zahida Monserrat"/>
        <s v="Nataly Gonzalez"/>
        <s v="Lorelaine Juarez Espinosa"/>
        <s v="MELANIE JUAREZ ESPINOSA"/>
        <s v="Gabriela Peralta Aldave"/>
        <s v="Jair Hernandez"/>
        <s v="Sara Nuñez"/>
        <s v="Lisel"/>
        <s v="Dani Raquel"/>
        <s v="Idali González"/>
        <s v="Héctor Raúl Nolasco Carmona"/>
        <s v="YOANA DUARTE NUÑEZ"/>
        <s v="Irasema"/>
        <s v="Kya"/>
        <s v="Leslie Samanta Lira Becerra"/>
        <s v="Camila Mila"/>
        <s v="Celia"/>
        <s v="annia"/>
        <s v="Edgar Eduardo Torres Morales"/>
        <s v="Melissa Velasquez Carbajal"/>
        <s v="Mayte"/>
        <s v="Daniela Bustos"/>
        <s v="Leonel Bustos"/>
        <s v="Jarom Dominguez"/>
        <s v="Antonio Castellanos"/>
        <s v="Yenissei Jiménez Domínguez"/>
        <s v="Ishainna Castellanos Jimenez"/>
        <s v="Yenissei"/>
        <s v="Dulcel Garcia"/>
        <s v="Lia Yekaterina Tello Pacheco"/>
        <s v="David Felix"/>
        <s v="Vanessa Bustos"/>
        <s v="Noemi Melendez"/>
        <s v="Cabrera Ortega Raúl"/>
        <s v="Bárbara Waleska Tello Tello"/>
        <s v="María Fernanda Alvarado Jiménez"/>
        <s v="Marisela García"/>
        <s v="oscar flores"/>
        <s v="Sugeit Arizmendi Morales"/>
        <s v="Ana sofia Alvarado"/>
        <s v="Braulio Betancourt"/>
        <s v="Iris Frausto"/>
        <s v="Jaqueline Jiménez Nápoles"/>
        <s v="Thomas Ilikei Colin González"/>
        <s v="Erika Ricca Aires"/>
        <s v="Jared Domínguez"/>
        <s v="Daniel Helaman Vazuqez Alva"/>
        <s v="Valentina Betancourt Frausto"/>
        <s v="Iker Daniel Santos Cordero"/>
        <s v="Issa Yaretzi Alvarado Jiménez"/>
        <s v="Diego Eduardo Rivera de la Sancha"/>
        <s v="Danna Milenka Tello Tello"/>
        <s v="Suri Damayanti"/>
        <s v="Jorge Dominguez"/>
        <s v="Estaca Villa Coapa"/>
        <s v="Fernanda Sosa"/>
      </sharedItems>
    </cacheField>
    <cacheField name="first_name" numFmtId="0">
      <sharedItems containsBlank="1">
        <s v="Dayami Arizbeth"/>
        <s v="Sariah"/>
        <s v="Naomi"/>
        <s v="Veronica"/>
        <s v="José Luis"/>
        <s v="Marelly"/>
        <s v="Geremy"/>
        <s v="Dinavell"/>
        <s v="Mario"/>
        <s v="Leonardo Flavio"/>
        <s v="Miguel"/>
        <s v="Karina"/>
        <s v="Ana Victoria"/>
        <s v="Alisson"/>
        <s v="Mariana"/>
        <s v="Vitor"/>
        <s v="Maite"/>
        <s v="Marion"/>
        <s v="Maria Jose"/>
        <s v="Maria"/>
        <s v="Ingrid"/>
        <s v="Blanca"/>
        <s v="Gisselle"/>
        <s v="Dante"/>
        <s v="Linette"/>
        <s v="Eva"/>
        <s v="Gael"/>
        <s v="Yuliana"/>
        <s v="Violeta"/>
        <s v="Marissa"/>
        <s v="Paola Sharo"/>
        <s v="Fer"/>
        <s v="Carlos Leonel"/>
        <s v="Vicente"/>
        <s v="Santiago"/>
        <s v="Velkan"/>
        <s v="Felicitas"/>
        <s v="Bruno"/>
        <s v="Rafaella"/>
        <s v="Ar"/>
        <m/>
        <s v="Vivian"/>
        <s v="Leslie"/>
        <s v="Eva Alondra"/>
        <s v="Nefi"/>
        <s v="Ariel"/>
        <s v="Alison"/>
        <s v="Nadia"/>
        <s v="David"/>
        <s v="Luz Elena"/>
        <s v="Vanessa"/>
        <s v="Luis"/>
        <s v="Laura"/>
        <s v="Isabella Regina"/>
        <s v="Ivonne"/>
        <s v="Scarlett"/>
        <s v="Frida Sofía"/>
        <s v="Emma Jocelyn"/>
        <s v="Frida María"/>
        <s v="Irving"/>
        <s v="Efraín"/>
        <s v="Santos"/>
        <s v="Avril"/>
        <s v="Brandon"/>
        <s v="Andrea"/>
        <s v="Ernesto"/>
        <s v="Daniel"/>
        <s v="Rubén"/>
        <s v="Aarón"/>
        <s v="Miriam"/>
        <s v="Valeria"/>
        <s v="Elma"/>
        <s v="Sergio"/>
        <s v="Alexander"/>
        <s v="Mia"/>
        <s v="Roberto"/>
        <s v="Geraldine"/>
        <s v="Azul"/>
        <s v="Kyana Paola"/>
        <s v="María"/>
        <s v="Ma Del Rosario"/>
        <s v="Vania"/>
        <s v="Edith"/>
        <s v="Martha"/>
        <s v="Paul"/>
        <s v="Ana"/>
        <s v="Any"/>
        <s v="Zahida"/>
        <s v="Nataly"/>
        <s v="Lorelaine"/>
        <s v="Melanie"/>
        <s v="Gabriela"/>
        <s v="Jair"/>
        <s v="Sara"/>
        <s v="Lisel"/>
        <s v="Dani"/>
        <s v="Idali"/>
        <s v="Héctor"/>
        <s v="Yoana"/>
        <s v="Irasema"/>
        <s v="Kya"/>
        <s v="Camila"/>
        <s v="Celia"/>
        <s v="Annia"/>
        <s v="Edgar Eduardo"/>
        <s v="Melissa"/>
        <s v="Mayte"/>
        <s v="Daniela"/>
        <s v="Leonel"/>
        <s v="Jarom"/>
        <s v="Antonio"/>
        <s v="Yenissei"/>
        <s v="Ishainna"/>
        <s v="Dulcel"/>
        <s v="Lia Yekaterina"/>
        <s v="Noemi"/>
        <s v="Raúl"/>
        <s v="Bárbara Waleska"/>
        <s v="María Fernanda"/>
        <s v="Marisela"/>
        <s v="Oscar"/>
        <s v="Sugeit"/>
        <s v="Ana Sofia"/>
        <s v="Braulio"/>
        <s v="Iris"/>
        <s v="Jaqueline"/>
        <s v="Thomas"/>
        <s v="Erika"/>
        <s v="Jared"/>
        <s v="Daniel Helaman"/>
        <s v="Valentina"/>
        <s v="Iker"/>
        <s v="Issa Yaretzi"/>
        <s v="Diego"/>
        <s v="Danna Milenka"/>
        <s v="Suri"/>
        <s v="Jorge"/>
        <s v="Tenoch"/>
        <s v="Fernanda"/>
      </sharedItems>
    </cacheField>
    <cacheField name="last_name" numFmtId="0">
      <sharedItems containsBlank="1">
        <s v="Rosas"/>
        <s v="Flores"/>
        <s v="Gonzales"/>
        <s v="Leon Alva"/>
        <s v="Rocha"/>
        <s v="Alejandra Castrejon Ocampo"/>
        <m/>
        <s v="Dominguez"/>
        <s v="Sosar"/>
        <s v="Martinez Leon"/>
        <s v="Baltazar"/>
        <s v="Flores Valtazar"/>
        <s v="Natasha"/>
        <s v="Godinez"/>
        <s v="Sequiera"/>
        <s v="Sequeira"/>
        <s v="Palma Sequiera"/>
        <s v="Uribe Rodriguez"/>
        <s v="De La Paz Labra"/>
        <s v="Yanet Elvir"/>
        <s v="Bazan"/>
        <s v="Rodriguez"/>
        <s v="Melendez"/>
        <s v="Sandoval Garcia"/>
        <s v="Correo Uribe"/>
        <s v="Gatica"/>
        <s v="Juan Lazcano"/>
        <s v="Uribe Labra"/>
        <s v="Bustos López"/>
        <s v="Jorge Sequeira Palma"/>
        <s v="Fuerte"/>
        <s v="Juárez Solis"/>
        <s v="Yescas Godínez"/>
        <s v="Lopez"/>
        <s v="Giselle Zoe Medina Piña"/>
        <s v="Montoya Segura"/>
        <s v="Castellanos Rivera"/>
        <s v="Atl Montero Sierra"/>
        <s v="Ortíz Urzúa"/>
        <s v="Madrigal"/>
        <s v="Vázquez Aburto"/>
        <s v="Garcia"/>
        <s v="Ley"/>
        <s v="Ramírez Sánchez"/>
        <s v="Ramirez Sánchez"/>
        <s v="Madrigal Ramirez"/>
        <s v="Vázquez Alva"/>
        <s v="Tejeda Deciderio"/>
        <s v="Joel Miranda Figueroa"/>
        <s v="Arizmendi"/>
        <s v="Vega Castillo"/>
        <s v="Loezzy Morales Rosales"/>
        <s v="Castellanos Juarez"/>
        <s v="Soriano Mireles"/>
        <s v="San Juan Medina"/>
        <s v="Mireles Rebollo"/>
        <s v="Pérez Galván"/>
        <s v="Vazquez Estrada"/>
        <s v="Valdemar Rosas Vázquez"/>
        <s v="Luana Diaz Monroy"/>
        <s v="Muñoz Liberato"/>
        <s v="Lehi Muñoz Hernandez"/>
        <s v="Uribe Rodríguez"/>
        <s v="Fernanda Rodríguez Ramos"/>
        <s v="Cruz Rebollán"/>
        <s v="Melissa Arias"/>
        <s v="Misael Arias Pedro"/>
        <s v="Ruiz"/>
        <s v="Haro Delgado"/>
        <s v="Garcia Garduño"/>
        <s v="Vergara"/>
        <s v="Alvarez"/>
        <s v="Monserrat"/>
        <s v="Gonzalez"/>
        <s v="Juarez Espinosa"/>
        <s v="Peralta Aldave"/>
        <s v="Hernandez"/>
        <s v="Nuñez"/>
        <s v="Raquel"/>
        <s v="González"/>
        <s v="Raúl Nolasco Carmona"/>
        <s v="Duarte Nuñez"/>
        <s v="Samanta Lira Becerra"/>
        <s v="Mila"/>
        <s v="Torres Morales"/>
        <s v="Velasquez Carbajal"/>
        <s v="Bustos"/>
        <s v="Castellanos"/>
        <s v="Jiménez Domínguez"/>
        <s v="Castellanos Jimenez"/>
        <s v="Tello Pacheco"/>
        <s v="Felix"/>
        <s v="Cabrera Ortega"/>
        <s v="Tello Tello"/>
        <s v="Alvarado Jiménez"/>
        <s v="García"/>
        <s v="Arizmendi Morales"/>
        <s v="Alvarado"/>
        <s v="Betancourt"/>
        <s v="Frausto"/>
        <s v="Jiménez Nápoles"/>
        <s v="Ilikei Colin González"/>
        <s v="Ricca Aires"/>
        <s v="Domínguez"/>
        <s v="Vazuqez Alva"/>
        <s v="Betancourt Frausto"/>
        <s v="Daniel Santos Cordero"/>
        <s v="Eduardo Rivera de la Sancha"/>
        <s v="Damayanti"/>
        <s v="Sosa"/>
      </sharedItems>
    </cacheField>
    <cacheField name="approval_status" numFmtId="0">
      <sharedItems>
        <s v="approved"/>
        <s v="declined"/>
      </sharedItems>
    </cacheField>
    <cacheField name="checked_in_at" numFmtId="0">
      <sharedItems containsBlank="1">
        <m/>
        <s v="2026-09-12T17:40:15.297Z"/>
        <s v="2026-09-12T17:32:55.350Z"/>
        <s v="2026-09-12T17:32:19.073Z"/>
        <s v="2026-09-12T18:23:55.156Z"/>
        <s v="2026-09-12T18:23:16.417Z"/>
        <s v="2026-09-12T17:13:17.040Z"/>
        <s v="2026-09-12T17:08:22.258Z"/>
        <s v="2026-09-12T17:00:08.571Z"/>
        <s v="2026-09-12T16:59:32.676Z"/>
        <s v="2026-09-12T16:59:50.246Z"/>
        <s v="2026-09-12T16:58:35.645Z"/>
        <s v="2026-09-12T16:55:44.724Z"/>
        <s v="2026-09-12T16:53:12.467Z"/>
        <s v="2026-09-12T16:50:14.718Z"/>
        <s v="2026-09-12T16:52:37.367Z"/>
        <s v="2026-09-12T16:50:01.423Z"/>
        <s v="2026-09-12T16:49:23.793Z"/>
        <s v="2026-09-12T16:43:29.561Z"/>
        <s v="2026-09-12T16:42:06.681Z"/>
        <s v="2026-09-12T16:41:56.129Z"/>
        <s v="2026-09-12T16:39:56.041Z"/>
        <s v="2026-09-12T16:46:29.474Z"/>
        <s v="2026-09-12T16:37:56.082Z"/>
        <s v="2026-09-12T17:20:22.979Z"/>
        <s v="2026-09-12T16:32:16.672Z"/>
        <s v="2026-09-12T16:42:31.310Z"/>
        <s v="2026-09-12T16:08:36.412Z"/>
        <s v="2026-09-12T17:03:31.653Z"/>
        <s v="2026-09-12T16:42:18.152Z"/>
        <s v="2026-09-12T15:59:25.037Z"/>
        <s v="2026-09-12T16:01:16.044Z"/>
        <s v="2026-09-12T16:45:48.394Z"/>
        <s v="2026-09-12T16:46:36.035Z"/>
        <s v="2026-09-12T17:03:35.861Z"/>
        <s v="2026-09-12T16:59:50.395Z"/>
        <s v="2026-09-12T16:51:53.344Z"/>
        <s v="2026-09-12T16:46:49.697Z"/>
        <s v="2026-09-12T17:11:47.798Z"/>
        <s v="2026-09-12T17:16:39.005Z"/>
        <s v="2026-09-12T17:10:45.575Z"/>
        <s v="2026-09-12T17:00:04.720Z"/>
        <s v="2026-09-12T16:41:18.441Z"/>
        <s v="2026-09-12T16:42:38.222Z"/>
        <s v="2026-09-12T17:25:25.406Z"/>
        <s v="2026-09-12T17:25:18.256Z"/>
        <s v="2026-09-12T16:30:21.841Z"/>
        <s v="2026-09-12T15:58:58.396Z"/>
        <s v="2026-09-12T16:44:39.603Z"/>
        <s v="2026-09-12T16:44:48.018Z"/>
        <s v="2026-09-12T16:55:55.525Z"/>
        <s v="2026-09-12T17:00:14.197Z"/>
        <s v="2026-09-12T17:06:56.922Z"/>
        <s v="2026-09-12T17:06:45.088Z"/>
        <s v="2026-09-12T17:06:41.346Z"/>
        <s v="2026-09-12T16:44:02.538Z"/>
        <s v="2026-09-12T16:44:21.259Z"/>
        <s v="2026-09-12T16:41:00.387Z"/>
        <s v="2026-09-12T17:16:18.096Z"/>
        <s v="2026-09-12T17:15:42.048Z"/>
        <s v="2026-09-12T17:16:14.896Z"/>
        <s v="2026-09-12T16:52:27.704Z"/>
        <s v="2026-09-12T16:44:30.578Z"/>
        <s v="2026-09-12T16:44:26.675Z"/>
        <s v="2026-09-12T16:45:41.465Z"/>
        <s v="2026-09-12T16:45:19.759Z"/>
        <s v="2026-09-12T16:01:25.141Z"/>
        <s v="2026-09-12T16:29:46.768Z"/>
        <s v="2026-09-12T16:52:17.470Z"/>
        <s v="2026-09-12T15:59:13.516Z"/>
        <s v="2026-09-12T16:55:17.483Z"/>
        <s v="2026-09-12T16:55:15.055Z"/>
        <s v="2026-09-12T16:05:08.131Z"/>
        <s v="2026-09-12T16:04:04.336Z"/>
        <s v="2026-09-12T16:45:40.754Z"/>
        <s v="2026-09-12T16:54:45.089Z"/>
        <s v="2026-09-12T16:03:49.545Z"/>
        <s v="2026-09-12T16:44:02.491Z"/>
        <s v="2026-09-12T16:52:35.340Z"/>
        <s v="2026-09-12T17:25:39.653Z"/>
        <s v="2026-09-12T17:27:56.835Z"/>
      </sharedItems>
    </cacheField>
    <cacheField name="Estatus Asistencia" numFmtId="0">
      <sharedItems>
        <s v="No Asistió"/>
        <s v="Asistió"/>
      </sharedItems>
    </cacheField>
    <cacheField name="Fecha Check-in">
      <sharedItems containsDate="1" containsMixedTypes="1">
        <s v=""/>
        <d v="2026-09-12T00:00:00Z"/>
      </sharedItems>
    </cacheField>
    <cacheField name="referred_by" numFmtId="0">
      <sharedItems containsBlank="1">
        <m/>
        <s v="marioesc11@hotmail.com"/>
        <s v="josemiguelfloresvaltzar@gmail.com"/>
        <s v="emzztk@gmail.com"/>
        <s v="marionpalma.ceramica@gmail.com"/>
        <s v="violetagatica@yahoo.com.mx"/>
        <s v="verofuertejuan@gmail.com"/>
        <s v="sanazu_0511@hotmail.com"/>
        <s v="yenissei.eaa@gmail.com"/>
        <s v="jaqui_usagi@hotmail.com"/>
      </sharedItems>
    </cacheField>
    <cacheField name="Barrio" numFmtId="0">
      <sharedItems>
        <s v="Cedral"/>
        <s v="Acoxpan"/>
        <s v="La noria "/>
        <s v="La noria"/>
        <s v="Villa coapa "/>
        <s v="Azteca"/>
        <s v="Del valle"/>
        <s v="Ciudad alegre "/>
        <s v="San Pablo "/>
        <s v="Villa Coapa"/>
        <s v="Independencia "/>
        <s v="Tlalpan"/>
        <s v="Ixtapaluca"/>
        <s v="Chinampas "/>
        <s v="Hidalgo "/>
        <s v="Cuicuilco "/>
        <s v="Acoxpan "/>
        <s v="Cuicuilco"/>
        <s v="Aragón "/>
        <s v="Xochimilco"/>
        <s v="Xochimilco "/>
        <s v="Jardines"/>
        <s v="Bosque de tlalpan "/>
        <s v="Querétaro "/>
        <s v="Narvarte"/>
        <s v="Rosal"/>
        <s v="San Pedro Mártir 2"/>
        <s v="Cedral "/>
        <s v="San Pedro Mártir 1"/>
        <s v="Rosal "/>
        <s v="Milpa Alta"/>
        <s v="Picacho "/>
        <s v="Azteca "/>
      </sharedItems>
    </cacheField>
    <cacheField name="Barrio Limpio" numFmtId="0">
      <sharedItems>
        <s v="Cedral"/>
        <s v="Acoxpan"/>
        <s v="La Noria"/>
        <s v="Villa Coapa"/>
        <s v="Azteca"/>
        <s v="Del Valle"/>
        <s v="Ciudad Alegre"/>
        <s v="San Pablo"/>
        <s v="Independencia"/>
        <s v="Tlalpan"/>
        <s v="Ixtapaluca"/>
        <s v="Chinampas"/>
        <s v="Hidalgo"/>
        <s v="Cuicuilco"/>
        <s v="Aragón"/>
        <s v="Xochimilco"/>
        <s v="Jardines"/>
        <s v="Bosque De Tlalpan"/>
        <s v="Querétaro"/>
        <s v="Narvarte"/>
        <s v="Rosal"/>
        <s v="San Pedro Mártir 2"/>
        <s v="San Pedro Mártir 1"/>
        <s v="Milpa Alta"/>
        <s v="Picach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D28" firstHeaderRow="0" firstDataRow="1" firstDataCol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approval_status" compact="0" outline="0" multipleItemSelectionAllowed="1" showAll="0">
      <items>
        <item x="0"/>
        <item x="1"/>
        <item t="default"/>
      </items>
    </pivotField>
    <pivotField name="checked_in_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Estatus Asistencia" axis="axisCol" dataField="1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Fecha Check-in" compact="0" outline="0" multipleItemSelectionAllowed="1" showAll="0">
      <items>
        <item x="0"/>
        <item x="1"/>
        <item t="default"/>
      </items>
    </pivotField>
    <pivotField name="referred_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ar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Barrio Limpi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9"/>
  </rowFields>
  <colFields>
    <field x="5"/>
  </colFields>
  <dataFields>
    <dataField name="COUNTA of Estatus Asistencia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uma.com/check-in/evt-uUhcE8jx1Pd49Fv?pk=IoEqjDkPMBemi1X" TargetMode="External"/><Relationship Id="rId42" Type="http://schemas.openxmlformats.org/officeDocument/2006/relationships/hyperlink" Target="https://luma.com/check-in/evt-uUhcE8jx1Pd49Fv?pk=BGlHbyKwg7pNUDt" TargetMode="External"/><Relationship Id="rId41" Type="http://schemas.openxmlformats.org/officeDocument/2006/relationships/hyperlink" Target="https://luma.com/check-in/evt-uUhcE8jx1Pd49Fv?pk=EzInHJEirB7O4ML" TargetMode="External"/><Relationship Id="rId44" Type="http://schemas.openxmlformats.org/officeDocument/2006/relationships/hyperlink" Target="https://luma.com/check-in/evt-uUhcE8jx1Pd49Fv?pk=AqY3Ea4iMwdPtjj" TargetMode="External"/><Relationship Id="rId43" Type="http://schemas.openxmlformats.org/officeDocument/2006/relationships/hyperlink" Target="https://luma.com/check-in/evt-uUhcE8jx1Pd49Fv?pk=PHz9E4yENYBy6Ar" TargetMode="External"/><Relationship Id="rId46" Type="http://schemas.openxmlformats.org/officeDocument/2006/relationships/hyperlink" Target="https://luma.com/check-in/evt-uUhcE8jx1Pd49Fv?pk=FkF9KPukaaMxIWA" TargetMode="External"/><Relationship Id="rId45" Type="http://schemas.openxmlformats.org/officeDocument/2006/relationships/hyperlink" Target="https://luma.com/check-in/evt-uUhcE8jx1Pd49Fv?pk=ni8uIPNg6JsEO0A" TargetMode="External"/><Relationship Id="rId107" Type="http://schemas.openxmlformats.org/officeDocument/2006/relationships/hyperlink" Target="https://luma.com/check-in/evt-uUhcE8jx1Pd49Fv?pk=eS8gIVB5aELYOEn" TargetMode="External"/><Relationship Id="rId106" Type="http://schemas.openxmlformats.org/officeDocument/2006/relationships/hyperlink" Target="https://luma.com/check-in/evt-uUhcE8jx1Pd49Fv?pk=oF0f2D6P3z899bZ" TargetMode="External"/><Relationship Id="rId105" Type="http://schemas.openxmlformats.org/officeDocument/2006/relationships/hyperlink" Target="https://luma.com/check-in/evt-uUhcE8jx1Pd49Fv?pk=HzCPHBr07tvRkSJ" TargetMode="External"/><Relationship Id="rId104" Type="http://schemas.openxmlformats.org/officeDocument/2006/relationships/hyperlink" Target="https://luma.com/check-in/evt-uUhcE8jx1Pd49Fv?pk=CGdugLrmwgJRYtA" TargetMode="External"/><Relationship Id="rId109" Type="http://schemas.openxmlformats.org/officeDocument/2006/relationships/hyperlink" Target="https://luma.com/check-in/evt-uUhcE8jx1Pd49Fv?pk=dp6E0r4HmYazSM9" TargetMode="External"/><Relationship Id="rId108" Type="http://schemas.openxmlformats.org/officeDocument/2006/relationships/hyperlink" Target="https://luma.com/check-in/evt-uUhcE8jx1Pd49Fv?pk=7V69zVJaUUqHSdp" TargetMode="External"/><Relationship Id="rId48" Type="http://schemas.openxmlformats.org/officeDocument/2006/relationships/hyperlink" Target="https://luma.com/check-in/evt-uUhcE8jx1Pd49Fv?pk=Hg8gXh5gsWBBiwS" TargetMode="External"/><Relationship Id="rId47" Type="http://schemas.openxmlformats.org/officeDocument/2006/relationships/hyperlink" Target="https://luma.com/check-in/evt-uUhcE8jx1Pd49Fv?pk=udXMgoQvx52FruV" TargetMode="External"/><Relationship Id="rId49" Type="http://schemas.openxmlformats.org/officeDocument/2006/relationships/hyperlink" Target="https://luma.com/check-in/evt-uUhcE8jx1Pd49Fv?pk=G7ZPj6yJTDmR7Q2" TargetMode="External"/><Relationship Id="rId103" Type="http://schemas.openxmlformats.org/officeDocument/2006/relationships/hyperlink" Target="https://luma.com/check-in/evt-uUhcE8jx1Pd49Fv?pk=TAJDrrjgoNkX0ch" TargetMode="External"/><Relationship Id="rId102" Type="http://schemas.openxmlformats.org/officeDocument/2006/relationships/hyperlink" Target="https://luma.com/check-in/evt-uUhcE8jx1Pd49Fv?pk=B38RIZs1laxU7v0" TargetMode="External"/><Relationship Id="rId101" Type="http://schemas.openxmlformats.org/officeDocument/2006/relationships/hyperlink" Target="https://luma.com/check-in/evt-uUhcE8jx1Pd49Fv?pk=Ggfw0DmhCLPwZeq" TargetMode="External"/><Relationship Id="rId100" Type="http://schemas.openxmlformats.org/officeDocument/2006/relationships/hyperlink" Target="https://luma.com/check-in/evt-uUhcE8jx1Pd49Fv?pk=KTAL6CKMPkC1ScR" TargetMode="External"/><Relationship Id="rId31" Type="http://schemas.openxmlformats.org/officeDocument/2006/relationships/hyperlink" Target="https://luma.com/check-in/evt-uUhcE8jx1Pd49Fv?pk=rdfJ3zDISTKu85H" TargetMode="External"/><Relationship Id="rId30" Type="http://schemas.openxmlformats.org/officeDocument/2006/relationships/hyperlink" Target="https://luma.com/check-in/evt-uUhcE8jx1Pd49Fv?pk=QBnlhjB17Zzt8nM" TargetMode="External"/><Relationship Id="rId33" Type="http://schemas.openxmlformats.org/officeDocument/2006/relationships/hyperlink" Target="https://luma.com/check-in/evt-uUhcE8jx1Pd49Fv?pk=TSF2OIi7bBcXxEd" TargetMode="External"/><Relationship Id="rId32" Type="http://schemas.openxmlformats.org/officeDocument/2006/relationships/hyperlink" Target="https://luma.com/check-in/evt-uUhcE8jx1Pd49Fv?pk=R7zoFf62Z3iDtD5" TargetMode="External"/><Relationship Id="rId35" Type="http://schemas.openxmlformats.org/officeDocument/2006/relationships/hyperlink" Target="https://luma.com/check-in/evt-uUhcE8jx1Pd49Fv?pk=4NJEHUvzoGuJ8nc" TargetMode="External"/><Relationship Id="rId34" Type="http://schemas.openxmlformats.org/officeDocument/2006/relationships/hyperlink" Target="https://luma.com/check-in/evt-uUhcE8jx1Pd49Fv?pk=PAFBR6EuaNoLonU" TargetMode="External"/><Relationship Id="rId37" Type="http://schemas.openxmlformats.org/officeDocument/2006/relationships/hyperlink" Target="https://luma.com/check-in/evt-uUhcE8jx1Pd49Fv?pk=sDNUUnfbAAG1aSx" TargetMode="External"/><Relationship Id="rId36" Type="http://schemas.openxmlformats.org/officeDocument/2006/relationships/hyperlink" Target="https://luma.com/check-in/evt-uUhcE8jx1Pd49Fv?pk=dHthoz3nwT1njrZ" TargetMode="External"/><Relationship Id="rId39" Type="http://schemas.openxmlformats.org/officeDocument/2006/relationships/hyperlink" Target="https://luma.com/check-in/evt-uUhcE8jx1Pd49Fv?pk=keQlwlhqHbmsnWd" TargetMode="External"/><Relationship Id="rId38" Type="http://schemas.openxmlformats.org/officeDocument/2006/relationships/hyperlink" Target="https://luma.com/check-in/evt-uUhcE8jx1Pd49Fv?pk=CYYHO0M5i85MBQX" TargetMode="External"/><Relationship Id="rId20" Type="http://schemas.openxmlformats.org/officeDocument/2006/relationships/hyperlink" Target="https://luma.com/check-in/evt-uUhcE8jx1Pd49Fv?pk=uTeegCM4ICHXsdA" TargetMode="External"/><Relationship Id="rId22" Type="http://schemas.openxmlformats.org/officeDocument/2006/relationships/hyperlink" Target="https://luma.com/check-in/evt-uUhcE8jx1Pd49Fv?pk=QGvhxo9schYK9VC" TargetMode="External"/><Relationship Id="rId21" Type="http://schemas.openxmlformats.org/officeDocument/2006/relationships/hyperlink" Target="https://luma.com/check-in/evt-uUhcE8jx1Pd49Fv?pk=5aV8UIHi8xqHxqs" TargetMode="External"/><Relationship Id="rId24" Type="http://schemas.openxmlformats.org/officeDocument/2006/relationships/hyperlink" Target="https://luma.com/check-in/evt-uUhcE8jx1Pd49Fv?pk=n9QFuHCc7ODtJCW" TargetMode="External"/><Relationship Id="rId23" Type="http://schemas.openxmlformats.org/officeDocument/2006/relationships/hyperlink" Target="https://luma.com/check-in/evt-uUhcE8jx1Pd49Fv?pk=JPat68NnIaM8aDW" TargetMode="External"/><Relationship Id="rId129" Type="http://schemas.openxmlformats.org/officeDocument/2006/relationships/hyperlink" Target="https://luma.com/check-in/evt-uUhcE8jx1Pd49Fv?pk=LwDwseBSgAVF1Pe" TargetMode="External"/><Relationship Id="rId128" Type="http://schemas.openxmlformats.org/officeDocument/2006/relationships/hyperlink" Target="https://luma.com/check-in/evt-uUhcE8jx1Pd49Fv?pk=4B8bCBwYlMhYmhQ" TargetMode="External"/><Relationship Id="rId127" Type="http://schemas.openxmlformats.org/officeDocument/2006/relationships/hyperlink" Target="https://luma.com/check-in/evt-uUhcE8jx1Pd49Fv?pk=lrndMRgUrci3t4k" TargetMode="External"/><Relationship Id="rId126" Type="http://schemas.openxmlformats.org/officeDocument/2006/relationships/hyperlink" Target="https://luma.com/check-in/evt-uUhcE8jx1Pd49Fv?pk=tFI6gMCjzWZW2Hj" TargetMode="External"/><Relationship Id="rId26" Type="http://schemas.openxmlformats.org/officeDocument/2006/relationships/hyperlink" Target="https://luma.com/check-in/evt-uUhcE8jx1Pd49Fv?pk=bpQ6ks2DUXj9CZl" TargetMode="External"/><Relationship Id="rId121" Type="http://schemas.openxmlformats.org/officeDocument/2006/relationships/hyperlink" Target="https://luma.com/check-in/evt-uUhcE8jx1Pd49Fv?pk=qqeFxMrHOssjUkE" TargetMode="External"/><Relationship Id="rId25" Type="http://schemas.openxmlformats.org/officeDocument/2006/relationships/hyperlink" Target="https://luma.com/check-in/evt-uUhcE8jx1Pd49Fv?pk=elkO8UxYcv4OK4h" TargetMode="External"/><Relationship Id="rId120" Type="http://schemas.openxmlformats.org/officeDocument/2006/relationships/hyperlink" Target="https://luma.com/check-in/evt-uUhcE8jx1Pd49Fv?pk=prSRHRZxVlfWvPF" TargetMode="External"/><Relationship Id="rId28" Type="http://schemas.openxmlformats.org/officeDocument/2006/relationships/hyperlink" Target="https://luma.com/check-in/evt-uUhcE8jx1Pd49Fv?pk=UHMNM93zmcgV08I" TargetMode="External"/><Relationship Id="rId27" Type="http://schemas.openxmlformats.org/officeDocument/2006/relationships/hyperlink" Target="https://luma.com/check-in/evt-uUhcE8jx1Pd49Fv?pk=R5X0HFsFxA3g57z" TargetMode="External"/><Relationship Id="rId125" Type="http://schemas.openxmlformats.org/officeDocument/2006/relationships/hyperlink" Target="https://luma.com/check-in/evt-uUhcE8jx1Pd49Fv?pk=xUQ02YdGAKbWomW" TargetMode="External"/><Relationship Id="rId29" Type="http://schemas.openxmlformats.org/officeDocument/2006/relationships/hyperlink" Target="https://luma.com/check-in/evt-uUhcE8jx1Pd49Fv?pk=CbVWPbNqPEoQGzj" TargetMode="External"/><Relationship Id="rId124" Type="http://schemas.openxmlformats.org/officeDocument/2006/relationships/hyperlink" Target="https://luma.com/check-in/evt-uUhcE8jx1Pd49Fv?pk=ZbjPW3vQ0wVkE7T" TargetMode="External"/><Relationship Id="rId123" Type="http://schemas.openxmlformats.org/officeDocument/2006/relationships/hyperlink" Target="https://luma.com/check-in/evt-uUhcE8jx1Pd49Fv?pk=hVSmUMg4xOXCSFc" TargetMode="External"/><Relationship Id="rId122" Type="http://schemas.openxmlformats.org/officeDocument/2006/relationships/hyperlink" Target="https://luma.com/check-in/evt-uUhcE8jx1Pd49Fv?pk=Ea6Az6uhebdbQYn" TargetMode="External"/><Relationship Id="rId95" Type="http://schemas.openxmlformats.org/officeDocument/2006/relationships/hyperlink" Target="https://luma.com/check-in/evt-uUhcE8jx1Pd49Fv?pk=F7oR0VipvcMIbTY" TargetMode="External"/><Relationship Id="rId94" Type="http://schemas.openxmlformats.org/officeDocument/2006/relationships/hyperlink" Target="https://luma.com/check-in/evt-uUhcE8jx1Pd49Fv?pk=G0bKJjkeUHQ4Y4a" TargetMode="External"/><Relationship Id="rId97" Type="http://schemas.openxmlformats.org/officeDocument/2006/relationships/hyperlink" Target="https://luma.com/check-in/evt-uUhcE8jx1Pd49Fv?pk=KNzmxnqXAHO1IaM" TargetMode="External"/><Relationship Id="rId96" Type="http://schemas.openxmlformats.org/officeDocument/2006/relationships/hyperlink" Target="https://luma.com/check-in/evt-uUhcE8jx1Pd49Fv?pk=kgtVD0b2ijkovXm" TargetMode="External"/><Relationship Id="rId11" Type="http://schemas.openxmlformats.org/officeDocument/2006/relationships/hyperlink" Target="https://luma.com/check-in/evt-uUhcE8jx1Pd49Fv?pk=WPrqDb35J31FwIv" TargetMode="External"/><Relationship Id="rId99" Type="http://schemas.openxmlformats.org/officeDocument/2006/relationships/hyperlink" Target="https://luma.com/check-in/evt-uUhcE8jx1Pd49Fv?pk=Q7BkwQ8oeUOqbXI" TargetMode="External"/><Relationship Id="rId10" Type="http://schemas.openxmlformats.org/officeDocument/2006/relationships/hyperlink" Target="https://luma.com/check-in/evt-uUhcE8jx1Pd49Fv?pk=5c0hVQFR03hxAfb" TargetMode="External"/><Relationship Id="rId98" Type="http://schemas.openxmlformats.org/officeDocument/2006/relationships/hyperlink" Target="https://luma.com/check-in/evt-uUhcE8jx1Pd49Fv?pk=0qMt7hVg5ktcqCd" TargetMode="External"/><Relationship Id="rId13" Type="http://schemas.openxmlformats.org/officeDocument/2006/relationships/hyperlink" Target="https://luma.com/check-in/evt-uUhcE8jx1Pd49Fv?pk=nVMTvMeoQQn3EEN" TargetMode="External"/><Relationship Id="rId12" Type="http://schemas.openxmlformats.org/officeDocument/2006/relationships/hyperlink" Target="https://luma.com/check-in/evt-uUhcE8jx1Pd49Fv?pk=ys8NW4Du8lcxdZH" TargetMode="External"/><Relationship Id="rId91" Type="http://schemas.openxmlformats.org/officeDocument/2006/relationships/hyperlink" Target="https://luma.com/check-in/evt-uUhcE8jx1Pd49Fv?pk=cBYGdhApQqu4mcd" TargetMode="External"/><Relationship Id="rId90" Type="http://schemas.openxmlformats.org/officeDocument/2006/relationships/hyperlink" Target="https://luma.com/check-in/evt-uUhcE8jx1Pd49Fv?pk=3JRfBqzKYtebFkJ" TargetMode="External"/><Relationship Id="rId93" Type="http://schemas.openxmlformats.org/officeDocument/2006/relationships/hyperlink" Target="https://luma.com/check-in/evt-uUhcE8jx1Pd49Fv?pk=mcajF5JDF69Ivdr" TargetMode="External"/><Relationship Id="rId92" Type="http://schemas.openxmlformats.org/officeDocument/2006/relationships/hyperlink" Target="https://luma.com/check-in/evt-uUhcE8jx1Pd49Fv?pk=yjws9CGf609EAMf" TargetMode="External"/><Relationship Id="rId118" Type="http://schemas.openxmlformats.org/officeDocument/2006/relationships/hyperlink" Target="https://luma.com/check-in/evt-uUhcE8jx1Pd49Fv?pk=EkhL4mwi4dDf8KK" TargetMode="External"/><Relationship Id="rId117" Type="http://schemas.openxmlformats.org/officeDocument/2006/relationships/hyperlink" Target="https://luma.com/check-in/evt-uUhcE8jx1Pd49Fv?pk=VssjSiYHYe9GIsY" TargetMode="External"/><Relationship Id="rId116" Type="http://schemas.openxmlformats.org/officeDocument/2006/relationships/hyperlink" Target="https://luma.com/check-in/evt-uUhcE8jx1Pd49Fv?pk=VWhvLjsmVFUzpnA" TargetMode="External"/><Relationship Id="rId115" Type="http://schemas.openxmlformats.org/officeDocument/2006/relationships/hyperlink" Target="https://luma.com/check-in/evt-uUhcE8jx1Pd49Fv?pk=WhrIBgbBMvYDF2B" TargetMode="External"/><Relationship Id="rId119" Type="http://schemas.openxmlformats.org/officeDocument/2006/relationships/hyperlink" Target="https://luma.com/check-in/evt-uUhcE8jx1Pd49Fv?pk=2Z535R8O95kX16u" TargetMode="External"/><Relationship Id="rId15" Type="http://schemas.openxmlformats.org/officeDocument/2006/relationships/hyperlink" Target="https://luma.com/check-in/evt-uUhcE8jx1Pd49Fv?pk=xJWCFHszSP4FSt7" TargetMode="External"/><Relationship Id="rId110" Type="http://schemas.openxmlformats.org/officeDocument/2006/relationships/hyperlink" Target="https://luma.com/check-in/evt-uUhcE8jx1Pd49Fv?pk=J6bNclPkRO1iDZM" TargetMode="External"/><Relationship Id="rId14" Type="http://schemas.openxmlformats.org/officeDocument/2006/relationships/hyperlink" Target="https://luma.com/check-in/evt-uUhcE8jx1Pd49Fv?pk=qPgXqm5mLTthDfd" TargetMode="External"/><Relationship Id="rId17" Type="http://schemas.openxmlformats.org/officeDocument/2006/relationships/hyperlink" Target="https://luma.com/check-in/evt-uUhcE8jx1Pd49Fv?pk=KgvgaGceNCCJawY" TargetMode="External"/><Relationship Id="rId16" Type="http://schemas.openxmlformats.org/officeDocument/2006/relationships/hyperlink" Target="https://luma.com/check-in/evt-uUhcE8jx1Pd49Fv?pk=ix0oMaOLoqSpx3k" TargetMode="External"/><Relationship Id="rId19" Type="http://schemas.openxmlformats.org/officeDocument/2006/relationships/hyperlink" Target="https://luma.com/check-in/evt-uUhcE8jx1Pd49Fv?pk=305ojMFFzX6lch6" TargetMode="External"/><Relationship Id="rId114" Type="http://schemas.openxmlformats.org/officeDocument/2006/relationships/hyperlink" Target="https://luma.com/check-in/evt-uUhcE8jx1Pd49Fv?pk=y0WMTV0KOphEeCh" TargetMode="External"/><Relationship Id="rId18" Type="http://schemas.openxmlformats.org/officeDocument/2006/relationships/hyperlink" Target="https://luma.com/check-in/evt-uUhcE8jx1Pd49Fv?pk=5vzP6RVwlWH2X1t" TargetMode="External"/><Relationship Id="rId113" Type="http://schemas.openxmlformats.org/officeDocument/2006/relationships/hyperlink" Target="https://luma.com/check-in/evt-uUhcE8jx1Pd49Fv?pk=O0sxrcoUC6r7atp" TargetMode="External"/><Relationship Id="rId112" Type="http://schemas.openxmlformats.org/officeDocument/2006/relationships/hyperlink" Target="https://luma.com/check-in/evt-uUhcE8jx1Pd49Fv?pk=4ZqEp35V2Jr94x4" TargetMode="External"/><Relationship Id="rId111" Type="http://schemas.openxmlformats.org/officeDocument/2006/relationships/hyperlink" Target="https://luma.com/check-in/evt-uUhcE8jx1Pd49Fv?pk=OtjSM8MJr8PmWbj" TargetMode="External"/><Relationship Id="rId84" Type="http://schemas.openxmlformats.org/officeDocument/2006/relationships/hyperlink" Target="https://luma.com/check-in/evt-uUhcE8jx1Pd49Fv?pk=3NHnew7s3sYLNhE" TargetMode="External"/><Relationship Id="rId83" Type="http://schemas.openxmlformats.org/officeDocument/2006/relationships/hyperlink" Target="https://luma.com/check-in/evt-uUhcE8jx1Pd49Fv?pk=xz3mWEzKChXe1nv" TargetMode="External"/><Relationship Id="rId86" Type="http://schemas.openxmlformats.org/officeDocument/2006/relationships/hyperlink" Target="https://luma.com/check-in/evt-uUhcE8jx1Pd49Fv?pk=QHiFPqoajPtEYhS" TargetMode="External"/><Relationship Id="rId85" Type="http://schemas.openxmlformats.org/officeDocument/2006/relationships/hyperlink" Target="https://luma.com/check-in/evt-uUhcE8jx1Pd49Fv?pk=CsviSnpHYqTjLmN" TargetMode="External"/><Relationship Id="rId88" Type="http://schemas.openxmlformats.org/officeDocument/2006/relationships/hyperlink" Target="https://luma.com/check-in/evt-uUhcE8jx1Pd49Fv?pk=Mg8pEhd0zfwcIks" TargetMode="External"/><Relationship Id="rId87" Type="http://schemas.openxmlformats.org/officeDocument/2006/relationships/hyperlink" Target="https://luma.com/check-in/evt-uUhcE8jx1Pd49Fv?pk=EYF6FB73RRAOCyO" TargetMode="External"/><Relationship Id="rId89" Type="http://schemas.openxmlformats.org/officeDocument/2006/relationships/hyperlink" Target="https://luma.com/check-in/evt-uUhcE8jx1Pd49Fv?pk=UwWxGTiUXicUXzV" TargetMode="External"/><Relationship Id="rId80" Type="http://schemas.openxmlformats.org/officeDocument/2006/relationships/hyperlink" Target="https://luma.com/check-in/evt-uUhcE8jx1Pd49Fv?pk=ETqxhdNnq9TwTL0" TargetMode="External"/><Relationship Id="rId82" Type="http://schemas.openxmlformats.org/officeDocument/2006/relationships/hyperlink" Target="https://luma.com/check-in/evt-uUhcE8jx1Pd49Fv?pk=1Yq4RyoNYBwaeX1" TargetMode="External"/><Relationship Id="rId81" Type="http://schemas.openxmlformats.org/officeDocument/2006/relationships/hyperlink" Target="https://luma.com/check-in/evt-uUhcE8jx1Pd49Fv?pk=DIqJT3n3s30kvmh" TargetMode="External"/><Relationship Id="rId1" Type="http://schemas.openxmlformats.org/officeDocument/2006/relationships/hyperlink" Target="https://luma.com/check-in/evt-uUhcE8jx1Pd49Fv?pk=oqJ0RnNnUZuyKMp" TargetMode="External"/><Relationship Id="rId2" Type="http://schemas.openxmlformats.org/officeDocument/2006/relationships/hyperlink" Target="https://luma.com/check-in/evt-uUhcE8jx1Pd49Fv?pk=q3HjZSJCXHbYMp1" TargetMode="External"/><Relationship Id="rId3" Type="http://schemas.openxmlformats.org/officeDocument/2006/relationships/hyperlink" Target="https://luma.com/check-in/evt-uUhcE8jx1Pd49Fv?pk=SnnnVzjwbIEiX2Y" TargetMode="External"/><Relationship Id="rId149" Type="http://schemas.openxmlformats.org/officeDocument/2006/relationships/drawing" Target="../drawings/drawing4.xml"/><Relationship Id="rId4" Type="http://schemas.openxmlformats.org/officeDocument/2006/relationships/hyperlink" Target="https://luma.com/check-in/evt-uUhcE8jx1Pd49Fv?pk=Zmz0e7eDEPVoNBm" TargetMode="External"/><Relationship Id="rId148" Type="http://schemas.openxmlformats.org/officeDocument/2006/relationships/hyperlink" Target="https://luma.com/check-in/evt-uUhcE8jx1Pd49Fv?pk=g-RLidMym0lPtlTGo" TargetMode="External"/><Relationship Id="rId9" Type="http://schemas.openxmlformats.org/officeDocument/2006/relationships/hyperlink" Target="https://luma.com/check-in/evt-uUhcE8jx1Pd49Fv?pk=lAA57VgmElYM17d" TargetMode="External"/><Relationship Id="rId143" Type="http://schemas.openxmlformats.org/officeDocument/2006/relationships/hyperlink" Target="https://luma.com/check-in/evt-uUhcE8jx1Pd49Fv?pk=4JrqaV0ZRUcZYiA" TargetMode="External"/><Relationship Id="rId142" Type="http://schemas.openxmlformats.org/officeDocument/2006/relationships/hyperlink" Target="https://luma.com/check-in/evt-uUhcE8jx1Pd49Fv?pk=oqkSugjmCjbnFq0" TargetMode="External"/><Relationship Id="rId141" Type="http://schemas.openxmlformats.org/officeDocument/2006/relationships/hyperlink" Target="https://luma.com/check-in/evt-uUhcE8jx1Pd49Fv?pk=pFnAG3nWwVRWDMT" TargetMode="External"/><Relationship Id="rId140" Type="http://schemas.openxmlformats.org/officeDocument/2006/relationships/hyperlink" Target="https://luma.com/check-in/evt-uUhcE8jx1Pd49Fv?pk=L5kUvMoJtG0nuaP" TargetMode="External"/><Relationship Id="rId5" Type="http://schemas.openxmlformats.org/officeDocument/2006/relationships/hyperlink" Target="https://luma.com/check-in/evt-uUhcE8jx1Pd49Fv?pk=FOsQiuiVdHdX7vb" TargetMode="External"/><Relationship Id="rId147" Type="http://schemas.openxmlformats.org/officeDocument/2006/relationships/hyperlink" Target="https://luma.com/check-in/evt-uUhcE8jx1Pd49Fv?pk=g-HIupQx6YLbD3bFr" TargetMode="External"/><Relationship Id="rId6" Type="http://schemas.openxmlformats.org/officeDocument/2006/relationships/hyperlink" Target="https://luma.com/check-in/evt-uUhcE8jx1Pd49Fv?pk=OkgX78C0RLN2rrZ" TargetMode="External"/><Relationship Id="rId146" Type="http://schemas.openxmlformats.org/officeDocument/2006/relationships/hyperlink" Target="https://luma.com/check-in/evt-uUhcE8jx1Pd49Fv?pk=NB3OmUbAEuzj6or" TargetMode="External"/><Relationship Id="rId7" Type="http://schemas.openxmlformats.org/officeDocument/2006/relationships/hyperlink" Target="https://luma.com/check-in/evt-uUhcE8jx1Pd49Fv?pk=HPm4nuMadEwBOfp" TargetMode="External"/><Relationship Id="rId145" Type="http://schemas.openxmlformats.org/officeDocument/2006/relationships/hyperlink" Target="https://luma.com/check-in/evt-uUhcE8jx1Pd49Fv?pk=4tVz1MBRxRw5EhP" TargetMode="External"/><Relationship Id="rId8" Type="http://schemas.openxmlformats.org/officeDocument/2006/relationships/hyperlink" Target="https://luma.com/check-in/evt-uUhcE8jx1Pd49Fv?pk=y2KqAUBAd9HC6Kh" TargetMode="External"/><Relationship Id="rId144" Type="http://schemas.openxmlformats.org/officeDocument/2006/relationships/hyperlink" Target="https://luma.com/check-in/evt-uUhcE8jx1Pd49Fv?pk=3WFohcKIvpGOycR" TargetMode="External"/><Relationship Id="rId73" Type="http://schemas.openxmlformats.org/officeDocument/2006/relationships/hyperlink" Target="https://luma.com/check-in/evt-uUhcE8jx1Pd49Fv?pk=lBN3bQH1xafHNdB" TargetMode="External"/><Relationship Id="rId72" Type="http://schemas.openxmlformats.org/officeDocument/2006/relationships/hyperlink" Target="https://luma.com/check-in/evt-uUhcE8jx1Pd49Fv?pk=W43QFqK4DDj4hSr" TargetMode="External"/><Relationship Id="rId75" Type="http://schemas.openxmlformats.org/officeDocument/2006/relationships/hyperlink" Target="https://luma.com/check-in/evt-uUhcE8jx1Pd49Fv?pk=sEfmy3CUvBf51nU" TargetMode="External"/><Relationship Id="rId74" Type="http://schemas.openxmlformats.org/officeDocument/2006/relationships/hyperlink" Target="https://luma.com/check-in/evt-uUhcE8jx1Pd49Fv?pk=Qfba6PI7L57A9qt" TargetMode="External"/><Relationship Id="rId77" Type="http://schemas.openxmlformats.org/officeDocument/2006/relationships/hyperlink" Target="https://luma.com/check-in/evt-uUhcE8jx1Pd49Fv?pk=Fv43fmdWrAKLnDY" TargetMode="External"/><Relationship Id="rId76" Type="http://schemas.openxmlformats.org/officeDocument/2006/relationships/hyperlink" Target="https://luma.com/check-in/evt-uUhcE8jx1Pd49Fv?pk=sE5At1RCucaHtMD" TargetMode="External"/><Relationship Id="rId79" Type="http://schemas.openxmlformats.org/officeDocument/2006/relationships/hyperlink" Target="https://luma.com/check-in/evt-uUhcE8jx1Pd49Fv?pk=RPXWVu3pdbiCxu9" TargetMode="External"/><Relationship Id="rId78" Type="http://schemas.openxmlformats.org/officeDocument/2006/relationships/hyperlink" Target="https://luma.com/check-in/evt-uUhcE8jx1Pd49Fv?pk=pge7kVI5YDPcwDy" TargetMode="External"/><Relationship Id="rId71" Type="http://schemas.openxmlformats.org/officeDocument/2006/relationships/hyperlink" Target="https://luma.com/check-in/evt-uUhcE8jx1Pd49Fv?pk=vex9AngJ5e8n6yD" TargetMode="External"/><Relationship Id="rId70" Type="http://schemas.openxmlformats.org/officeDocument/2006/relationships/hyperlink" Target="https://luma.com/check-in/evt-uUhcE8jx1Pd49Fv?pk=FSRFU8XWAGdP7ea" TargetMode="External"/><Relationship Id="rId139" Type="http://schemas.openxmlformats.org/officeDocument/2006/relationships/hyperlink" Target="https://luma.com/check-in/evt-uUhcE8jx1Pd49Fv?pk=1BN3Gx5hhAdiSkD" TargetMode="External"/><Relationship Id="rId138" Type="http://schemas.openxmlformats.org/officeDocument/2006/relationships/hyperlink" Target="https://luma.com/check-in/evt-uUhcE8jx1Pd49Fv?pk=1OvYpdSHcTcRNtE" TargetMode="External"/><Relationship Id="rId137" Type="http://schemas.openxmlformats.org/officeDocument/2006/relationships/hyperlink" Target="https://luma.com/check-in/evt-uUhcE8jx1Pd49Fv?pk=mKA7gxA0daMdGVF" TargetMode="External"/><Relationship Id="rId132" Type="http://schemas.openxmlformats.org/officeDocument/2006/relationships/hyperlink" Target="https://luma.com/check-in/evt-uUhcE8jx1Pd49Fv?pk=GEunhDlEEUIf6IC" TargetMode="External"/><Relationship Id="rId131" Type="http://schemas.openxmlformats.org/officeDocument/2006/relationships/hyperlink" Target="https://luma.com/check-in/evt-uUhcE8jx1Pd49Fv?pk=DW5DumDyvpOEfGd" TargetMode="External"/><Relationship Id="rId130" Type="http://schemas.openxmlformats.org/officeDocument/2006/relationships/hyperlink" Target="https://luma.com/check-in/evt-uUhcE8jx1Pd49Fv?pk=z1qBUhNMFMj3giP" TargetMode="External"/><Relationship Id="rId136" Type="http://schemas.openxmlformats.org/officeDocument/2006/relationships/hyperlink" Target="https://luma.com/check-in/evt-uUhcE8jx1Pd49Fv?pk=w7Oc9lhtDZspA7o" TargetMode="External"/><Relationship Id="rId135" Type="http://schemas.openxmlformats.org/officeDocument/2006/relationships/hyperlink" Target="https://luma.com/check-in/evt-uUhcE8jx1Pd49Fv?pk=efnICH0e9LWRDEJ" TargetMode="External"/><Relationship Id="rId134" Type="http://schemas.openxmlformats.org/officeDocument/2006/relationships/hyperlink" Target="https://luma.com/check-in/evt-uUhcE8jx1Pd49Fv?pk=mqImioHTZ5FFzhy" TargetMode="External"/><Relationship Id="rId133" Type="http://schemas.openxmlformats.org/officeDocument/2006/relationships/hyperlink" Target="https://luma.com/check-in/evt-uUhcE8jx1Pd49Fv?pk=73GYPsP1xSIDAG1" TargetMode="External"/><Relationship Id="rId62" Type="http://schemas.openxmlformats.org/officeDocument/2006/relationships/hyperlink" Target="https://luma.com/check-in/evt-uUhcE8jx1Pd49Fv?pk=WMPjk8DSd3hFwun" TargetMode="External"/><Relationship Id="rId61" Type="http://schemas.openxmlformats.org/officeDocument/2006/relationships/hyperlink" Target="https://luma.com/check-in/evt-uUhcE8jx1Pd49Fv?pk=DvNJPGkSDk46C3j" TargetMode="External"/><Relationship Id="rId64" Type="http://schemas.openxmlformats.org/officeDocument/2006/relationships/hyperlink" Target="https://luma.com/check-in/evt-uUhcE8jx1Pd49Fv?pk=u99uv67RwzhP2hR" TargetMode="External"/><Relationship Id="rId63" Type="http://schemas.openxmlformats.org/officeDocument/2006/relationships/hyperlink" Target="https://luma.com/check-in/evt-uUhcE8jx1Pd49Fv?pk=Ic0M0Qc2wvf5rKC" TargetMode="External"/><Relationship Id="rId66" Type="http://schemas.openxmlformats.org/officeDocument/2006/relationships/hyperlink" Target="https://luma.com/check-in/evt-uUhcE8jx1Pd49Fv?pk=sQ1WzvGOKtAKHo4" TargetMode="External"/><Relationship Id="rId65" Type="http://schemas.openxmlformats.org/officeDocument/2006/relationships/hyperlink" Target="https://luma.com/check-in/evt-uUhcE8jx1Pd49Fv?pk=aezLymIvpgVhUCl" TargetMode="External"/><Relationship Id="rId68" Type="http://schemas.openxmlformats.org/officeDocument/2006/relationships/hyperlink" Target="https://luma.com/check-in/evt-uUhcE8jx1Pd49Fv?pk=NTe35uhx5rtzFKr" TargetMode="External"/><Relationship Id="rId67" Type="http://schemas.openxmlformats.org/officeDocument/2006/relationships/hyperlink" Target="https://luma.com/check-in/evt-uUhcE8jx1Pd49Fv?pk=BVFPIlnKU46OHWL" TargetMode="External"/><Relationship Id="rId60" Type="http://schemas.openxmlformats.org/officeDocument/2006/relationships/hyperlink" Target="https://luma.com/check-in/evt-uUhcE8jx1Pd49Fv?pk=NvSj57jxPId6g5h" TargetMode="External"/><Relationship Id="rId69" Type="http://schemas.openxmlformats.org/officeDocument/2006/relationships/hyperlink" Target="https://luma.com/check-in/evt-uUhcE8jx1Pd49Fv?pk=nrKXLajRHR77XJP" TargetMode="External"/><Relationship Id="rId51" Type="http://schemas.openxmlformats.org/officeDocument/2006/relationships/hyperlink" Target="https://luma.com/check-in/evt-uUhcE8jx1Pd49Fv?pk=YGJNoSoA0yWLiEv" TargetMode="External"/><Relationship Id="rId50" Type="http://schemas.openxmlformats.org/officeDocument/2006/relationships/hyperlink" Target="https://luma.com/check-in/evt-uUhcE8jx1Pd49Fv?pk=voD4ZCHwVZUujuU" TargetMode="External"/><Relationship Id="rId53" Type="http://schemas.openxmlformats.org/officeDocument/2006/relationships/hyperlink" Target="https://luma.com/check-in/evt-uUhcE8jx1Pd49Fv?pk=sQvZxbtVq05IMxU" TargetMode="External"/><Relationship Id="rId52" Type="http://schemas.openxmlformats.org/officeDocument/2006/relationships/hyperlink" Target="https://luma.com/check-in/evt-uUhcE8jx1Pd49Fv?pk=0iEhcrpHwXkI3ro" TargetMode="External"/><Relationship Id="rId55" Type="http://schemas.openxmlformats.org/officeDocument/2006/relationships/hyperlink" Target="https://luma.com/check-in/evt-uUhcE8jx1Pd49Fv?pk=qiMrtUsVgwvL4rt" TargetMode="External"/><Relationship Id="rId54" Type="http://schemas.openxmlformats.org/officeDocument/2006/relationships/hyperlink" Target="https://luma.com/check-in/evt-uUhcE8jx1Pd49Fv?pk=TIDSC7I16Gx4dJx" TargetMode="External"/><Relationship Id="rId57" Type="http://schemas.openxmlformats.org/officeDocument/2006/relationships/hyperlink" Target="https://luma.com/check-in/evt-uUhcE8jx1Pd49Fv?pk=de1z6BuOFrsN9Xy" TargetMode="External"/><Relationship Id="rId56" Type="http://schemas.openxmlformats.org/officeDocument/2006/relationships/hyperlink" Target="https://luma.com/check-in/evt-uUhcE8jx1Pd49Fv?pk=g170sNksGEPyjRu" TargetMode="External"/><Relationship Id="rId59" Type="http://schemas.openxmlformats.org/officeDocument/2006/relationships/hyperlink" Target="https://luma.com/check-in/evt-uUhcE8jx1Pd49Fv?pk=eLYGGQF3B5gAanV" TargetMode="External"/><Relationship Id="rId58" Type="http://schemas.openxmlformats.org/officeDocument/2006/relationships/hyperlink" Target="https://luma.com/check-in/evt-uUhcE8jx1Pd49Fv?pk=PzHb9WFbDkWQ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5.75"/>
    <col customWidth="1" min="5" max="7" width="24.75"/>
    <col customWidth="1" min="9" max="9" width="17.6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7</v>
      </c>
      <c r="G1" s="2" t="s">
        <v>18</v>
      </c>
      <c r="H1" s="1" t="s">
        <v>16</v>
      </c>
      <c r="I1" s="1" t="s">
        <v>21</v>
      </c>
      <c r="J1" s="3" t="s">
        <v>24</v>
      </c>
    </row>
    <row r="2" hidden="1">
      <c r="A2" s="1" t="s">
        <v>29</v>
      </c>
      <c r="B2" s="1" t="s">
        <v>30</v>
      </c>
      <c r="C2" s="1" t="s">
        <v>31</v>
      </c>
      <c r="D2" s="1" t="s">
        <v>32</v>
      </c>
      <c r="F2" s="4" t="str">
        <f t="shared" ref="F2:F149" si="1">IF(E2="", "No Asistió", "Asistió")</f>
        <v>No Asistió</v>
      </c>
      <c r="G2" s="5" t="str">
        <f>IFERROR(IF(E42="", "", DATE(LEFT(E2, 2), MID(E2, 6, 2), MID(E2, 9, 2))), "")</f>
        <v/>
      </c>
      <c r="I2" s="1" t="s">
        <v>41</v>
      </c>
      <c r="J2" s="6" t="str">
        <f t="shared" ref="J2:J149" si="2">PROPER(TRIM(I2))</f>
        <v>Cedral</v>
      </c>
    </row>
    <row r="3" hidden="1">
      <c r="A3" s="1" t="s">
        <v>42</v>
      </c>
      <c r="B3" s="1" t="s">
        <v>43</v>
      </c>
      <c r="C3" s="1" t="s">
        <v>44</v>
      </c>
      <c r="D3" s="1" t="s">
        <v>32</v>
      </c>
      <c r="E3" s="1" t="s">
        <v>45</v>
      </c>
      <c r="F3" s="7" t="str">
        <f t="shared" si="1"/>
        <v>Asistió</v>
      </c>
      <c r="G3" s="8">
        <f t="shared" ref="G3:G149" si="3">IFERROR(IF(E3="", "", DATE(LEFT(E3, 4), MID(E3, 6, 2), MID(E3, 9, 2))), "")</f>
        <v>46277</v>
      </c>
      <c r="H3" s="1" t="s">
        <v>46</v>
      </c>
      <c r="I3" s="1" t="s">
        <v>47</v>
      </c>
      <c r="J3" s="4" t="str">
        <f t="shared" si="2"/>
        <v>Acoxpan</v>
      </c>
    </row>
    <row r="4" hidden="1">
      <c r="A4" s="1" t="s">
        <v>48</v>
      </c>
      <c r="B4" s="1" t="s">
        <v>49</v>
      </c>
      <c r="C4" s="1" t="s">
        <v>50</v>
      </c>
      <c r="D4" s="1" t="s">
        <v>32</v>
      </c>
      <c r="E4" s="1" t="s">
        <v>51</v>
      </c>
      <c r="F4" s="7" t="str">
        <f t="shared" si="1"/>
        <v>Asistió</v>
      </c>
      <c r="G4" s="8">
        <f t="shared" si="3"/>
        <v>46277</v>
      </c>
      <c r="H4" s="1" t="s">
        <v>52</v>
      </c>
      <c r="I4" s="1" t="s">
        <v>53</v>
      </c>
      <c r="J4" s="4" t="str">
        <f t="shared" si="2"/>
        <v>La Noria</v>
      </c>
    </row>
    <row r="5" hidden="1">
      <c r="A5" s="1" t="s">
        <v>54</v>
      </c>
      <c r="B5" s="1" t="s">
        <v>55</v>
      </c>
      <c r="C5" s="1" t="s">
        <v>56</v>
      </c>
      <c r="D5" s="1" t="s">
        <v>32</v>
      </c>
      <c r="E5" s="1" t="s">
        <v>57</v>
      </c>
      <c r="F5" s="7" t="str">
        <f t="shared" si="1"/>
        <v>Asistió</v>
      </c>
      <c r="G5" s="8">
        <f t="shared" si="3"/>
        <v>46277</v>
      </c>
      <c r="H5" s="1" t="s">
        <v>52</v>
      </c>
      <c r="I5" s="1" t="s">
        <v>53</v>
      </c>
      <c r="J5" s="4" t="str">
        <f t="shared" si="2"/>
        <v>La Noria</v>
      </c>
    </row>
    <row r="6" hidden="1">
      <c r="A6" s="1" t="s">
        <v>58</v>
      </c>
      <c r="B6" s="1" t="s">
        <v>59</v>
      </c>
      <c r="C6" s="1" t="s">
        <v>60</v>
      </c>
      <c r="D6" s="1" t="s">
        <v>32</v>
      </c>
      <c r="E6" s="1" t="s">
        <v>61</v>
      </c>
      <c r="F6" s="7" t="str">
        <f t="shared" si="1"/>
        <v>Asistió</v>
      </c>
      <c r="G6" s="8">
        <f t="shared" si="3"/>
        <v>46277</v>
      </c>
      <c r="I6" s="1" t="s">
        <v>62</v>
      </c>
      <c r="J6" s="4" t="str">
        <f t="shared" si="2"/>
        <v>La Noria</v>
      </c>
    </row>
    <row r="7" hidden="1">
      <c r="A7" s="1" t="s">
        <v>63</v>
      </c>
      <c r="B7" s="1" t="s">
        <v>64</v>
      </c>
      <c r="C7" s="1" t="s">
        <v>66</v>
      </c>
      <c r="D7" s="1" t="s">
        <v>32</v>
      </c>
      <c r="F7" s="7" t="str">
        <f t="shared" si="1"/>
        <v>No Asistió</v>
      </c>
      <c r="G7" s="5" t="str">
        <f t="shared" si="3"/>
        <v/>
      </c>
      <c r="I7" s="1" t="s">
        <v>67</v>
      </c>
      <c r="J7" s="4" t="str">
        <f t="shared" si="2"/>
        <v>Villa Coapa</v>
      </c>
    </row>
    <row r="8" hidden="1">
      <c r="A8" s="1" t="s">
        <v>68</v>
      </c>
      <c r="B8" s="1" t="s">
        <v>68</v>
      </c>
      <c r="D8" s="1" t="s">
        <v>32</v>
      </c>
      <c r="E8" s="1" t="s">
        <v>70</v>
      </c>
      <c r="F8" s="7" t="str">
        <f t="shared" si="1"/>
        <v>Asistió</v>
      </c>
      <c r="G8" s="8">
        <f t="shared" si="3"/>
        <v>46277</v>
      </c>
      <c r="I8" s="1" t="s">
        <v>73</v>
      </c>
      <c r="J8" s="4" t="str">
        <f t="shared" si="2"/>
        <v>Azteca</v>
      </c>
    </row>
    <row r="9" hidden="1">
      <c r="A9" s="1" t="s">
        <v>75</v>
      </c>
      <c r="B9" s="1" t="s">
        <v>76</v>
      </c>
      <c r="C9" s="1" t="s">
        <v>78</v>
      </c>
      <c r="D9" s="1" t="s">
        <v>32</v>
      </c>
      <c r="E9" s="1" t="s">
        <v>80</v>
      </c>
      <c r="F9" s="7" t="str">
        <f t="shared" si="1"/>
        <v>Asistió</v>
      </c>
      <c r="G9" s="8">
        <f t="shared" si="3"/>
        <v>46277</v>
      </c>
      <c r="H9" s="1" t="s">
        <v>52</v>
      </c>
      <c r="I9" s="1" t="s">
        <v>73</v>
      </c>
      <c r="J9" s="4" t="str">
        <f t="shared" si="2"/>
        <v>Azteca</v>
      </c>
    </row>
    <row r="10" hidden="1">
      <c r="A10" s="1" t="s">
        <v>82</v>
      </c>
      <c r="B10" s="1" t="s">
        <v>83</v>
      </c>
      <c r="C10" s="1" t="s">
        <v>84</v>
      </c>
      <c r="D10" s="1" t="s">
        <v>32</v>
      </c>
      <c r="E10" s="1" t="s">
        <v>85</v>
      </c>
      <c r="F10" s="7" t="str">
        <f t="shared" si="1"/>
        <v>Asistió</v>
      </c>
      <c r="G10" s="8">
        <f t="shared" si="3"/>
        <v>46277</v>
      </c>
      <c r="H10" s="1" t="s">
        <v>86</v>
      </c>
      <c r="I10" s="1" t="s">
        <v>87</v>
      </c>
      <c r="J10" s="4" t="str">
        <f t="shared" si="2"/>
        <v>Del Valle</v>
      </c>
    </row>
    <row r="11" hidden="1">
      <c r="A11" s="1" t="s">
        <v>88</v>
      </c>
      <c r="B11" s="1" t="s">
        <v>89</v>
      </c>
      <c r="C11" s="1" t="s">
        <v>90</v>
      </c>
      <c r="D11" s="1" t="s">
        <v>32</v>
      </c>
      <c r="E11" s="1" t="s">
        <v>91</v>
      </c>
      <c r="F11" s="7" t="str">
        <f t="shared" si="1"/>
        <v>Asistió</v>
      </c>
      <c r="G11" s="8">
        <f t="shared" si="3"/>
        <v>46277</v>
      </c>
      <c r="I11" s="1" t="s">
        <v>92</v>
      </c>
      <c r="J11" s="4" t="str">
        <f t="shared" si="2"/>
        <v>Ciudad Alegre</v>
      </c>
    </row>
    <row r="12" hidden="1">
      <c r="A12" s="1" t="s">
        <v>93</v>
      </c>
      <c r="B12" s="1" t="s">
        <v>94</v>
      </c>
      <c r="C12" s="1" t="s">
        <v>44</v>
      </c>
      <c r="D12" s="1" t="s">
        <v>32</v>
      </c>
      <c r="E12" s="1" t="s">
        <v>95</v>
      </c>
      <c r="F12" s="7" t="str">
        <f t="shared" si="1"/>
        <v>Asistió</v>
      </c>
      <c r="G12" s="8">
        <f t="shared" si="3"/>
        <v>46277</v>
      </c>
      <c r="H12" s="1" t="s">
        <v>97</v>
      </c>
      <c r="I12" s="1" t="s">
        <v>99</v>
      </c>
      <c r="J12" s="4" t="str">
        <f t="shared" si="2"/>
        <v>San Pablo</v>
      </c>
    </row>
    <row r="13" hidden="1">
      <c r="A13" s="1" t="s">
        <v>100</v>
      </c>
      <c r="B13" s="1" t="s">
        <v>101</v>
      </c>
      <c r="C13" s="1" t="s">
        <v>102</v>
      </c>
      <c r="D13" s="1" t="s">
        <v>32</v>
      </c>
      <c r="E13" s="1" t="s">
        <v>103</v>
      </c>
      <c r="F13" s="7" t="str">
        <f t="shared" si="1"/>
        <v>Asistió</v>
      </c>
      <c r="G13" s="8">
        <f t="shared" si="3"/>
        <v>46277</v>
      </c>
      <c r="H13" s="1" t="s">
        <v>86</v>
      </c>
      <c r="I13" s="1" t="s">
        <v>99</v>
      </c>
      <c r="J13" s="4" t="str">
        <f t="shared" si="2"/>
        <v>San Pablo</v>
      </c>
    </row>
    <row r="14" hidden="1">
      <c r="A14" s="1" t="s">
        <v>107</v>
      </c>
      <c r="B14" s="1" t="s">
        <v>108</v>
      </c>
      <c r="C14" s="1" t="s">
        <v>109</v>
      </c>
      <c r="D14" s="1" t="s">
        <v>32</v>
      </c>
      <c r="E14" s="1" t="s">
        <v>110</v>
      </c>
      <c r="F14" s="7" t="str">
        <f t="shared" si="1"/>
        <v>Asistió</v>
      </c>
      <c r="G14" s="8">
        <f t="shared" si="3"/>
        <v>46277</v>
      </c>
      <c r="H14" s="1" t="s">
        <v>97</v>
      </c>
      <c r="I14" s="1" t="s">
        <v>99</v>
      </c>
      <c r="J14" s="4" t="str">
        <f t="shared" si="2"/>
        <v>San Pablo</v>
      </c>
    </row>
    <row r="15" hidden="1">
      <c r="A15" s="1" t="s">
        <v>111</v>
      </c>
      <c r="B15" s="1" t="s">
        <v>112</v>
      </c>
      <c r="C15" s="1" t="s">
        <v>113</v>
      </c>
      <c r="D15" s="1" t="s">
        <v>32</v>
      </c>
      <c r="E15" s="1" t="s">
        <v>114</v>
      </c>
      <c r="F15" s="7" t="str">
        <f t="shared" si="1"/>
        <v>Asistió</v>
      </c>
      <c r="G15" s="8">
        <f t="shared" si="3"/>
        <v>46277</v>
      </c>
      <c r="H15" s="1" t="s">
        <v>97</v>
      </c>
      <c r="I15" s="1" t="s">
        <v>115</v>
      </c>
      <c r="J15" s="4" t="str">
        <f t="shared" si="2"/>
        <v>Villa Coapa</v>
      </c>
    </row>
    <row r="16" hidden="1">
      <c r="A16" s="1" t="s">
        <v>116</v>
      </c>
      <c r="B16" s="1" t="s">
        <v>117</v>
      </c>
      <c r="C16" s="1" t="s">
        <v>118</v>
      </c>
      <c r="D16" s="1" t="s">
        <v>32</v>
      </c>
      <c r="E16" s="1" t="s">
        <v>119</v>
      </c>
      <c r="F16" s="7" t="str">
        <f t="shared" si="1"/>
        <v>Asistió</v>
      </c>
      <c r="G16" s="8">
        <f t="shared" si="3"/>
        <v>46277</v>
      </c>
      <c r="H16" s="1" t="s">
        <v>86</v>
      </c>
      <c r="I16" s="1" t="s">
        <v>47</v>
      </c>
      <c r="J16" s="4" t="str">
        <f t="shared" si="2"/>
        <v>Acoxpan</v>
      </c>
    </row>
    <row r="17" hidden="1">
      <c r="A17" s="1" t="s">
        <v>124</v>
      </c>
      <c r="B17" s="1" t="s">
        <v>125</v>
      </c>
      <c r="C17" s="1" t="s">
        <v>126</v>
      </c>
      <c r="D17" s="1" t="s">
        <v>32</v>
      </c>
      <c r="E17" s="1" t="s">
        <v>127</v>
      </c>
      <c r="F17" s="7" t="str">
        <f t="shared" si="1"/>
        <v>Asistió</v>
      </c>
      <c r="G17" s="8">
        <f t="shared" si="3"/>
        <v>46277</v>
      </c>
      <c r="H17" s="1" t="s">
        <v>128</v>
      </c>
      <c r="I17" s="1" t="s">
        <v>129</v>
      </c>
      <c r="J17" s="4" t="str">
        <f t="shared" si="2"/>
        <v>Independencia</v>
      </c>
    </row>
    <row r="18" hidden="1">
      <c r="A18" s="1" t="s">
        <v>130</v>
      </c>
      <c r="B18" s="1" t="s">
        <v>131</v>
      </c>
      <c r="C18" s="1" t="s">
        <v>132</v>
      </c>
      <c r="D18" s="1" t="s">
        <v>32</v>
      </c>
      <c r="E18" s="1" t="s">
        <v>133</v>
      </c>
      <c r="F18" s="7" t="str">
        <f t="shared" si="1"/>
        <v>Asistió</v>
      </c>
      <c r="G18" s="8">
        <f t="shared" si="3"/>
        <v>46277</v>
      </c>
      <c r="H18" s="1" t="s">
        <v>86</v>
      </c>
      <c r="I18" s="1" t="s">
        <v>129</v>
      </c>
      <c r="J18" s="4" t="str">
        <f t="shared" si="2"/>
        <v>Independencia</v>
      </c>
    </row>
    <row r="19" hidden="1">
      <c r="A19" s="1" t="s">
        <v>135</v>
      </c>
      <c r="B19" s="1" t="s">
        <v>136</v>
      </c>
      <c r="C19" s="1" t="s">
        <v>138</v>
      </c>
      <c r="D19" s="1" t="s">
        <v>32</v>
      </c>
      <c r="E19" s="1" t="s">
        <v>140</v>
      </c>
      <c r="F19" s="7" t="str">
        <f t="shared" si="1"/>
        <v>Asistió</v>
      </c>
      <c r="G19" s="8">
        <f t="shared" si="3"/>
        <v>46277</v>
      </c>
      <c r="H19" s="1" t="s">
        <v>128</v>
      </c>
      <c r="I19" s="1" t="s">
        <v>129</v>
      </c>
      <c r="J19" s="4" t="str">
        <f t="shared" si="2"/>
        <v>Independencia</v>
      </c>
    </row>
    <row r="20" hidden="1">
      <c r="A20" s="1" t="s">
        <v>143</v>
      </c>
      <c r="B20" s="1" t="s">
        <v>144</v>
      </c>
      <c r="C20" s="1" t="s">
        <v>145</v>
      </c>
      <c r="D20" s="1" t="s">
        <v>32</v>
      </c>
      <c r="E20" s="1" t="s">
        <v>146</v>
      </c>
      <c r="F20" s="7" t="str">
        <f t="shared" si="1"/>
        <v>Asistió</v>
      </c>
      <c r="G20" s="8">
        <f t="shared" si="3"/>
        <v>46277</v>
      </c>
      <c r="I20" s="1" t="s">
        <v>147</v>
      </c>
      <c r="J20" s="4" t="str">
        <f t="shared" si="2"/>
        <v>Tlalpan</v>
      </c>
    </row>
    <row r="21" hidden="1">
      <c r="A21" s="1" t="s">
        <v>148</v>
      </c>
      <c r="B21" s="1" t="s">
        <v>149</v>
      </c>
      <c r="C21" s="1" t="s">
        <v>150</v>
      </c>
      <c r="D21" s="1" t="s">
        <v>32</v>
      </c>
      <c r="E21" s="1" t="s">
        <v>151</v>
      </c>
      <c r="F21" s="7" t="str">
        <f t="shared" si="1"/>
        <v>Asistió</v>
      </c>
      <c r="G21" s="8">
        <f t="shared" si="3"/>
        <v>46277</v>
      </c>
      <c r="I21" s="1" t="s">
        <v>147</v>
      </c>
      <c r="J21" s="4" t="str">
        <f t="shared" si="2"/>
        <v>Tlalpan</v>
      </c>
    </row>
    <row r="22" hidden="1">
      <c r="A22" s="1" t="s">
        <v>153</v>
      </c>
      <c r="B22" s="1" t="s">
        <v>154</v>
      </c>
      <c r="C22" s="1" t="s">
        <v>156</v>
      </c>
      <c r="D22" s="1" t="s">
        <v>32</v>
      </c>
      <c r="E22" s="1" t="s">
        <v>158</v>
      </c>
      <c r="F22" s="7" t="str">
        <f t="shared" si="1"/>
        <v>Asistió</v>
      </c>
      <c r="G22" s="8">
        <f t="shared" si="3"/>
        <v>46277</v>
      </c>
      <c r="H22" s="1" t="s">
        <v>128</v>
      </c>
      <c r="I22" s="1" t="s">
        <v>160</v>
      </c>
      <c r="J22" s="4" t="str">
        <f t="shared" si="2"/>
        <v>Ixtapaluca</v>
      </c>
    </row>
    <row r="23" hidden="1">
      <c r="A23" s="1" t="s">
        <v>161</v>
      </c>
      <c r="B23" s="1" t="s">
        <v>162</v>
      </c>
      <c r="C23" s="1" t="s">
        <v>163</v>
      </c>
      <c r="D23" s="1" t="s">
        <v>32</v>
      </c>
      <c r="E23" s="1" t="s">
        <v>164</v>
      </c>
      <c r="F23" s="7" t="str">
        <f t="shared" si="1"/>
        <v>Asistió</v>
      </c>
      <c r="G23" s="8">
        <f t="shared" si="3"/>
        <v>46277</v>
      </c>
      <c r="H23" s="1" t="s">
        <v>86</v>
      </c>
      <c r="I23" s="1" t="s">
        <v>165</v>
      </c>
      <c r="J23" s="4" t="str">
        <f t="shared" si="2"/>
        <v>La Noria</v>
      </c>
    </row>
    <row r="24" hidden="1">
      <c r="A24" s="1" t="s">
        <v>166</v>
      </c>
      <c r="B24" s="1" t="s">
        <v>167</v>
      </c>
      <c r="C24" s="1" t="s">
        <v>168</v>
      </c>
      <c r="D24" s="1" t="s">
        <v>32</v>
      </c>
      <c r="E24" s="1" t="s">
        <v>169</v>
      </c>
      <c r="F24" s="7" t="str">
        <f t="shared" si="1"/>
        <v>Asistió</v>
      </c>
      <c r="G24" s="8">
        <f t="shared" si="3"/>
        <v>46277</v>
      </c>
      <c r="H24" s="1" t="s">
        <v>128</v>
      </c>
      <c r="I24" s="1" t="s">
        <v>160</v>
      </c>
      <c r="J24" s="4" t="str">
        <f t="shared" si="2"/>
        <v>Ixtapaluca</v>
      </c>
    </row>
    <row r="25" hidden="1">
      <c r="A25" s="1" t="s">
        <v>170</v>
      </c>
      <c r="B25" s="1" t="s">
        <v>171</v>
      </c>
      <c r="C25" s="1" t="s">
        <v>132</v>
      </c>
      <c r="D25" s="1" t="s">
        <v>32</v>
      </c>
      <c r="E25" s="1" t="s">
        <v>173</v>
      </c>
      <c r="F25" s="7" t="str">
        <f t="shared" si="1"/>
        <v>Asistió</v>
      </c>
      <c r="G25" s="8">
        <f t="shared" si="3"/>
        <v>46277</v>
      </c>
      <c r="I25" s="1" t="s">
        <v>129</v>
      </c>
      <c r="J25" s="4" t="str">
        <f t="shared" si="2"/>
        <v>Independencia</v>
      </c>
    </row>
    <row r="26" hidden="1">
      <c r="A26" s="1" t="s">
        <v>177</v>
      </c>
      <c r="B26" s="1" t="s">
        <v>178</v>
      </c>
      <c r="C26" s="1" t="s">
        <v>179</v>
      </c>
      <c r="D26" s="1" t="s">
        <v>32</v>
      </c>
      <c r="E26" s="1" t="s">
        <v>180</v>
      </c>
      <c r="F26" s="7" t="str">
        <f t="shared" si="1"/>
        <v>Asistió</v>
      </c>
      <c r="G26" s="8">
        <f t="shared" si="3"/>
        <v>46277</v>
      </c>
      <c r="H26" s="1" t="s">
        <v>128</v>
      </c>
      <c r="I26" s="1" t="s">
        <v>160</v>
      </c>
      <c r="J26" s="4" t="str">
        <f t="shared" si="2"/>
        <v>Ixtapaluca</v>
      </c>
    </row>
    <row r="27" hidden="1">
      <c r="A27" s="1" t="s">
        <v>181</v>
      </c>
      <c r="B27" s="1" t="s">
        <v>181</v>
      </c>
      <c r="D27" s="1" t="s">
        <v>32</v>
      </c>
      <c r="E27" s="1" t="s">
        <v>182</v>
      </c>
      <c r="F27" s="7" t="str">
        <f t="shared" si="1"/>
        <v>Asistió</v>
      </c>
      <c r="G27" s="8">
        <f t="shared" si="3"/>
        <v>46277</v>
      </c>
      <c r="I27" s="1" t="s">
        <v>183</v>
      </c>
      <c r="J27" s="4" t="str">
        <f t="shared" si="2"/>
        <v>Chinampas</v>
      </c>
    </row>
    <row r="28" hidden="1">
      <c r="A28" s="1" t="s">
        <v>184</v>
      </c>
      <c r="B28" s="1" t="s">
        <v>185</v>
      </c>
      <c r="C28" s="1" t="s">
        <v>187</v>
      </c>
      <c r="D28" s="1" t="s">
        <v>32</v>
      </c>
      <c r="E28" s="1" t="s">
        <v>188</v>
      </c>
      <c r="F28" s="7" t="str">
        <f t="shared" si="1"/>
        <v>Asistió</v>
      </c>
      <c r="G28" s="8">
        <f t="shared" si="3"/>
        <v>46277</v>
      </c>
      <c r="H28" s="1" t="s">
        <v>128</v>
      </c>
      <c r="I28" s="1" t="s">
        <v>192</v>
      </c>
      <c r="J28" s="4" t="str">
        <f t="shared" si="2"/>
        <v>Hidalgo</v>
      </c>
    </row>
    <row r="29" hidden="1">
      <c r="A29" s="1" t="s">
        <v>193</v>
      </c>
      <c r="B29" s="1" t="s">
        <v>194</v>
      </c>
      <c r="C29" s="1" t="s">
        <v>195</v>
      </c>
      <c r="D29" s="1" t="s">
        <v>32</v>
      </c>
      <c r="E29" s="1" t="s">
        <v>196</v>
      </c>
      <c r="F29" s="7" t="str">
        <f t="shared" si="1"/>
        <v>Asistió</v>
      </c>
      <c r="G29" s="8">
        <f t="shared" si="3"/>
        <v>46277</v>
      </c>
      <c r="I29" s="1" t="s">
        <v>147</v>
      </c>
      <c r="J29" s="4" t="str">
        <f t="shared" si="2"/>
        <v>Tlalpan</v>
      </c>
    </row>
    <row r="30" hidden="1">
      <c r="A30" s="1" t="s">
        <v>197</v>
      </c>
      <c r="B30" s="1" t="s">
        <v>198</v>
      </c>
      <c r="C30" s="1" t="s">
        <v>199</v>
      </c>
      <c r="D30" s="1" t="s">
        <v>32</v>
      </c>
      <c r="E30" s="1" t="s">
        <v>200</v>
      </c>
      <c r="F30" s="7" t="str">
        <f t="shared" si="1"/>
        <v>Asistió</v>
      </c>
      <c r="G30" s="8">
        <f t="shared" si="3"/>
        <v>46277</v>
      </c>
      <c r="I30" s="1" t="s">
        <v>201</v>
      </c>
      <c r="J30" s="4" t="str">
        <f t="shared" si="2"/>
        <v>Cuicuilco</v>
      </c>
    </row>
    <row r="31" hidden="1">
      <c r="A31" s="1" t="s">
        <v>203</v>
      </c>
      <c r="B31" s="1" t="s">
        <v>204</v>
      </c>
      <c r="C31" s="1" t="s">
        <v>205</v>
      </c>
      <c r="D31" s="1" t="s">
        <v>32</v>
      </c>
      <c r="E31" s="1" t="s">
        <v>207</v>
      </c>
      <c r="F31" s="7" t="str">
        <f t="shared" si="1"/>
        <v>Asistió</v>
      </c>
      <c r="G31" s="8">
        <f t="shared" si="3"/>
        <v>46277</v>
      </c>
      <c r="H31" s="1" t="s">
        <v>209</v>
      </c>
      <c r="I31" s="1" t="s">
        <v>147</v>
      </c>
      <c r="J31" s="4" t="str">
        <f t="shared" si="2"/>
        <v>Tlalpan</v>
      </c>
    </row>
    <row r="32" hidden="1">
      <c r="A32" s="1" t="s">
        <v>210</v>
      </c>
      <c r="B32" s="1" t="s">
        <v>211</v>
      </c>
      <c r="C32" s="1" t="s">
        <v>212</v>
      </c>
      <c r="D32" s="1" t="s">
        <v>32</v>
      </c>
      <c r="E32" s="1" t="s">
        <v>213</v>
      </c>
      <c r="F32" s="7" t="str">
        <f t="shared" si="1"/>
        <v>Asistió</v>
      </c>
      <c r="G32" s="8">
        <f t="shared" si="3"/>
        <v>46277</v>
      </c>
      <c r="I32" s="1" t="s">
        <v>147</v>
      </c>
      <c r="J32" s="4" t="str">
        <f t="shared" si="2"/>
        <v>Tlalpan</v>
      </c>
    </row>
    <row r="33" hidden="1">
      <c r="A33" s="1" t="s">
        <v>214</v>
      </c>
      <c r="B33" s="1" t="s">
        <v>214</v>
      </c>
      <c r="D33" s="1" t="s">
        <v>32</v>
      </c>
      <c r="E33" s="1" t="s">
        <v>215</v>
      </c>
      <c r="F33" s="7" t="str">
        <f t="shared" si="1"/>
        <v>Asistió</v>
      </c>
      <c r="G33" s="8">
        <f t="shared" si="3"/>
        <v>46277</v>
      </c>
      <c r="I33" s="1" t="s">
        <v>47</v>
      </c>
      <c r="J33" s="4" t="str">
        <f t="shared" si="2"/>
        <v>Acoxpan</v>
      </c>
    </row>
    <row r="34" hidden="1">
      <c r="A34" s="1" t="s">
        <v>217</v>
      </c>
      <c r="B34" s="1" t="s">
        <v>218</v>
      </c>
      <c r="C34" s="1" t="s">
        <v>219</v>
      </c>
      <c r="D34" s="1" t="s">
        <v>32</v>
      </c>
      <c r="E34" s="1" t="s">
        <v>221</v>
      </c>
      <c r="F34" s="7" t="str">
        <f t="shared" si="1"/>
        <v>Asistió</v>
      </c>
      <c r="G34" s="8">
        <f t="shared" si="3"/>
        <v>46277</v>
      </c>
      <c r="I34" s="1" t="s">
        <v>47</v>
      </c>
      <c r="J34" s="4" t="str">
        <f t="shared" si="2"/>
        <v>Acoxpan</v>
      </c>
    </row>
    <row r="35" hidden="1">
      <c r="A35" s="1" t="s">
        <v>224</v>
      </c>
      <c r="B35" s="1" t="s">
        <v>225</v>
      </c>
      <c r="C35" s="1" t="s">
        <v>226</v>
      </c>
      <c r="D35" s="1" t="s">
        <v>32</v>
      </c>
      <c r="E35" s="1" t="s">
        <v>227</v>
      </c>
      <c r="F35" s="7" t="str">
        <f t="shared" si="1"/>
        <v>Asistió</v>
      </c>
      <c r="G35" s="8">
        <f t="shared" si="3"/>
        <v>46277</v>
      </c>
      <c r="I35" s="1" t="s">
        <v>129</v>
      </c>
      <c r="J35" s="4" t="str">
        <f t="shared" si="2"/>
        <v>Independencia</v>
      </c>
    </row>
    <row r="36" hidden="1">
      <c r="A36" s="1" t="s">
        <v>228</v>
      </c>
      <c r="B36" s="1" t="s">
        <v>229</v>
      </c>
      <c r="C36" s="1" t="s">
        <v>132</v>
      </c>
      <c r="D36" s="1" t="s">
        <v>32</v>
      </c>
      <c r="E36" s="1" t="s">
        <v>230</v>
      </c>
      <c r="F36" s="7" t="str">
        <f t="shared" si="1"/>
        <v>Asistió</v>
      </c>
      <c r="G36" s="8">
        <f t="shared" si="3"/>
        <v>46277</v>
      </c>
      <c r="I36" s="1" t="s">
        <v>129</v>
      </c>
      <c r="J36" s="4" t="str">
        <f t="shared" si="2"/>
        <v>Independencia</v>
      </c>
    </row>
    <row r="37" hidden="1">
      <c r="A37" s="1" t="s">
        <v>233</v>
      </c>
      <c r="B37" s="1" t="s">
        <v>234</v>
      </c>
      <c r="C37" s="1" t="s">
        <v>235</v>
      </c>
      <c r="D37" s="1" t="s">
        <v>32</v>
      </c>
      <c r="E37" s="1" t="s">
        <v>237</v>
      </c>
      <c r="F37" s="7" t="str">
        <f t="shared" si="1"/>
        <v>Asistió</v>
      </c>
      <c r="G37" s="8">
        <f t="shared" si="3"/>
        <v>46277</v>
      </c>
      <c r="I37" s="1" t="s">
        <v>147</v>
      </c>
      <c r="J37" s="4" t="str">
        <f t="shared" si="2"/>
        <v>Tlalpan</v>
      </c>
    </row>
    <row r="38" hidden="1">
      <c r="A38" s="1" t="s">
        <v>238</v>
      </c>
      <c r="B38" s="1" t="s">
        <v>239</v>
      </c>
      <c r="C38" s="1" t="s">
        <v>240</v>
      </c>
      <c r="D38" s="1" t="s">
        <v>32</v>
      </c>
      <c r="E38" s="1" t="s">
        <v>241</v>
      </c>
      <c r="F38" s="7" t="str">
        <f t="shared" si="1"/>
        <v>Asistió</v>
      </c>
      <c r="G38" s="8">
        <f t="shared" si="3"/>
        <v>46277</v>
      </c>
      <c r="I38" s="1" t="s">
        <v>99</v>
      </c>
      <c r="J38" s="4" t="str">
        <f t="shared" si="2"/>
        <v>San Pablo</v>
      </c>
    </row>
    <row r="39" hidden="1">
      <c r="A39" s="1" t="s">
        <v>242</v>
      </c>
      <c r="B39" s="1" t="s">
        <v>243</v>
      </c>
      <c r="C39" s="1" t="s">
        <v>244</v>
      </c>
      <c r="D39" s="1" t="s">
        <v>32</v>
      </c>
      <c r="E39" s="1" t="s">
        <v>245</v>
      </c>
      <c r="F39" s="7" t="str">
        <f t="shared" si="1"/>
        <v>Asistió</v>
      </c>
      <c r="G39" s="8">
        <f t="shared" si="3"/>
        <v>46277</v>
      </c>
      <c r="I39" s="1" t="s">
        <v>249</v>
      </c>
      <c r="J39" s="4" t="str">
        <f t="shared" si="2"/>
        <v>Acoxpan</v>
      </c>
    </row>
    <row r="40" hidden="1">
      <c r="A40" s="1" t="s">
        <v>250</v>
      </c>
      <c r="B40" s="1" t="s">
        <v>252</v>
      </c>
      <c r="C40" s="1" t="s">
        <v>132</v>
      </c>
      <c r="D40" s="1" t="s">
        <v>32</v>
      </c>
      <c r="E40" s="1" t="s">
        <v>253</v>
      </c>
      <c r="F40" s="7" t="str">
        <f t="shared" si="1"/>
        <v>Asistió</v>
      </c>
      <c r="G40" s="8">
        <f t="shared" si="3"/>
        <v>46277</v>
      </c>
      <c r="I40" s="1" t="s">
        <v>129</v>
      </c>
      <c r="J40" s="4" t="str">
        <f t="shared" si="2"/>
        <v>Independencia</v>
      </c>
    </row>
    <row r="41" hidden="1">
      <c r="A41" s="1" t="s">
        <v>254</v>
      </c>
      <c r="B41" s="1" t="s">
        <v>255</v>
      </c>
      <c r="C41" s="1" t="s">
        <v>44</v>
      </c>
      <c r="D41" s="1" t="s">
        <v>32</v>
      </c>
      <c r="F41" s="7" t="str">
        <f t="shared" si="1"/>
        <v>No Asistió</v>
      </c>
      <c r="G41" s="5" t="str">
        <f t="shared" si="3"/>
        <v/>
      </c>
      <c r="I41" s="1" t="s">
        <v>73</v>
      </c>
      <c r="J41" s="4" t="str">
        <f t="shared" si="2"/>
        <v>Azteca</v>
      </c>
    </row>
    <row r="42" hidden="1">
      <c r="A42" s="1" t="s">
        <v>256</v>
      </c>
      <c r="D42" s="1" t="s">
        <v>32</v>
      </c>
      <c r="E42" s="1" t="s">
        <v>257</v>
      </c>
      <c r="F42" s="7" t="str">
        <f t="shared" si="1"/>
        <v>Asistió</v>
      </c>
      <c r="G42" s="8">
        <f t="shared" si="3"/>
        <v>46277</v>
      </c>
      <c r="I42" s="1" t="s">
        <v>73</v>
      </c>
      <c r="J42" s="4" t="str">
        <f t="shared" si="2"/>
        <v>Azteca</v>
      </c>
    </row>
    <row r="43" hidden="1">
      <c r="A43" s="1" t="s">
        <v>260</v>
      </c>
      <c r="B43" s="1" t="s">
        <v>261</v>
      </c>
      <c r="C43" s="1" t="s">
        <v>263</v>
      </c>
      <c r="D43" s="1" t="s">
        <v>32</v>
      </c>
      <c r="E43" s="1" t="s">
        <v>265</v>
      </c>
      <c r="F43" s="7" t="str">
        <f t="shared" si="1"/>
        <v>Asistió</v>
      </c>
      <c r="G43" s="8">
        <f t="shared" si="3"/>
        <v>46277</v>
      </c>
      <c r="I43" s="1" t="s">
        <v>115</v>
      </c>
      <c r="J43" s="4" t="str">
        <f t="shared" si="2"/>
        <v>Villa Coapa</v>
      </c>
    </row>
    <row r="44" hidden="1">
      <c r="A44" s="1" t="s">
        <v>267</v>
      </c>
      <c r="B44" s="1" t="s">
        <v>268</v>
      </c>
      <c r="C44" s="1" t="s">
        <v>269</v>
      </c>
      <c r="D44" s="1" t="s">
        <v>32</v>
      </c>
      <c r="E44" s="1" t="s">
        <v>270</v>
      </c>
      <c r="F44" s="7" t="str">
        <f t="shared" si="1"/>
        <v>Asistió</v>
      </c>
      <c r="G44" s="8">
        <f t="shared" si="3"/>
        <v>46277</v>
      </c>
      <c r="I44" s="1" t="s">
        <v>129</v>
      </c>
      <c r="J44" s="4" t="str">
        <f t="shared" si="2"/>
        <v>Independencia</v>
      </c>
    </row>
    <row r="45" hidden="1">
      <c r="A45" s="1" t="s">
        <v>271</v>
      </c>
      <c r="B45" s="1" t="s">
        <v>272</v>
      </c>
      <c r="C45" s="1" t="s">
        <v>273</v>
      </c>
      <c r="D45" s="1" t="s">
        <v>32</v>
      </c>
      <c r="F45" s="7" t="str">
        <f t="shared" si="1"/>
        <v>No Asistió</v>
      </c>
      <c r="G45" s="5" t="str">
        <f t="shared" si="3"/>
        <v/>
      </c>
      <c r="I45" s="1" t="s">
        <v>183</v>
      </c>
      <c r="J45" s="4" t="str">
        <f t="shared" si="2"/>
        <v>Chinampas</v>
      </c>
    </row>
    <row r="46" hidden="1">
      <c r="A46" s="1" t="s">
        <v>274</v>
      </c>
      <c r="B46" s="1" t="s">
        <v>275</v>
      </c>
      <c r="C46" s="1" t="s">
        <v>276</v>
      </c>
      <c r="D46" s="1" t="s">
        <v>32</v>
      </c>
      <c r="E46" s="1" t="s">
        <v>277</v>
      </c>
      <c r="F46" s="7" t="str">
        <f t="shared" si="1"/>
        <v>Asistió</v>
      </c>
      <c r="G46" s="8">
        <f t="shared" si="3"/>
        <v>46277</v>
      </c>
      <c r="I46" s="1" t="s">
        <v>99</v>
      </c>
      <c r="J46" s="4" t="str">
        <f t="shared" si="2"/>
        <v>San Pablo</v>
      </c>
    </row>
    <row r="47" hidden="1">
      <c r="A47" s="1" t="s">
        <v>278</v>
      </c>
      <c r="B47" s="1" t="s">
        <v>279</v>
      </c>
      <c r="C47" s="1" t="s">
        <v>212</v>
      </c>
      <c r="D47" s="1" t="s">
        <v>32</v>
      </c>
      <c r="E47" s="1" t="s">
        <v>280</v>
      </c>
      <c r="F47" s="7" t="str">
        <f t="shared" si="1"/>
        <v>Asistió</v>
      </c>
      <c r="G47" s="8">
        <f t="shared" si="3"/>
        <v>46277</v>
      </c>
      <c r="I47" s="1" t="s">
        <v>147</v>
      </c>
      <c r="J47" s="4" t="str">
        <f t="shared" si="2"/>
        <v>Tlalpan</v>
      </c>
    </row>
    <row r="48" hidden="1">
      <c r="A48" s="1" t="s">
        <v>282</v>
      </c>
      <c r="B48" s="1" t="s">
        <v>282</v>
      </c>
      <c r="D48" s="1" t="s">
        <v>32</v>
      </c>
      <c r="F48" s="7" t="str">
        <f t="shared" si="1"/>
        <v>No Asistió</v>
      </c>
      <c r="G48" s="5" t="str">
        <f t="shared" si="3"/>
        <v/>
      </c>
      <c r="I48" s="1" t="s">
        <v>285</v>
      </c>
      <c r="J48" s="4" t="str">
        <f t="shared" si="2"/>
        <v>Cuicuilco</v>
      </c>
    </row>
    <row r="49" hidden="1">
      <c r="A49" s="1" t="s">
        <v>287</v>
      </c>
      <c r="B49" s="1" t="s">
        <v>287</v>
      </c>
      <c r="D49" s="1" t="s">
        <v>32</v>
      </c>
      <c r="F49" s="7" t="str">
        <f t="shared" si="1"/>
        <v>No Asistió</v>
      </c>
      <c r="G49" s="5" t="str">
        <f t="shared" si="3"/>
        <v/>
      </c>
      <c r="H49" s="1" t="s">
        <v>289</v>
      </c>
      <c r="I49" s="1" t="s">
        <v>129</v>
      </c>
      <c r="J49" s="4" t="str">
        <f t="shared" si="2"/>
        <v>Independencia</v>
      </c>
    </row>
    <row r="50" hidden="1">
      <c r="A50" s="1" t="s">
        <v>290</v>
      </c>
      <c r="B50" s="1" t="s">
        <v>291</v>
      </c>
      <c r="C50" s="1" t="s">
        <v>292</v>
      </c>
      <c r="D50" s="1" t="s">
        <v>32</v>
      </c>
      <c r="E50" s="1" t="s">
        <v>293</v>
      </c>
      <c r="F50" s="7" t="str">
        <f t="shared" si="1"/>
        <v>Asistió</v>
      </c>
      <c r="G50" s="8">
        <f t="shared" si="3"/>
        <v>46277</v>
      </c>
      <c r="I50" s="1" t="s">
        <v>294</v>
      </c>
      <c r="J50" s="4" t="str">
        <f t="shared" si="2"/>
        <v>Aragón</v>
      </c>
    </row>
    <row r="51" hidden="1">
      <c r="A51" s="1" t="s">
        <v>295</v>
      </c>
      <c r="B51" s="1" t="s">
        <v>296</v>
      </c>
      <c r="C51" s="1" t="s">
        <v>297</v>
      </c>
      <c r="D51" s="1" t="s">
        <v>32</v>
      </c>
      <c r="F51" s="7" t="str">
        <f t="shared" si="1"/>
        <v>No Asistió</v>
      </c>
      <c r="G51" s="5" t="str">
        <f t="shared" si="3"/>
        <v/>
      </c>
      <c r="I51" s="1" t="s">
        <v>129</v>
      </c>
      <c r="J51" s="4" t="str">
        <f t="shared" si="2"/>
        <v>Independencia</v>
      </c>
    </row>
    <row r="52" hidden="1">
      <c r="A52" s="1" t="s">
        <v>302</v>
      </c>
      <c r="B52" s="1" t="s">
        <v>303</v>
      </c>
      <c r="C52" s="1" t="s">
        <v>297</v>
      </c>
      <c r="D52" s="1" t="s">
        <v>32</v>
      </c>
      <c r="F52" s="7" t="str">
        <f t="shared" si="1"/>
        <v>No Asistió</v>
      </c>
      <c r="G52" s="5" t="str">
        <f t="shared" si="3"/>
        <v/>
      </c>
      <c r="I52" s="1" t="s">
        <v>129</v>
      </c>
      <c r="J52" s="4" t="str">
        <f t="shared" si="2"/>
        <v>Independencia</v>
      </c>
    </row>
    <row r="53" hidden="1">
      <c r="A53" s="1" t="s">
        <v>304</v>
      </c>
      <c r="B53" s="1" t="s">
        <v>305</v>
      </c>
      <c r="C53" s="1" t="s">
        <v>306</v>
      </c>
      <c r="D53" s="1" t="s">
        <v>32</v>
      </c>
      <c r="E53" s="1" t="s">
        <v>308</v>
      </c>
      <c r="F53" s="7" t="str">
        <f t="shared" si="1"/>
        <v>Asistió</v>
      </c>
      <c r="G53" s="8">
        <f t="shared" si="3"/>
        <v>46277</v>
      </c>
      <c r="I53" s="1" t="s">
        <v>311</v>
      </c>
      <c r="J53" s="4" t="str">
        <f t="shared" si="2"/>
        <v>Xochimilco</v>
      </c>
    </row>
    <row r="54" hidden="1">
      <c r="A54" s="1" t="s">
        <v>313</v>
      </c>
      <c r="B54" s="1" t="s">
        <v>314</v>
      </c>
      <c r="C54" s="1" t="s">
        <v>306</v>
      </c>
      <c r="D54" s="1" t="s">
        <v>32</v>
      </c>
      <c r="E54" s="1" t="s">
        <v>315</v>
      </c>
      <c r="F54" s="7" t="str">
        <f t="shared" si="1"/>
        <v>Asistió</v>
      </c>
      <c r="G54" s="8">
        <f t="shared" si="3"/>
        <v>46277</v>
      </c>
      <c r="I54" s="1" t="s">
        <v>311</v>
      </c>
      <c r="J54" s="4" t="str">
        <f t="shared" si="2"/>
        <v>Xochimilco</v>
      </c>
    </row>
    <row r="55" hidden="1">
      <c r="A55" s="1" t="s">
        <v>316</v>
      </c>
      <c r="B55" s="1" t="s">
        <v>317</v>
      </c>
      <c r="C55" s="1" t="s">
        <v>318</v>
      </c>
      <c r="D55" s="1" t="s">
        <v>32</v>
      </c>
      <c r="F55" s="7" t="str">
        <f t="shared" si="1"/>
        <v>No Asistió</v>
      </c>
      <c r="G55" s="5" t="str">
        <f t="shared" si="3"/>
        <v/>
      </c>
      <c r="I55" s="1" t="s">
        <v>129</v>
      </c>
      <c r="J55" s="4" t="str">
        <f t="shared" si="2"/>
        <v>Independencia</v>
      </c>
    </row>
    <row r="56" hidden="1">
      <c r="A56" s="1" t="s">
        <v>319</v>
      </c>
      <c r="B56" s="1" t="s">
        <v>321</v>
      </c>
      <c r="C56" s="1" t="s">
        <v>322</v>
      </c>
      <c r="D56" s="1" t="s">
        <v>32</v>
      </c>
      <c r="E56" s="1" t="s">
        <v>324</v>
      </c>
      <c r="F56" s="7" t="str">
        <f t="shared" si="1"/>
        <v>Asistió</v>
      </c>
      <c r="G56" s="8">
        <f t="shared" si="3"/>
        <v>46277</v>
      </c>
      <c r="I56" s="1" t="s">
        <v>192</v>
      </c>
      <c r="J56" s="4" t="str">
        <f t="shared" si="2"/>
        <v>Hidalgo</v>
      </c>
    </row>
    <row r="57" hidden="1">
      <c r="A57" s="1" t="s">
        <v>327</v>
      </c>
      <c r="B57" s="1" t="s">
        <v>328</v>
      </c>
      <c r="C57" s="1" t="s">
        <v>329</v>
      </c>
      <c r="D57" s="1" t="s">
        <v>32</v>
      </c>
      <c r="E57" s="1" t="s">
        <v>330</v>
      </c>
      <c r="F57" s="7" t="str">
        <f t="shared" si="1"/>
        <v>Asistió</v>
      </c>
      <c r="G57" s="8">
        <f t="shared" si="3"/>
        <v>46277</v>
      </c>
      <c r="I57" s="1" t="s">
        <v>47</v>
      </c>
      <c r="J57" s="4" t="str">
        <f t="shared" si="2"/>
        <v>Acoxpan</v>
      </c>
    </row>
    <row r="58" hidden="1">
      <c r="A58" s="1" t="s">
        <v>331</v>
      </c>
      <c r="B58" s="1" t="s">
        <v>332</v>
      </c>
      <c r="C58" s="1" t="s">
        <v>333</v>
      </c>
      <c r="D58" s="1" t="s">
        <v>32</v>
      </c>
      <c r="E58" s="1" t="s">
        <v>334</v>
      </c>
      <c r="F58" s="7" t="str">
        <f t="shared" si="1"/>
        <v>Asistió</v>
      </c>
      <c r="G58" s="8">
        <f t="shared" si="3"/>
        <v>46277</v>
      </c>
      <c r="I58" s="1" t="s">
        <v>129</v>
      </c>
      <c r="J58" s="4" t="str">
        <f t="shared" si="2"/>
        <v>Independencia</v>
      </c>
    </row>
    <row r="59" hidden="1">
      <c r="A59" s="1" t="s">
        <v>337</v>
      </c>
      <c r="B59" s="1" t="s">
        <v>338</v>
      </c>
      <c r="C59" s="1" t="s">
        <v>339</v>
      </c>
      <c r="D59" s="1" t="s">
        <v>32</v>
      </c>
      <c r="E59" s="1" t="s">
        <v>341</v>
      </c>
      <c r="F59" s="7" t="str">
        <f t="shared" si="1"/>
        <v>Asistió</v>
      </c>
      <c r="G59" s="8">
        <f t="shared" si="3"/>
        <v>46277</v>
      </c>
      <c r="I59" s="1" t="s">
        <v>129</v>
      </c>
      <c r="J59" s="4" t="str">
        <f t="shared" si="2"/>
        <v>Independencia</v>
      </c>
    </row>
    <row r="60" hidden="1">
      <c r="A60" s="1" t="s">
        <v>343</v>
      </c>
      <c r="B60" s="1" t="s">
        <v>314</v>
      </c>
      <c r="C60" s="1" t="s">
        <v>344</v>
      </c>
      <c r="D60" s="1" t="s">
        <v>32</v>
      </c>
      <c r="F60" s="7" t="str">
        <f t="shared" si="1"/>
        <v>No Asistió</v>
      </c>
      <c r="G60" s="5" t="str">
        <f t="shared" si="3"/>
        <v/>
      </c>
      <c r="I60" s="1" t="s">
        <v>345</v>
      </c>
      <c r="J60" s="4" t="str">
        <f t="shared" si="2"/>
        <v>Xochimilco</v>
      </c>
    </row>
    <row r="61" hidden="1">
      <c r="A61" s="1" t="s">
        <v>346</v>
      </c>
      <c r="B61" s="1" t="s">
        <v>347</v>
      </c>
      <c r="C61" s="1" t="s">
        <v>348</v>
      </c>
      <c r="D61" s="1" t="s">
        <v>32</v>
      </c>
      <c r="F61" s="7" t="str">
        <f t="shared" si="1"/>
        <v>No Asistió</v>
      </c>
      <c r="G61" s="5" t="str">
        <f t="shared" si="3"/>
        <v/>
      </c>
      <c r="I61" s="1" t="s">
        <v>115</v>
      </c>
      <c r="J61" s="4" t="str">
        <f t="shared" si="2"/>
        <v>Villa Coapa</v>
      </c>
    </row>
    <row r="62" hidden="1">
      <c r="A62" s="1" t="s">
        <v>350</v>
      </c>
      <c r="B62" s="1" t="s">
        <v>351</v>
      </c>
      <c r="C62" s="1" t="s">
        <v>353</v>
      </c>
      <c r="D62" s="1" t="s">
        <v>32</v>
      </c>
      <c r="F62" s="7" t="str">
        <f t="shared" si="1"/>
        <v>No Asistió</v>
      </c>
      <c r="G62" s="5" t="str">
        <f t="shared" si="3"/>
        <v/>
      </c>
      <c r="I62" s="1" t="s">
        <v>201</v>
      </c>
      <c r="J62" s="4" t="str">
        <f t="shared" si="2"/>
        <v>Cuicuilco</v>
      </c>
    </row>
    <row r="63" hidden="1">
      <c r="A63" s="1" t="s">
        <v>356</v>
      </c>
      <c r="B63" s="1" t="s">
        <v>356</v>
      </c>
      <c r="D63" s="1" t="s">
        <v>32</v>
      </c>
      <c r="E63" s="1" t="s">
        <v>357</v>
      </c>
      <c r="F63" s="7" t="str">
        <f t="shared" si="1"/>
        <v>Asistió</v>
      </c>
      <c r="G63" s="8">
        <f t="shared" si="3"/>
        <v>46277</v>
      </c>
      <c r="I63" s="1" t="s">
        <v>99</v>
      </c>
      <c r="J63" s="4" t="str">
        <f t="shared" si="2"/>
        <v>San Pablo</v>
      </c>
    </row>
    <row r="64" hidden="1">
      <c r="A64" s="1" t="s">
        <v>358</v>
      </c>
      <c r="B64" s="1" t="s">
        <v>359</v>
      </c>
      <c r="C64" s="1" t="s">
        <v>360</v>
      </c>
      <c r="D64" s="1" t="s">
        <v>32</v>
      </c>
      <c r="F64" s="7" t="str">
        <f t="shared" si="1"/>
        <v>No Asistió</v>
      </c>
      <c r="G64" s="5" t="str">
        <f t="shared" si="3"/>
        <v/>
      </c>
      <c r="I64" s="1" t="s">
        <v>165</v>
      </c>
      <c r="J64" s="4" t="str">
        <f t="shared" si="2"/>
        <v>La Noria</v>
      </c>
    </row>
    <row r="65" hidden="1">
      <c r="A65" s="1" t="s">
        <v>362</v>
      </c>
      <c r="B65" s="1" t="s">
        <v>364</v>
      </c>
      <c r="C65" s="1" t="s">
        <v>365</v>
      </c>
      <c r="D65" s="1" t="s">
        <v>32</v>
      </c>
      <c r="F65" s="7" t="str">
        <f t="shared" si="1"/>
        <v>No Asistió</v>
      </c>
      <c r="G65" s="5" t="str">
        <f t="shared" si="3"/>
        <v/>
      </c>
      <c r="I65" s="1" t="s">
        <v>367</v>
      </c>
      <c r="J65" s="4" t="str">
        <f t="shared" si="2"/>
        <v>Chinampas</v>
      </c>
    </row>
    <row r="66" hidden="1">
      <c r="A66" s="1" t="s">
        <v>368</v>
      </c>
      <c r="B66" s="1" t="s">
        <v>369</v>
      </c>
      <c r="C66" s="1" t="s">
        <v>370</v>
      </c>
      <c r="D66" s="1" t="s">
        <v>32</v>
      </c>
      <c r="F66" s="7" t="str">
        <f t="shared" si="1"/>
        <v>No Asistió</v>
      </c>
      <c r="G66" s="5" t="str">
        <f t="shared" si="3"/>
        <v/>
      </c>
      <c r="I66" s="1" t="s">
        <v>147</v>
      </c>
      <c r="J66" s="4" t="str">
        <f t="shared" si="2"/>
        <v>Tlalpan</v>
      </c>
    </row>
    <row r="67" hidden="1">
      <c r="A67" s="1" t="s">
        <v>371</v>
      </c>
      <c r="B67" s="1" t="s">
        <v>372</v>
      </c>
      <c r="C67" s="1" t="s">
        <v>373</v>
      </c>
      <c r="D67" s="1" t="s">
        <v>32</v>
      </c>
      <c r="F67" s="7" t="str">
        <f t="shared" si="1"/>
        <v>No Asistió</v>
      </c>
      <c r="G67" s="5" t="str">
        <f t="shared" si="3"/>
        <v/>
      </c>
      <c r="I67" s="1" t="s">
        <v>147</v>
      </c>
      <c r="J67" s="4" t="str">
        <f t="shared" si="2"/>
        <v>Tlalpan</v>
      </c>
    </row>
    <row r="68" hidden="1">
      <c r="A68" s="1" t="s">
        <v>374</v>
      </c>
      <c r="B68" s="1" t="s">
        <v>375</v>
      </c>
      <c r="C68" s="1" t="s">
        <v>376</v>
      </c>
      <c r="D68" s="1" t="s">
        <v>32</v>
      </c>
      <c r="E68" s="1" t="s">
        <v>377</v>
      </c>
      <c r="F68" s="7" t="str">
        <f t="shared" si="1"/>
        <v>Asistió</v>
      </c>
      <c r="G68" s="8">
        <f t="shared" si="3"/>
        <v>46277</v>
      </c>
      <c r="I68" s="1" t="s">
        <v>99</v>
      </c>
      <c r="J68" s="4" t="str">
        <f t="shared" si="2"/>
        <v>San Pablo</v>
      </c>
    </row>
    <row r="69" hidden="1">
      <c r="A69" s="1" t="s">
        <v>181</v>
      </c>
      <c r="B69" s="1" t="s">
        <v>181</v>
      </c>
      <c r="D69" s="1" t="s">
        <v>32</v>
      </c>
      <c r="F69" s="7" t="str">
        <f t="shared" si="1"/>
        <v>No Asistió</v>
      </c>
      <c r="G69" s="5" t="str">
        <f t="shared" si="3"/>
        <v/>
      </c>
      <c r="I69" s="1" t="s">
        <v>183</v>
      </c>
      <c r="J69" s="4" t="str">
        <f t="shared" si="2"/>
        <v>Chinampas</v>
      </c>
    </row>
    <row r="70" hidden="1">
      <c r="A70" s="1" t="s">
        <v>383</v>
      </c>
      <c r="B70" s="1" t="s">
        <v>384</v>
      </c>
      <c r="C70" s="1" t="s">
        <v>386</v>
      </c>
      <c r="D70" s="1" t="s">
        <v>32</v>
      </c>
      <c r="F70" s="7" t="str">
        <f t="shared" si="1"/>
        <v>No Asistió</v>
      </c>
      <c r="G70" s="5" t="str">
        <f t="shared" si="3"/>
        <v/>
      </c>
      <c r="I70" s="1" t="s">
        <v>387</v>
      </c>
      <c r="J70" s="4" t="str">
        <f t="shared" si="2"/>
        <v>Jardines</v>
      </c>
    </row>
    <row r="71" hidden="1">
      <c r="A71" s="1" t="s">
        <v>389</v>
      </c>
      <c r="B71" s="1" t="s">
        <v>390</v>
      </c>
      <c r="C71" s="1" t="s">
        <v>386</v>
      </c>
      <c r="D71" s="1" t="s">
        <v>32</v>
      </c>
      <c r="E71" s="1" t="s">
        <v>393</v>
      </c>
      <c r="F71" s="7" t="str">
        <f t="shared" si="1"/>
        <v>Asistió</v>
      </c>
      <c r="G71" s="8">
        <f t="shared" si="3"/>
        <v>46277</v>
      </c>
      <c r="I71" s="1" t="s">
        <v>387</v>
      </c>
      <c r="J71" s="4" t="str">
        <f t="shared" si="2"/>
        <v>Jardines</v>
      </c>
    </row>
    <row r="72" hidden="1">
      <c r="A72" s="1" t="s">
        <v>396</v>
      </c>
      <c r="B72" s="1" t="s">
        <v>397</v>
      </c>
      <c r="C72" s="1" t="s">
        <v>398</v>
      </c>
      <c r="D72" s="1" t="s">
        <v>32</v>
      </c>
      <c r="E72" s="1" t="s">
        <v>399</v>
      </c>
      <c r="F72" s="7" t="str">
        <f t="shared" si="1"/>
        <v>Asistió</v>
      </c>
      <c r="G72" s="8">
        <f t="shared" si="3"/>
        <v>46277</v>
      </c>
      <c r="I72" s="1" t="s">
        <v>387</v>
      </c>
      <c r="J72" s="4" t="str">
        <f t="shared" si="2"/>
        <v>Jardines</v>
      </c>
    </row>
    <row r="73" hidden="1">
      <c r="A73" s="1" t="s">
        <v>400</v>
      </c>
      <c r="B73" s="1" t="s">
        <v>401</v>
      </c>
      <c r="C73" s="1" t="s">
        <v>402</v>
      </c>
      <c r="D73" s="1" t="s">
        <v>32</v>
      </c>
      <c r="E73" s="1" t="s">
        <v>403</v>
      </c>
      <c r="F73" s="7" t="str">
        <f t="shared" si="1"/>
        <v>Asistió</v>
      </c>
      <c r="G73" s="8">
        <f t="shared" si="3"/>
        <v>46277</v>
      </c>
      <c r="I73" s="1" t="s">
        <v>387</v>
      </c>
      <c r="J73" s="4" t="str">
        <f t="shared" si="2"/>
        <v>Jardines</v>
      </c>
    </row>
    <row r="74" hidden="1">
      <c r="A74" s="1" t="s">
        <v>408</v>
      </c>
      <c r="B74" s="1" t="s">
        <v>409</v>
      </c>
      <c r="C74" s="1" t="s">
        <v>410</v>
      </c>
      <c r="D74" s="1" t="s">
        <v>32</v>
      </c>
      <c r="F74" s="7" t="str">
        <f t="shared" si="1"/>
        <v>No Asistió</v>
      </c>
      <c r="G74" s="5" t="str">
        <f t="shared" si="3"/>
        <v/>
      </c>
      <c r="I74" s="1" t="s">
        <v>412</v>
      </c>
      <c r="J74" s="4" t="str">
        <f t="shared" si="2"/>
        <v>Bosque De Tlalpan</v>
      </c>
    </row>
    <row r="75" hidden="1">
      <c r="A75" s="1" t="s">
        <v>413</v>
      </c>
      <c r="B75" s="1" t="s">
        <v>414</v>
      </c>
      <c r="C75" s="1" t="s">
        <v>402</v>
      </c>
      <c r="D75" s="1" t="s">
        <v>32</v>
      </c>
      <c r="F75" s="7" t="str">
        <f t="shared" si="1"/>
        <v>No Asistió</v>
      </c>
      <c r="G75" s="5" t="str">
        <f t="shared" si="3"/>
        <v/>
      </c>
      <c r="I75" s="1" t="s">
        <v>416</v>
      </c>
      <c r="J75" s="4" t="str">
        <f t="shared" si="2"/>
        <v>Querétaro</v>
      </c>
    </row>
    <row r="76" hidden="1">
      <c r="A76" s="1" t="s">
        <v>417</v>
      </c>
      <c r="B76" s="1" t="s">
        <v>418</v>
      </c>
      <c r="C76" s="1" t="s">
        <v>419</v>
      </c>
      <c r="D76" s="1" t="s">
        <v>32</v>
      </c>
      <c r="F76" s="7" t="str">
        <f t="shared" si="1"/>
        <v>No Asistió</v>
      </c>
      <c r="G76" s="5" t="str">
        <f t="shared" si="3"/>
        <v/>
      </c>
      <c r="I76" s="1" t="s">
        <v>416</v>
      </c>
      <c r="J76" s="4" t="str">
        <f t="shared" si="2"/>
        <v>Querétaro</v>
      </c>
    </row>
    <row r="77" hidden="1">
      <c r="A77" s="1" t="s">
        <v>420</v>
      </c>
      <c r="B77" s="1" t="s">
        <v>421</v>
      </c>
      <c r="C77" s="1" t="s">
        <v>422</v>
      </c>
      <c r="D77" s="1" t="s">
        <v>32</v>
      </c>
      <c r="E77" s="1" t="s">
        <v>423</v>
      </c>
      <c r="F77" s="7" t="str">
        <f t="shared" si="1"/>
        <v>Asistió</v>
      </c>
      <c r="G77" s="8">
        <f t="shared" si="3"/>
        <v>46277</v>
      </c>
      <c r="I77" s="1" t="s">
        <v>425</v>
      </c>
      <c r="J77" s="4" t="str">
        <f t="shared" si="2"/>
        <v>Narvarte</v>
      </c>
    </row>
    <row r="78" hidden="1">
      <c r="A78" s="1" t="s">
        <v>428</v>
      </c>
      <c r="B78" s="1" t="s">
        <v>429</v>
      </c>
      <c r="C78" s="1" t="s">
        <v>430</v>
      </c>
      <c r="D78" s="1" t="s">
        <v>32</v>
      </c>
      <c r="F78" s="7" t="str">
        <f t="shared" si="1"/>
        <v>No Asistió</v>
      </c>
      <c r="G78" s="5" t="str">
        <f t="shared" si="3"/>
        <v/>
      </c>
      <c r="I78" s="1" t="s">
        <v>129</v>
      </c>
      <c r="J78" s="4" t="str">
        <f t="shared" si="2"/>
        <v>Independencia</v>
      </c>
    </row>
    <row r="79" hidden="1">
      <c r="A79" s="1" t="s">
        <v>432</v>
      </c>
      <c r="B79" s="1" t="s">
        <v>433</v>
      </c>
      <c r="C79" s="1" t="s">
        <v>434</v>
      </c>
      <c r="D79" s="1" t="s">
        <v>32</v>
      </c>
      <c r="F79" s="7" t="str">
        <f t="shared" si="1"/>
        <v>No Asistió</v>
      </c>
      <c r="G79" s="5" t="str">
        <f t="shared" si="3"/>
        <v/>
      </c>
      <c r="I79" s="1" t="s">
        <v>435</v>
      </c>
      <c r="J79" s="4" t="str">
        <f t="shared" si="2"/>
        <v>Rosal</v>
      </c>
    </row>
    <row r="80" hidden="1">
      <c r="A80" s="1" t="s">
        <v>436</v>
      </c>
      <c r="B80" s="1" t="s">
        <v>433</v>
      </c>
      <c r="C80" s="1" t="s">
        <v>437</v>
      </c>
      <c r="D80" s="1" t="s">
        <v>32</v>
      </c>
      <c r="F80" s="7" t="str">
        <f t="shared" si="1"/>
        <v>No Asistió</v>
      </c>
      <c r="G80" s="5" t="str">
        <f t="shared" si="3"/>
        <v/>
      </c>
      <c r="I80" s="1" t="s">
        <v>435</v>
      </c>
      <c r="J80" s="4" t="str">
        <f t="shared" si="2"/>
        <v>Rosal</v>
      </c>
    </row>
    <row r="81" hidden="1">
      <c r="A81" s="1" t="s">
        <v>441</v>
      </c>
      <c r="B81" s="1" t="s">
        <v>441</v>
      </c>
      <c r="D81" s="1" t="s">
        <v>32</v>
      </c>
      <c r="F81" s="7" t="str">
        <f t="shared" si="1"/>
        <v>No Asistió</v>
      </c>
      <c r="G81" s="5" t="str">
        <f t="shared" si="3"/>
        <v/>
      </c>
      <c r="I81" s="1" t="s">
        <v>443</v>
      </c>
      <c r="J81" s="4" t="str">
        <f t="shared" si="2"/>
        <v>Villa Coapa</v>
      </c>
    </row>
    <row r="82" hidden="1">
      <c r="A82" s="1" t="s">
        <v>444</v>
      </c>
      <c r="B82" s="1" t="s">
        <v>444</v>
      </c>
      <c r="D82" s="1" t="s">
        <v>32</v>
      </c>
      <c r="F82" s="7" t="str">
        <f t="shared" si="1"/>
        <v>No Asistió</v>
      </c>
      <c r="G82" s="5" t="str">
        <f t="shared" si="3"/>
        <v/>
      </c>
      <c r="I82" s="1" t="s">
        <v>41</v>
      </c>
      <c r="J82" s="4" t="str">
        <f t="shared" si="2"/>
        <v>Cedral</v>
      </c>
    </row>
    <row r="83" hidden="1">
      <c r="A83" s="1" t="s">
        <v>445</v>
      </c>
      <c r="B83" s="1" t="s">
        <v>446</v>
      </c>
      <c r="C83" s="1" t="s">
        <v>447</v>
      </c>
      <c r="D83" s="1" t="s">
        <v>32</v>
      </c>
      <c r="E83" s="1" t="s">
        <v>448</v>
      </c>
      <c r="F83" s="7" t="str">
        <f t="shared" si="1"/>
        <v>Asistió</v>
      </c>
      <c r="G83" s="8">
        <f t="shared" si="3"/>
        <v>46277</v>
      </c>
      <c r="I83" s="1" t="s">
        <v>147</v>
      </c>
      <c r="J83" s="4" t="str">
        <f t="shared" si="2"/>
        <v>Tlalpan</v>
      </c>
    </row>
    <row r="84" hidden="1">
      <c r="A84" s="1" t="s">
        <v>453</v>
      </c>
      <c r="B84" s="1" t="s">
        <v>455</v>
      </c>
      <c r="C84" s="1" t="s">
        <v>456</v>
      </c>
      <c r="D84" s="1" t="s">
        <v>32</v>
      </c>
      <c r="E84" s="1" t="s">
        <v>457</v>
      </c>
      <c r="F84" s="7" t="str">
        <f t="shared" si="1"/>
        <v>Asistió</v>
      </c>
      <c r="G84" s="8">
        <f t="shared" si="3"/>
        <v>46277</v>
      </c>
      <c r="I84" s="1" t="s">
        <v>147</v>
      </c>
      <c r="J84" s="4" t="str">
        <f t="shared" si="2"/>
        <v>Tlalpan</v>
      </c>
    </row>
    <row r="85" hidden="1">
      <c r="A85" s="1" t="s">
        <v>458</v>
      </c>
      <c r="B85" s="1" t="s">
        <v>459</v>
      </c>
      <c r="C85" s="1" t="s">
        <v>460</v>
      </c>
      <c r="D85" s="1" t="s">
        <v>32</v>
      </c>
      <c r="F85" s="7" t="str">
        <f t="shared" si="1"/>
        <v>No Asistió</v>
      </c>
      <c r="G85" s="5" t="str">
        <f t="shared" si="3"/>
        <v/>
      </c>
      <c r="I85" s="1" t="s">
        <v>461</v>
      </c>
      <c r="J85" s="4" t="str">
        <f t="shared" si="2"/>
        <v>San Pedro Mártir 2</v>
      </c>
    </row>
    <row r="86" hidden="1">
      <c r="A86" s="1" t="s">
        <v>462</v>
      </c>
      <c r="B86" s="1" t="s">
        <v>463</v>
      </c>
      <c r="C86" s="1" t="s">
        <v>464</v>
      </c>
      <c r="D86" s="1" t="s">
        <v>32</v>
      </c>
      <c r="E86" s="1" t="s">
        <v>466</v>
      </c>
      <c r="F86" s="7" t="str">
        <f t="shared" si="1"/>
        <v>Asistió</v>
      </c>
      <c r="G86" s="8">
        <f t="shared" si="3"/>
        <v>46277</v>
      </c>
      <c r="I86" s="1" t="s">
        <v>99</v>
      </c>
      <c r="J86" s="4" t="str">
        <f t="shared" si="2"/>
        <v>San Pablo</v>
      </c>
    </row>
    <row r="87" hidden="1">
      <c r="A87" s="1" t="s">
        <v>470</v>
      </c>
      <c r="B87" s="1" t="s">
        <v>384</v>
      </c>
      <c r="C87" s="1" t="s">
        <v>471</v>
      </c>
      <c r="D87" s="1" t="s">
        <v>32</v>
      </c>
      <c r="E87" s="1" t="s">
        <v>472</v>
      </c>
      <c r="F87" s="7" t="str">
        <f t="shared" si="1"/>
        <v>Asistió</v>
      </c>
      <c r="G87" s="8">
        <f t="shared" si="3"/>
        <v>46277</v>
      </c>
      <c r="I87" s="1" t="s">
        <v>99</v>
      </c>
      <c r="J87" s="4" t="str">
        <f t="shared" si="2"/>
        <v>San Pablo</v>
      </c>
    </row>
    <row r="88" hidden="1">
      <c r="A88" s="1" t="s">
        <v>473</v>
      </c>
      <c r="B88" s="1" t="s">
        <v>474</v>
      </c>
      <c r="C88" s="1" t="s">
        <v>475</v>
      </c>
      <c r="D88" s="1" t="s">
        <v>32</v>
      </c>
      <c r="E88" s="1" t="s">
        <v>476</v>
      </c>
      <c r="F88" s="7" t="str">
        <f t="shared" si="1"/>
        <v>Asistió</v>
      </c>
      <c r="G88" s="8">
        <f t="shared" si="3"/>
        <v>46277</v>
      </c>
      <c r="I88" s="1" t="s">
        <v>99</v>
      </c>
      <c r="J88" s="4" t="str">
        <f t="shared" si="2"/>
        <v>San Pablo</v>
      </c>
    </row>
    <row r="89" hidden="1">
      <c r="A89" s="1" t="s">
        <v>477</v>
      </c>
      <c r="B89" s="1" t="s">
        <v>478</v>
      </c>
      <c r="C89" s="1" t="s">
        <v>480</v>
      </c>
      <c r="D89" s="1" t="s">
        <v>32</v>
      </c>
      <c r="F89" s="7" t="str">
        <f t="shared" si="1"/>
        <v>No Asistió</v>
      </c>
      <c r="G89" s="5" t="str">
        <f t="shared" si="3"/>
        <v/>
      </c>
      <c r="I89" s="1" t="s">
        <v>483</v>
      </c>
      <c r="J89" s="4" t="str">
        <f t="shared" si="2"/>
        <v>Cedral</v>
      </c>
    </row>
    <row r="90" hidden="1">
      <c r="A90" s="1" t="s">
        <v>485</v>
      </c>
      <c r="B90" s="1" t="s">
        <v>486</v>
      </c>
      <c r="C90" s="1" t="s">
        <v>487</v>
      </c>
      <c r="D90" s="1" t="s">
        <v>32</v>
      </c>
      <c r="F90" s="7" t="str">
        <f t="shared" si="1"/>
        <v>No Asistió</v>
      </c>
      <c r="G90" s="5" t="str">
        <f t="shared" si="3"/>
        <v/>
      </c>
      <c r="I90" s="1" t="s">
        <v>488</v>
      </c>
      <c r="J90" s="4" t="str">
        <f t="shared" si="2"/>
        <v>San Pedro Mártir 1</v>
      </c>
    </row>
    <row r="91" hidden="1">
      <c r="A91" s="1" t="s">
        <v>489</v>
      </c>
      <c r="B91" s="1" t="s">
        <v>490</v>
      </c>
      <c r="C91" s="1" t="s">
        <v>491</v>
      </c>
      <c r="D91" s="1" t="s">
        <v>32</v>
      </c>
      <c r="F91" s="7" t="str">
        <f t="shared" si="1"/>
        <v>No Asistió</v>
      </c>
      <c r="G91" s="5" t="str">
        <f t="shared" si="3"/>
        <v/>
      </c>
      <c r="I91" s="1" t="s">
        <v>461</v>
      </c>
      <c r="J91" s="4" t="str">
        <f t="shared" si="2"/>
        <v>San Pedro Mártir 2</v>
      </c>
    </row>
    <row r="92" hidden="1">
      <c r="A92" s="1" t="s">
        <v>492</v>
      </c>
      <c r="B92" s="1" t="s">
        <v>493</v>
      </c>
      <c r="C92" s="1" t="s">
        <v>494</v>
      </c>
      <c r="D92" s="1" t="s">
        <v>32</v>
      </c>
      <c r="F92" s="7" t="str">
        <f t="shared" si="1"/>
        <v>No Asistió</v>
      </c>
      <c r="G92" s="5" t="str">
        <f t="shared" si="3"/>
        <v/>
      </c>
      <c r="I92" s="1" t="s">
        <v>495</v>
      </c>
      <c r="J92" s="4" t="str">
        <f t="shared" si="2"/>
        <v>Rosal</v>
      </c>
    </row>
    <row r="93" hidden="1">
      <c r="A93" s="1" t="s">
        <v>496</v>
      </c>
      <c r="B93" s="1" t="s">
        <v>497</v>
      </c>
      <c r="C93" s="1" t="s">
        <v>498</v>
      </c>
      <c r="D93" s="1" t="s">
        <v>32</v>
      </c>
      <c r="E93" s="1" t="s">
        <v>499</v>
      </c>
      <c r="F93" s="7" t="str">
        <f t="shared" si="1"/>
        <v>Asistió</v>
      </c>
      <c r="G93" s="8">
        <f t="shared" si="3"/>
        <v>46277</v>
      </c>
      <c r="I93" s="1" t="s">
        <v>201</v>
      </c>
      <c r="J93" s="4" t="str">
        <f t="shared" si="2"/>
        <v>Cuicuilco</v>
      </c>
    </row>
    <row r="94" hidden="1">
      <c r="A94" s="1" t="s">
        <v>504</v>
      </c>
      <c r="B94" s="1" t="s">
        <v>505</v>
      </c>
      <c r="C94" s="1" t="s">
        <v>506</v>
      </c>
      <c r="D94" s="1" t="s">
        <v>32</v>
      </c>
      <c r="F94" s="7" t="str">
        <f t="shared" si="1"/>
        <v>No Asistió</v>
      </c>
      <c r="G94" s="5" t="str">
        <f t="shared" si="3"/>
        <v/>
      </c>
      <c r="I94" s="1" t="s">
        <v>495</v>
      </c>
      <c r="J94" s="4" t="str">
        <f t="shared" si="2"/>
        <v>Rosal</v>
      </c>
    </row>
    <row r="95" hidden="1">
      <c r="A95" s="1" t="s">
        <v>507</v>
      </c>
      <c r="B95" s="1" t="s">
        <v>508</v>
      </c>
      <c r="C95" s="1" t="s">
        <v>509</v>
      </c>
      <c r="D95" s="1" t="s">
        <v>32</v>
      </c>
      <c r="F95" s="7" t="str">
        <f t="shared" si="1"/>
        <v>No Asistió</v>
      </c>
      <c r="G95" s="5" t="str">
        <f t="shared" si="3"/>
        <v/>
      </c>
      <c r="I95" s="1" t="s">
        <v>435</v>
      </c>
      <c r="J95" s="4" t="str">
        <f t="shared" si="2"/>
        <v>Rosal</v>
      </c>
    </row>
    <row r="96" hidden="1">
      <c r="A96" s="1" t="s">
        <v>510</v>
      </c>
      <c r="B96" s="1" t="s">
        <v>511</v>
      </c>
      <c r="C96" s="1" t="s">
        <v>509</v>
      </c>
      <c r="D96" s="1" t="s">
        <v>32</v>
      </c>
      <c r="F96" s="7" t="str">
        <f t="shared" si="1"/>
        <v>No Asistió</v>
      </c>
      <c r="G96" s="5" t="str">
        <f t="shared" si="3"/>
        <v/>
      </c>
      <c r="I96" s="1" t="s">
        <v>435</v>
      </c>
      <c r="J96" s="4" t="str">
        <f t="shared" si="2"/>
        <v>Rosal</v>
      </c>
    </row>
    <row r="97" hidden="1">
      <c r="A97" s="1" t="s">
        <v>513</v>
      </c>
      <c r="B97" s="1" t="s">
        <v>514</v>
      </c>
      <c r="C97" s="1" t="s">
        <v>515</v>
      </c>
      <c r="D97" s="1" t="s">
        <v>32</v>
      </c>
      <c r="F97" s="7" t="str">
        <f t="shared" si="1"/>
        <v>No Asistió</v>
      </c>
      <c r="G97" s="5" t="str">
        <f t="shared" si="3"/>
        <v/>
      </c>
      <c r="I97" s="1" t="s">
        <v>516</v>
      </c>
      <c r="J97" s="4" t="str">
        <f t="shared" si="2"/>
        <v>Bosque De Tlalpan</v>
      </c>
    </row>
    <row r="98" hidden="1">
      <c r="A98" s="1" t="s">
        <v>517</v>
      </c>
      <c r="B98" s="1" t="s">
        <v>518</v>
      </c>
      <c r="C98" s="1" t="s">
        <v>519</v>
      </c>
      <c r="D98" s="1" t="s">
        <v>32</v>
      </c>
      <c r="E98" s="1" t="s">
        <v>520</v>
      </c>
      <c r="F98" s="7" t="str">
        <f t="shared" si="1"/>
        <v>Asistió</v>
      </c>
      <c r="G98" s="8">
        <f t="shared" si="3"/>
        <v>46277</v>
      </c>
      <c r="I98" s="1" t="s">
        <v>129</v>
      </c>
      <c r="J98" s="4" t="str">
        <f t="shared" si="2"/>
        <v>Independencia</v>
      </c>
    </row>
    <row r="99" hidden="1">
      <c r="A99" s="1" t="s">
        <v>521</v>
      </c>
      <c r="B99" s="1" t="s">
        <v>522</v>
      </c>
      <c r="C99" s="1" t="s">
        <v>523</v>
      </c>
      <c r="D99" s="1" t="s">
        <v>32</v>
      </c>
      <c r="F99" s="7" t="str">
        <f t="shared" si="1"/>
        <v>No Asistió</v>
      </c>
      <c r="G99" s="5" t="str">
        <f t="shared" si="3"/>
        <v/>
      </c>
      <c r="I99" s="1" t="s">
        <v>525</v>
      </c>
      <c r="J99" s="4" t="str">
        <f t="shared" si="2"/>
        <v>Milpa Alta</v>
      </c>
    </row>
    <row r="100" hidden="1">
      <c r="A100" s="1" t="s">
        <v>526</v>
      </c>
      <c r="B100" s="1" t="s">
        <v>526</v>
      </c>
      <c r="D100" s="1" t="s">
        <v>32</v>
      </c>
      <c r="F100" s="7" t="str">
        <f t="shared" si="1"/>
        <v>No Asistió</v>
      </c>
      <c r="G100" s="5" t="str">
        <f t="shared" si="3"/>
        <v/>
      </c>
      <c r="I100" s="1" t="s">
        <v>529</v>
      </c>
      <c r="J100" s="4" t="str">
        <f t="shared" si="2"/>
        <v>Picacho</v>
      </c>
    </row>
    <row r="101" hidden="1">
      <c r="A101" s="1" t="s">
        <v>531</v>
      </c>
      <c r="B101" s="1" t="s">
        <v>533</v>
      </c>
      <c r="C101" s="1" t="s">
        <v>534</v>
      </c>
      <c r="D101" s="1" t="s">
        <v>32</v>
      </c>
      <c r="F101" s="7" t="str">
        <f t="shared" si="1"/>
        <v>No Asistió</v>
      </c>
      <c r="G101" s="5" t="str">
        <f t="shared" si="3"/>
        <v/>
      </c>
      <c r="I101" s="1" t="s">
        <v>529</v>
      </c>
      <c r="J101" s="4" t="str">
        <f t="shared" si="2"/>
        <v>Picacho</v>
      </c>
    </row>
    <row r="102" hidden="1">
      <c r="A102" s="1" t="s">
        <v>536</v>
      </c>
      <c r="B102" s="1" t="s">
        <v>537</v>
      </c>
      <c r="C102" s="1" t="s">
        <v>538</v>
      </c>
      <c r="D102" s="1" t="s">
        <v>32</v>
      </c>
      <c r="F102" s="7" t="str">
        <f t="shared" si="1"/>
        <v>No Asistió</v>
      </c>
      <c r="G102" s="5" t="str">
        <f t="shared" si="3"/>
        <v/>
      </c>
      <c r="I102" s="1" t="s">
        <v>62</v>
      </c>
      <c r="J102" s="4" t="str">
        <f t="shared" si="2"/>
        <v>La Noria</v>
      </c>
    </row>
    <row r="103" hidden="1">
      <c r="A103" s="1" t="s">
        <v>539</v>
      </c>
      <c r="B103" s="1" t="s">
        <v>540</v>
      </c>
      <c r="C103" s="1" t="s">
        <v>541</v>
      </c>
      <c r="D103" s="1" t="s">
        <v>32</v>
      </c>
      <c r="F103" s="7" t="str">
        <f t="shared" si="1"/>
        <v>No Asistió</v>
      </c>
      <c r="G103" s="5" t="str">
        <f t="shared" si="3"/>
        <v/>
      </c>
      <c r="I103" s="1" t="s">
        <v>53</v>
      </c>
      <c r="J103" s="4" t="str">
        <f t="shared" si="2"/>
        <v>La Noria</v>
      </c>
    </row>
    <row r="104" hidden="1">
      <c r="A104" s="1" t="s">
        <v>542</v>
      </c>
      <c r="B104" s="1" t="s">
        <v>543</v>
      </c>
      <c r="C104" s="1" t="s">
        <v>544</v>
      </c>
      <c r="D104" s="1" t="s">
        <v>32</v>
      </c>
      <c r="F104" s="7" t="str">
        <f t="shared" si="1"/>
        <v>No Asistió</v>
      </c>
      <c r="G104" s="5" t="str">
        <f t="shared" si="3"/>
        <v/>
      </c>
      <c r="I104" s="1" t="s">
        <v>525</v>
      </c>
      <c r="J104" s="4" t="str">
        <f t="shared" si="2"/>
        <v>Milpa Alta</v>
      </c>
    </row>
    <row r="105" hidden="1">
      <c r="A105" s="1" t="s">
        <v>547</v>
      </c>
      <c r="B105" s="1" t="s">
        <v>547</v>
      </c>
      <c r="D105" s="1" t="s">
        <v>32</v>
      </c>
      <c r="F105" s="7" t="str">
        <f t="shared" si="1"/>
        <v>No Asistió</v>
      </c>
      <c r="G105" s="5" t="str">
        <f t="shared" si="3"/>
        <v/>
      </c>
      <c r="I105" s="1" t="s">
        <v>165</v>
      </c>
      <c r="J105" s="4" t="str">
        <f t="shared" si="2"/>
        <v>La Noria</v>
      </c>
    </row>
    <row r="106" hidden="1">
      <c r="A106" s="1" t="s">
        <v>548</v>
      </c>
      <c r="B106" s="1" t="s">
        <v>548</v>
      </c>
      <c r="D106" s="1" t="s">
        <v>32</v>
      </c>
      <c r="F106" s="7" t="str">
        <f t="shared" si="1"/>
        <v>No Asistió</v>
      </c>
      <c r="G106" s="5" t="str">
        <f t="shared" si="3"/>
        <v/>
      </c>
      <c r="I106" s="1" t="s">
        <v>165</v>
      </c>
      <c r="J106" s="4" t="str">
        <f t="shared" si="2"/>
        <v>La Noria</v>
      </c>
    </row>
    <row r="107" hidden="1">
      <c r="A107" s="1" t="s">
        <v>551</v>
      </c>
      <c r="B107" s="1" t="s">
        <v>268</v>
      </c>
      <c r="C107" s="1" t="s">
        <v>553</v>
      </c>
      <c r="D107" s="1" t="s">
        <v>32</v>
      </c>
      <c r="E107" s="1" t="s">
        <v>554</v>
      </c>
      <c r="F107" s="7" t="str">
        <f t="shared" si="1"/>
        <v>Asistió</v>
      </c>
      <c r="G107" s="8">
        <f t="shared" si="3"/>
        <v>46277</v>
      </c>
      <c r="I107" s="1" t="s">
        <v>129</v>
      </c>
      <c r="J107" s="4" t="str">
        <f t="shared" si="2"/>
        <v>Independencia</v>
      </c>
    </row>
    <row r="108" hidden="1">
      <c r="A108" s="1" t="s">
        <v>556</v>
      </c>
      <c r="B108" s="1" t="s">
        <v>557</v>
      </c>
      <c r="C108" s="1" t="s">
        <v>558</v>
      </c>
      <c r="D108" s="1" t="s">
        <v>32</v>
      </c>
      <c r="E108" s="1" t="s">
        <v>560</v>
      </c>
      <c r="F108" s="7" t="str">
        <f t="shared" si="1"/>
        <v>Asistió</v>
      </c>
      <c r="G108" s="8">
        <f t="shared" si="3"/>
        <v>46277</v>
      </c>
      <c r="I108" s="1" t="s">
        <v>62</v>
      </c>
      <c r="J108" s="4" t="str">
        <f t="shared" si="2"/>
        <v>La Noria</v>
      </c>
    </row>
    <row r="109" hidden="1">
      <c r="A109" s="1" t="s">
        <v>561</v>
      </c>
      <c r="B109" s="1" t="s">
        <v>561</v>
      </c>
      <c r="D109" s="1" t="s">
        <v>32</v>
      </c>
      <c r="E109" s="1" t="s">
        <v>562</v>
      </c>
      <c r="F109" s="7" t="str">
        <f t="shared" si="1"/>
        <v>Asistió</v>
      </c>
      <c r="G109" s="8">
        <f t="shared" si="3"/>
        <v>46277</v>
      </c>
      <c r="I109" s="1" t="s">
        <v>165</v>
      </c>
      <c r="J109" s="4" t="str">
        <f t="shared" si="2"/>
        <v>La Noria</v>
      </c>
    </row>
    <row r="110" hidden="1">
      <c r="A110" s="1" t="s">
        <v>564</v>
      </c>
      <c r="B110" s="1" t="s">
        <v>565</v>
      </c>
      <c r="D110" s="1" t="s">
        <v>32</v>
      </c>
      <c r="F110" s="7" t="str">
        <f t="shared" si="1"/>
        <v>No Asistió</v>
      </c>
      <c r="G110" s="5" t="str">
        <f t="shared" si="3"/>
        <v/>
      </c>
      <c r="I110" s="1" t="s">
        <v>192</v>
      </c>
      <c r="J110" s="4" t="str">
        <f t="shared" si="2"/>
        <v>Hidalgo</v>
      </c>
    </row>
    <row r="111" hidden="1">
      <c r="A111" s="1" t="s">
        <v>571</v>
      </c>
      <c r="B111" s="1" t="s">
        <v>572</v>
      </c>
      <c r="C111" s="1" t="s">
        <v>574</v>
      </c>
      <c r="D111" s="1" t="s">
        <v>32</v>
      </c>
      <c r="F111" s="7" t="str">
        <f t="shared" si="1"/>
        <v>No Asistió</v>
      </c>
      <c r="G111" s="5" t="str">
        <f t="shared" si="3"/>
        <v/>
      </c>
      <c r="I111" s="1" t="s">
        <v>192</v>
      </c>
      <c r="J111" s="4" t="str">
        <f t="shared" si="2"/>
        <v>Hidalgo</v>
      </c>
    </row>
    <row r="112" hidden="1">
      <c r="A112" s="1" t="s">
        <v>576</v>
      </c>
      <c r="B112" s="1" t="s">
        <v>578</v>
      </c>
      <c r="C112" s="1" t="s">
        <v>579</v>
      </c>
      <c r="D112" s="1" t="s">
        <v>32</v>
      </c>
      <c r="F112" s="7" t="str">
        <f t="shared" si="1"/>
        <v>No Asistió</v>
      </c>
      <c r="G112" s="5" t="str">
        <f t="shared" si="3"/>
        <v/>
      </c>
      <c r="I112" s="1" t="s">
        <v>192</v>
      </c>
      <c r="J112" s="4" t="str">
        <f t="shared" si="2"/>
        <v>Hidalgo</v>
      </c>
    </row>
    <row r="113" hidden="1">
      <c r="A113" s="1" t="s">
        <v>581</v>
      </c>
      <c r="B113" s="1" t="s">
        <v>581</v>
      </c>
      <c r="D113" s="1" t="s">
        <v>32</v>
      </c>
      <c r="F113" s="7" t="str">
        <f t="shared" si="1"/>
        <v>No Asistió</v>
      </c>
      <c r="G113" s="5" t="str">
        <f t="shared" si="3"/>
        <v/>
      </c>
      <c r="I113" s="1" t="s">
        <v>192</v>
      </c>
      <c r="J113" s="4" t="str">
        <f t="shared" si="2"/>
        <v>Hidalgo</v>
      </c>
    </row>
    <row r="114" hidden="1">
      <c r="A114" s="1" t="s">
        <v>565</v>
      </c>
      <c r="B114" s="1" t="s">
        <v>565</v>
      </c>
      <c r="D114" s="1" t="s">
        <v>32</v>
      </c>
      <c r="F114" s="7" t="str">
        <f t="shared" si="1"/>
        <v>No Asistió</v>
      </c>
      <c r="G114" s="5" t="str">
        <f t="shared" si="3"/>
        <v/>
      </c>
      <c r="I114" s="1" t="s">
        <v>192</v>
      </c>
      <c r="J114" s="4" t="str">
        <f t="shared" si="2"/>
        <v>Hidalgo</v>
      </c>
    </row>
    <row r="115" hidden="1">
      <c r="A115" s="1" t="s">
        <v>587</v>
      </c>
      <c r="B115" s="1" t="s">
        <v>588</v>
      </c>
      <c r="C115" s="1" t="s">
        <v>589</v>
      </c>
      <c r="D115" s="1" t="s">
        <v>32</v>
      </c>
      <c r="E115" s="1" t="s">
        <v>590</v>
      </c>
      <c r="F115" s="7" t="str">
        <f t="shared" si="1"/>
        <v>Asistió</v>
      </c>
      <c r="G115" s="8">
        <f t="shared" si="3"/>
        <v>46277</v>
      </c>
      <c r="I115" s="1" t="s">
        <v>47</v>
      </c>
      <c r="J115" s="4" t="str">
        <f t="shared" si="2"/>
        <v>Acoxpan</v>
      </c>
    </row>
    <row r="116" hidden="1">
      <c r="A116" s="1" t="s">
        <v>591</v>
      </c>
      <c r="B116" s="1" t="s">
        <v>592</v>
      </c>
      <c r="C116" s="1" t="s">
        <v>589</v>
      </c>
      <c r="D116" s="1" t="s">
        <v>32</v>
      </c>
      <c r="F116" s="7" t="str">
        <f t="shared" si="1"/>
        <v>No Asistió</v>
      </c>
      <c r="G116" s="5" t="str">
        <f t="shared" si="3"/>
        <v/>
      </c>
      <c r="I116" s="1" t="s">
        <v>47</v>
      </c>
      <c r="J116" s="4" t="str">
        <f t="shared" si="2"/>
        <v>Acoxpan</v>
      </c>
    </row>
    <row r="117" hidden="1">
      <c r="A117" s="1" t="s">
        <v>593</v>
      </c>
      <c r="B117" s="1" t="s">
        <v>594</v>
      </c>
      <c r="C117" s="1" t="s">
        <v>78</v>
      </c>
      <c r="D117" s="1" t="s">
        <v>32</v>
      </c>
      <c r="E117" s="1" t="s">
        <v>596</v>
      </c>
      <c r="F117" s="7" t="str">
        <f t="shared" si="1"/>
        <v>Asistió</v>
      </c>
      <c r="G117" s="8">
        <f t="shared" si="3"/>
        <v>46277</v>
      </c>
      <c r="I117" s="1" t="s">
        <v>165</v>
      </c>
      <c r="J117" s="4" t="str">
        <f t="shared" si="2"/>
        <v>La Noria</v>
      </c>
    </row>
    <row r="118" hidden="1">
      <c r="A118" s="1" t="s">
        <v>600</v>
      </c>
      <c r="B118" s="1" t="s">
        <v>601</v>
      </c>
      <c r="C118" s="1" t="s">
        <v>602</v>
      </c>
      <c r="D118" s="1" t="s">
        <v>32</v>
      </c>
      <c r="F118" s="7" t="str">
        <f t="shared" si="1"/>
        <v>No Asistió</v>
      </c>
      <c r="G118" s="5" t="str">
        <f t="shared" si="3"/>
        <v/>
      </c>
      <c r="H118" s="1" t="s">
        <v>603</v>
      </c>
      <c r="I118" s="1" t="s">
        <v>345</v>
      </c>
      <c r="J118" s="4" t="str">
        <f t="shared" si="2"/>
        <v>Xochimilco</v>
      </c>
    </row>
    <row r="119" hidden="1">
      <c r="A119" s="1" t="s">
        <v>604</v>
      </c>
      <c r="B119" s="1" t="s">
        <v>605</v>
      </c>
      <c r="C119" s="1" t="s">
        <v>606</v>
      </c>
      <c r="D119" s="1" t="s">
        <v>32</v>
      </c>
      <c r="F119" s="7" t="str">
        <f t="shared" si="1"/>
        <v>No Asistió</v>
      </c>
      <c r="G119" s="5" t="str">
        <f t="shared" si="3"/>
        <v/>
      </c>
      <c r="H119" s="1" t="s">
        <v>603</v>
      </c>
      <c r="I119" s="1" t="s">
        <v>345</v>
      </c>
      <c r="J119" s="4" t="str">
        <f t="shared" si="2"/>
        <v>Xochimilco</v>
      </c>
    </row>
    <row r="120" hidden="1">
      <c r="A120" s="1" t="s">
        <v>607</v>
      </c>
      <c r="B120" s="1" t="s">
        <v>608</v>
      </c>
      <c r="C120" s="1" t="s">
        <v>609</v>
      </c>
      <c r="D120" s="1" t="s">
        <v>32</v>
      </c>
      <c r="F120" s="7" t="str">
        <f t="shared" si="1"/>
        <v>No Asistió</v>
      </c>
      <c r="G120" s="5" t="str">
        <f t="shared" si="3"/>
        <v/>
      </c>
      <c r="I120" s="1" t="s">
        <v>345</v>
      </c>
      <c r="J120" s="4" t="str">
        <f t="shared" si="2"/>
        <v>Xochimilco</v>
      </c>
    </row>
    <row r="121" hidden="1">
      <c r="A121" s="1" t="s">
        <v>605</v>
      </c>
      <c r="B121" s="1" t="s">
        <v>605</v>
      </c>
      <c r="C121" s="1" t="s">
        <v>609</v>
      </c>
      <c r="D121" s="1" t="s">
        <v>32</v>
      </c>
      <c r="F121" s="7" t="str">
        <f t="shared" si="1"/>
        <v>No Asistió</v>
      </c>
      <c r="G121" s="5" t="str">
        <f t="shared" si="3"/>
        <v/>
      </c>
      <c r="I121" s="1" t="s">
        <v>345</v>
      </c>
      <c r="J121" s="4" t="str">
        <f t="shared" si="2"/>
        <v>Xochimilco</v>
      </c>
    </row>
    <row r="122" hidden="1">
      <c r="A122" s="1" t="s">
        <v>614</v>
      </c>
      <c r="B122" s="1" t="s">
        <v>615</v>
      </c>
      <c r="C122" s="1" t="s">
        <v>322</v>
      </c>
      <c r="D122" s="1" t="s">
        <v>32</v>
      </c>
      <c r="F122" s="7" t="str">
        <f t="shared" si="1"/>
        <v>No Asistió</v>
      </c>
      <c r="G122" s="5" t="str">
        <f t="shared" si="3"/>
        <v/>
      </c>
      <c r="I122" s="1" t="s">
        <v>345</v>
      </c>
      <c r="J122" s="4" t="str">
        <f t="shared" si="2"/>
        <v>Xochimilco</v>
      </c>
    </row>
    <row r="123" hidden="1">
      <c r="A123" s="1" t="s">
        <v>616</v>
      </c>
      <c r="B123" s="1" t="s">
        <v>617</v>
      </c>
      <c r="C123" s="1" t="s">
        <v>618</v>
      </c>
      <c r="D123" s="1" t="s">
        <v>32</v>
      </c>
      <c r="E123" s="1" t="s">
        <v>619</v>
      </c>
      <c r="F123" s="7" t="str">
        <f t="shared" si="1"/>
        <v>Asistió</v>
      </c>
      <c r="G123" s="8">
        <f t="shared" si="3"/>
        <v>46277</v>
      </c>
      <c r="I123" s="1" t="s">
        <v>285</v>
      </c>
      <c r="J123" s="4" t="str">
        <f t="shared" si="2"/>
        <v>Cuicuilco</v>
      </c>
    </row>
    <row r="124" hidden="1">
      <c r="A124" s="1" t="s">
        <v>622</v>
      </c>
      <c r="B124" s="1" t="s">
        <v>291</v>
      </c>
      <c r="C124" s="1" t="s">
        <v>623</v>
      </c>
      <c r="D124" s="1" t="s">
        <v>32</v>
      </c>
      <c r="F124" s="7" t="str">
        <f t="shared" si="1"/>
        <v>No Asistió</v>
      </c>
      <c r="G124" s="5" t="str">
        <f t="shared" si="3"/>
        <v/>
      </c>
      <c r="I124" s="1" t="s">
        <v>443</v>
      </c>
      <c r="J124" s="4" t="str">
        <f t="shared" si="2"/>
        <v>Villa Coapa</v>
      </c>
    </row>
    <row r="125" hidden="1">
      <c r="A125" s="1" t="s">
        <v>627</v>
      </c>
      <c r="B125" s="1" t="s">
        <v>303</v>
      </c>
      <c r="C125" s="1" t="s">
        <v>589</v>
      </c>
      <c r="D125" s="1" t="s">
        <v>32</v>
      </c>
      <c r="E125" s="1" t="s">
        <v>628</v>
      </c>
      <c r="F125" s="7" t="str">
        <f t="shared" si="1"/>
        <v>Asistió</v>
      </c>
      <c r="G125" s="8">
        <f t="shared" si="3"/>
        <v>46277</v>
      </c>
      <c r="I125" s="1" t="s">
        <v>47</v>
      </c>
      <c r="J125" s="4" t="str">
        <f t="shared" si="2"/>
        <v>Acoxpan</v>
      </c>
    </row>
    <row r="126" hidden="1">
      <c r="A126" s="1" t="s">
        <v>629</v>
      </c>
      <c r="B126" s="1" t="s">
        <v>630</v>
      </c>
      <c r="C126" s="1" t="s">
        <v>179</v>
      </c>
      <c r="D126" s="1" t="s">
        <v>32</v>
      </c>
      <c r="F126" s="7" t="str">
        <f t="shared" si="1"/>
        <v>No Asistió</v>
      </c>
      <c r="G126" s="5" t="str">
        <f t="shared" si="3"/>
        <v/>
      </c>
      <c r="I126" s="1" t="s">
        <v>525</v>
      </c>
      <c r="J126" s="4" t="str">
        <f t="shared" si="2"/>
        <v>Milpa Alta</v>
      </c>
    </row>
    <row r="127" hidden="1">
      <c r="A127" s="1" t="s">
        <v>631</v>
      </c>
      <c r="B127" s="1" t="s">
        <v>633</v>
      </c>
      <c r="C127" s="1" t="s">
        <v>634</v>
      </c>
      <c r="D127" s="1" t="s">
        <v>32</v>
      </c>
      <c r="F127" s="7" t="str">
        <f t="shared" si="1"/>
        <v>No Asistió</v>
      </c>
      <c r="G127" s="5" t="str">
        <f t="shared" si="3"/>
        <v/>
      </c>
      <c r="I127" s="1" t="s">
        <v>637</v>
      </c>
      <c r="J127" s="4" t="str">
        <f t="shared" si="2"/>
        <v>Azteca</v>
      </c>
    </row>
    <row r="128" hidden="1">
      <c r="A128" s="1" t="s">
        <v>638</v>
      </c>
      <c r="B128" s="1" t="s">
        <v>639</v>
      </c>
      <c r="C128" s="1" t="s">
        <v>640</v>
      </c>
      <c r="D128" s="1" t="s">
        <v>32</v>
      </c>
      <c r="F128" s="7" t="str">
        <f t="shared" si="1"/>
        <v>No Asistió</v>
      </c>
      <c r="G128" s="5" t="str">
        <f t="shared" si="3"/>
        <v/>
      </c>
      <c r="I128" s="1" t="s">
        <v>285</v>
      </c>
      <c r="J128" s="4" t="str">
        <f t="shared" si="2"/>
        <v>Cuicuilco</v>
      </c>
    </row>
    <row r="129" hidden="1">
      <c r="A129" s="1" t="s">
        <v>641</v>
      </c>
      <c r="B129" s="1" t="s">
        <v>642</v>
      </c>
      <c r="C129" s="1" t="s">
        <v>643</v>
      </c>
      <c r="D129" s="1" t="s">
        <v>32</v>
      </c>
      <c r="F129" s="7" t="str">
        <f t="shared" si="1"/>
        <v>No Asistió</v>
      </c>
      <c r="G129" s="5" t="str">
        <f t="shared" si="3"/>
        <v/>
      </c>
      <c r="H129" s="1" t="s">
        <v>644</v>
      </c>
      <c r="I129" s="1" t="s">
        <v>525</v>
      </c>
      <c r="J129" s="4" t="str">
        <f t="shared" si="2"/>
        <v>Milpa Alta</v>
      </c>
    </row>
    <row r="130" hidden="1">
      <c r="A130" s="1" t="s">
        <v>646</v>
      </c>
      <c r="B130" s="1" t="s">
        <v>647</v>
      </c>
      <c r="C130" s="1" t="s">
        <v>648</v>
      </c>
      <c r="D130" s="1" t="s">
        <v>32</v>
      </c>
      <c r="E130" s="1" t="s">
        <v>651</v>
      </c>
      <c r="F130" s="7" t="str">
        <f t="shared" si="1"/>
        <v>Asistió</v>
      </c>
      <c r="G130" s="8">
        <f t="shared" si="3"/>
        <v>46277</v>
      </c>
      <c r="I130" s="1" t="s">
        <v>201</v>
      </c>
      <c r="J130" s="4" t="str">
        <f t="shared" si="2"/>
        <v>Cuicuilco</v>
      </c>
    </row>
    <row r="131" hidden="1">
      <c r="A131" s="1" t="s">
        <v>653</v>
      </c>
      <c r="B131" s="1" t="s">
        <v>654</v>
      </c>
      <c r="C131" s="1" t="s">
        <v>44</v>
      </c>
      <c r="D131" s="1" t="s">
        <v>32</v>
      </c>
      <c r="E131" s="1" t="s">
        <v>655</v>
      </c>
      <c r="F131" s="7" t="str">
        <f t="shared" si="1"/>
        <v>Asistió</v>
      </c>
      <c r="G131" s="8">
        <f t="shared" si="3"/>
        <v>46277</v>
      </c>
      <c r="I131" s="1" t="s">
        <v>201</v>
      </c>
      <c r="J131" s="4" t="str">
        <f t="shared" si="2"/>
        <v>Cuicuilco</v>
      </c>
    </row>
    <row r="132" hidden="1">
      <c r="A132" s="1" t="s">
        <v>656</v>
      </c>
      <c r="B132" s="1" t="s">
        <v>657</v>
      </c>
      <c r="C132" s="1" t="s">
        <v>658</v>
      </c>
      <c r="D132" s="1" t="s">
        <v>32</v>
      </c>
      <c r="F132" s="7" t="str">
        <f t="shared" si="1"/>
        <v>No Asistió</v>
      </c>
      <c r="G132" s="5" t="str">
        <f t="shared" si="3"/>
        <v/>
      </c>
      <c r="I132" s="1" t="s">
        <v>183</v>
      </c>
      <c r="J132" s="4" t="str">
        <f t="shared" si="2"/>
        <v>Chinampas</v>
      </c>
    </row>
    <row r="133" hidden="1">
      <c r="A133" s="1" t="s">
        <v>660</v>
      </c>
      <c r="B133" s="1" t="s">
        <v>661</v>
      </c>
      <c r="C133" s="1" t="s">
        <v>662</v>
      </c>
      <c r="D133" s="1" t="s">
        <v>32</v>
      </c>
      <c r="F133" s="7" t="str">
        <f t="shared" si="1"/>
        <v>No Asistió</v>
      </c>
      <c r="G133" s="5" t="str">
        <f t="shared" si="3"/>
        <v/>
      </c>
      <c r="I133" s="1" t="s">
        <v>525</v>
      </c>
      <c r="J133" s="4" t="str">
        <f t="shared" si="2"/>
        <v>Milpa Alta</v>
      </c>
    </row>
    <row r="134" hidden="1">
      <c r="A134" s="1" t="s">
        <v>666</v>
      </c>
      <c r="B134" s="1" t="s">
        <v>667</v>
      </c>
      <c r="C134" s="1" t="s">
        <v>668</v>
      </c>
      <c r="D134" s="1" t="s">
        <v>32</v>
      </c>
      <c r="E134" s="1" t="s">
        <v>669</v>
      </c>
      <c r="F134" s="7" t="str">
        <f t="shared" si="1"/>
        <v>Asistió</v>
      </c>
      <c r="G134" s="8">
        <f t="shared" si="3"/>
        <v>46277</v>
      </c>
      <c r="I134" s="1" t="s">
        <v>73</v>
      </c>
      <c r="J134" s="4" t="str">
        <f t="shared" si="2"/>
        <v>Azteca</v>
      </c>
    </row>
    <row r="135" hidden="1">
      <c r="A135" s="1" t="s">
        <v>670</v>
      </c>
      <c r="B135" s="1" t="s">
        <v>671</v>
      </c>
      <c r="C135" s="1" t="s">
        <v>672</v>
      </c>
      <c r="D135" s="1" t="s">
        <v>32</v>
      </c>
      <c r="E135" s="1" t="s">
        <v>673</v>
      </c>
      <c r="F135" s="7" t="str">
        <f t="shared" si="1"/>
        <v>Asistió</v>
      </c>
      <c r="G135" s="8">
        <f t="shared" si="3"/>
        <v>46277</v>
      </c>
      <c r="I135" s="1" t="s">
        <v>674</v>
      </c>
      <c r="J135" s="4" t="str">
        <f t="shared" si="2"/>
        <v>Azteca</v>
      </c>
    </row>
    <row r="136" hidden="1">
      <c r="A136" s="1" t="s">
        <v>675</v>
      </c>
      <c r="B136" s="1" t="s">
        <v>676</v>
      </c>
      <c r="C136" s="1" t="s">
        <v>678</v>
      </c>
      <c r="D136" s="1" t="s">
        <v>32</v>
      </c>
      <c r="F136" s="7" t="str">
        <f t="shared" si="1"/>
        <v>No Asistió</v>
      </c>
      <c r="G136" s="5" t="str">
        <f t="shared" si="3"/>
        <v/>
      </c>
      <c r="I136" s="1" t="s">
        <v>525</v>
      </c>
      <c r="J136" s="4" t="str">
        <f t="shared" si="2"/>
        <v>Milpa Alta</v>
      </c>
    </row>
    <row r="137" hidden="1">
      <c r="A137" s="1" t="s">
        <v>681</v>
      </c>
      <c r="B137" s="1" t="s">
        <v>683</v>
      </c>
      <c r="C137" s="1" t="s">
        <v>684</v>
      </c>
      <c r="D137" s="1" t="s">
        <v>32</v>
      </c>
      <c r="F137" s="7" t="str">
        <f t="shared" si="1"/>
        <v>No Asistió</v>
      </c>
      <c r="G137" s="5" t="str">
        <f t="shared" si="3"/>
        <v/>
      </c>
      <c r="I137" s="1" t="s">
        <v>62</v>
      </c>
      <c r="J137" s="4" t="str">
        <f t="shared" si="2"/>
        <v>La Noria</v>
      </c>
    </row>
    <row r="138" hidden="1">
      <c r="A138" s="1" t="s">
        <v>685</v>
      </c>
      <c r="B138" s="1" t="s">
        <v>686</v>
      </c>
      <c r="C138" s="1" t="s">
        <v>687</v>
      </c>
      <c r="D138" s="1" t="s">
        <v>32</v>
      </c>
      <c r="F138" s="7" t="str">
        <f t="shared" si="1"/>
        <v>No Asistió</v>
      </c>
      <c r="G138" s="5" t="str">
        <f t="shared" si="3"/>
        <v/>
      </c>
      <c r="I138" s="1" t="s">
        <v>165</v>
      </c>
      <c r="J138" s="4" t="str">
        <f t="shared" si="2"/>
        <v>La Noria</v>
      </c>
    </row>
    <row r="139" hidden="1">
      <c r="A139" s="1" t="s">
        <v>688</v>
      </c>
      <c r="B139" s="1" t="s">
        <v>689</v>
      </c>
      <c r="C139" s="1" t="s">
        <v>690</v>
      </c>
      <c r="D139" s="1" t="s">
        <v>32</v>
      </c>
      <c r="E139" s="1" t="s">
        <v>691</v>
      </c>
      <c r="F139" s="7" t="str">
        <f t="shared" si="1"/>
        <v>Asistió</v>
      </c>
      <c r="G139" s="8">
        <f t="shared" si="3"/>
        <v>46277</v>
      </c>
      <c r="I139" s="1" t="s">
        <v>692</v>
      </c>
      <c r="J139" s="4" t="str">
        <f t="shared" si="2"/>
        <v>La Noria</v>
      </c>
    </row>
    <row r="140" hidden="1">
      <c r="A140" s="1" t="s">
        <v>693</v>
      </c>
      <c r="B140" s="1" t="s">
        <v>694</v>
      </c>
      <c r="C140" s="1" t="s">
        <v>695</v>
      </c>
      <c r="D140" s="1" t="s">
        <v>32</v>
      </c>
      <c r="E140" s="1" t="s">
        <v>696</v>
      </c>
      <c r="F140" s="7" t="str">
        <f t="shared" si="1"/>
        <v>Asistió</v>
      </c>
      <c r="G140" s="8">
        <f t="shared" si="3"/>
        <v>46277</v>
      </c>
      <c r="I140" s="1" t="s">
        <v>443</v>
      </c>
      <c r="J140" s="4" t="str">
        <f t="shared" si="2"/>
        <v>Villa Coapa</v>
      </c>
    </row>
    <row r="141" hidden="1">
      <c r="A141" s="1" t="s">
        <v>700</v>
      </c>
      <c r="B141" s="1" t="s">
        <v>702</v>
      </c>
      <c r="C141" s="1" t="s">
        <v>703</v>
      </c>
      <c r="D141" s="1" t="s">
        <v>32</v>
      </c>
      <c r="E141" s="1" t="s">
        <v>704</v>
      </c>
      <c r="F141" s="7" t="str">
        <f t="shared" si="1"/>
        <v>Asistió</v>
      </c>
      <c r="G141" s="8">
        <f t="shared" si="3"/>
        <v>46277</v>
      </c>
      <c r="I141" s="1" t="s">
        <v>73</v>
      </c>
      <c r="J141" s="4" t="str">
        <f t="shared" si="2"/>
        <v>Azteca</v>
      </c>
    </row>
    <row r="142" hidden="1">
      <c r="A142" s="1" t="s">
        <v>705</v>
      </c>
      <c r="B142" s="1" t="s">
        <v>706</v>
      </c>
      <c r="C142" s="1" t="s">
        <v>707</v>
      </c>
      <c r="D142" s="1" t="s">
        <v>32</v>
      </c>
      <c r="F142" s="7" t="str">
        <f t="shared" si="1"/>
        <v>No Asistió</v>
      </c>
      <c r="G142" s="5" t="str">
        <f t="shared" si="3"/>
        <v/>
      </c>
      <c r="I142" s="1" t="s">
        <v>115</v>
      </c>
      <c r="J142" s="4" t="str">
        <f t="shared" si="2"/>
        <v>Villa Coapa</v>
      </c>
    </row>
    <row r="143" hidden="1">
      <c r="A143" s="1" t="s">
        <v>708</v>
      </c>
      <c r="B143" s="1" t="s">
        <v>709</v>
      </c>
      <c r="C143" s="1" t="s">
        <v>643</v>
      </c>
      <c r="D143" s="1" t="s">
        <v>32</v>
      </c>
      <c r="F143" s="7" t="str">
        <f t="shared" si="1"/>
        <v>No Asistió</v>
      </c>
      <c r="G143" s="5" t="str">
        <f t="shared" si="3"/>
        <v/>
      </c>
      <c r="I143" s="1" t="s">
        <v>525</v>
      </c>
      <c r="J143" s="4" t="str">
        <f t="shared" si="2"/>
        <v>Milpa Alta</v>
      </c>
    </row>
    <row r="144" hidden="1">
      <c r="A144" s="1" t="s">
        <v>712</v>
      </c>
      <c r="B144" s="1" t="s">
        <v>714</v>
      </c>
      <c r="C144" s="1" t="s">
        <v>715</v>
      </c>
      <c r="D144" s="1" t="s">
        <v>32</v>
      </c>
      <c r="E144" s="1" t="s">
        <v>716</v>
      </c>
      <c r="F144" s="7" t="str">
        <f t="shared" si="1"/>
        <v>Asistió</v>
      </c>
      <c r="G144" s="8">
        <f t="shared" si="3"/>
        <v>46277</v>
      </c>
      <c r="I144" s="1" t="s">
        <v>718</v>
      </c>
      <c r="J144" s="4" t="str">
        <f t="shared" si="2"/>
        <v>La Noria</v>
      </c>
    </row>
    <row r="145" hidden="1">
      <c r="A145" s="1" t="s">
        <v>719</v>
      </c>
      <c r="B145" s="1" t="s">
        <v>720</v>
      </c>
      <c r="C145" s="1" t="s">
        <v>640</v>
      </c>
      <c r="D145" s="1" t="s">
        <v>32</v>
      </c>
      <c r="E145" s="1" t="s">
        <v>721</v>
      </c>
      <c r="F145" s="7" t="str">
        <f t="shared" si="1"/>
        <v>Asistió</v>
      </c>
      <c r="G145" s="8">
        <f t="shared" si="3"/>
        <v>46277</v>
      </c>
      <c r="I145" s="1" t="s">
        <v>201</v>
      </c>
      <c r="J145" s="4" t="str">
        <f t="shared" si="2"/>
        <v>Cuicuilco</v>
      </c>
    </row>
    <row r="146" hidden="1">
      <c r="A146" s="1" t="s">
        <v>722</v>
      </c>
      <c r="B146" s="1" t="s">
        <v>723</v>
      </c>
      <c r="C146" s="1" t="s">
        <v>724</v>
      </c>
      <c r="D146" s="1" t="s">
        <v>32</v>
      </c>
      <c r="E146" s="1" t="s">
        <v>725</v>
      </c>
      <c r="F146" s="7" t="str">
        <f t="shared" si="1"/>
        <v>Asistió</v>
      </c>
      <c r="G146" s="8">
        <f t="shared" si="3"/>
        <v>46277</v>
      </c>
      <c r="I146" s="1" t="s">
        <v>183</v>
      </c>
      <c r="J146" s="4" t="str">
        <f t="shared" si="2"/>
        <v>Chinampas</v>
      </c>
    </row>
    <row r="147" hidden="1">
      <c r="A147" s="1" t="s">
        <v>727</v>
      </c>
      <c r="B147" s="1" t="s">
        <v>728</v>
      </c>
      <c r="C147" s="1" t="s">
        <v>78</v>
      </c>
      <c r="D147" s="1" t="s">
        <v>32</v>
      </c>
      <c r="E147" s="1" t="s">
        <v>731</v>
      </c>
      <c r="F147" s="7" t="str">
        <f t="shared" si="1"/>
        <v>Asistió</v>
      </c>
      <c r="G147" s="8">
        <f t="shared" si="3"/>
        <v>46277</v>
      </c>
      <c r="I147" s="1" t="s">
        <v>165</v>
      </c>
      <c r="J147" s="4" t="str">
        <f t="shared" si="2"/>
        <v>La Noria</v>
      </c>
    </row>
    <row r="148" hidden="1">
      <c r="A148" s="1" t="s">
        <v>733</v>
      </c>
      <c r="B148" s="1" t="s">
        <v>734</v>
      </c>
      <c r="D148" s="1" t="s">
        <v>735</v>
      </c>
      <c r="F148" s="7" t="str">
        <f t="shared" si="1"/>
        <v>No Asistió</v>
      </c>
      <c r="G148" s="5" t="str">
        <f t="shared" si="3"/>
        <v/>
      </c>
      <c r="I148" s="1" t="s">
        <v>165</v>
      </c>
      <c r="J148" s="4" t="str">
        <f t="shared" si="2"/>
        <v>La Noria</v>
      </c>
    </row>
    <row r="149" hidden="1">
      <c r="A149" s="1" t="s">
        <v>736</v>
      </c>
      <c r="B149" s="1" t="s">
        <v>737</v>
      </c>
      <c r="C149" s="1" t="s">
        <v>738</v>
      </c>
      <c r="D149" s="1" t="s">
        <v>735</v>
      </c>
      <c r="F149" s="7" t="str">
        <f t="shared" si="1"/>
        <v>No Asistió</v>
      </c>
      <c r="G149" s="5" t="str">
        <f t="shared" si="3"/>
        <v/>
      </c>
      <c r="I149" s="1" t="s">
        <v>53</v>
      </c>
      <c r="J149" s="4" t="str">
        <f t="shared" si="2"/>
        <v>La Noria</v>
      </c>
    </row>
  </sheetData>
  <autoFilter ref="$J$1:$J$151">
    <filterColumn colId="0">
      <filters blank="1"/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2" t="s">
        <v>361</v>
      </c>
      <c r="B1" s="2" t="s">
        <v>363</v>
      </c>
    </row>
    <row r="2">
      <c r="A2" s="2" t="s">
        <v>366</v>
      </c>
      <c r="B2" s="4">
        <f>COUNTA('Datos Limpios '!A2:A149)</f>
        <v>148</v>
      </c>
    </row>
    <row r="3">
      <c r="A3" s="2" t="s">
        <v>385</v>
      </c>
      <c r="B3" s="4">
        <f>COUNTIF('Datos Limpios '!D2:D149, "approved")</f>
        <v>146</v>
      </c>
    </row>
    <row r="4">
      <c r="A4" s="2" t="s">
        <v>395</v>
      </c>
      <c r="B4" s="4">
        <f>COUNTIF('Datos Limpios '!F2:F149, "Asistió")</f>
        <v>80</v>
      </c>
    </row>
    <row r="5">
      <c r="A5" s="2" t="s">
        <v>406</v>
      </c>
      <c r="B5" s="4">
        <f>COUNTIF('Datos Limpios '!F2:F149, "No Asistió")</f>
        <v>68</v>
      </c>
    </row>
    <row r="6">
      <c r="A6" s="2" t="s">
        <v>415</v>
      </c>
      <c r="B6" s="10">
        <f>B4/B3</f>
        <v>0.5479452055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  <c r="H1" s="1" t="s">
        <v>4</v>
      </c>
      <c r="I1" s="1" t="s">
        <v>5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20</v>
      </c>
      <c r="T1" s="1" t="s">
        <v>22</v>
      </c>
      <c r="U1" s="1" t="s">
        <v>23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33</v>
      </c>
      <c r="AA1" s="1" t="s">
        <v>34</v>
      </c>
      <c r="AB1" s="1" t="s">
        <v>35</v>
      </c>
      <c r="AC1" s="1" t="s">
        <v>36</v>
      </c>
    </row>
    <row r="2">
      <c r="A2" s="1" t="s">
        <v>37</v>
      </c>
      <c r="B2" s="1" t="s">
        <v>29</v>
      </c>
      <c r="C2" s="1" t="s">
        <v>30</v>
      </c>
      <c r="D2" s="1" t="s">
        <v>31</v>
      </c>
      <c r="E2" s="1" t="s">
        <v>38</v>
      </c>
      <c r="G2" s="1" t="s">
        <v>39</v>
      </c>
      <c r="H2" s="1" t="s">
        <v>32</v>
      </c>
      <c r="Q2" s="9" t="s">
        <v>40</v>
      </c>
      <c r="R2" s="1" t="s">
        <v>65</v>
      </c>
      <c r="S2" s="1" t="s">
        <v>65</v>
      </c>
      <c r="T2" s="1" t="s">
        <v>65</v>
      </c>
      <c r="U2" s="1" t="s">
        <v>69</v>
      </c>
      <c r="AA2" s="1" t="s">
        <v>71</v>
      </c>
      <c r="AB2" s="1" t="s">
        <v>72</v>
      </c>
      <c r="AC2" s="1" t="s">
        <v>41</v>
      </c>
    </row>
    <row r="3">
      <c r="A3" s="1" t="s">
        <v>74</v>
      </c>
      <c r="B3" s="1" t="s">
        <v>42</v>
      </c>
      <c r="C3" s="1" t="s">
        <v>43</v>
      </c>
      <c r="D3" s="1" t="s">
        <v>44</v>
      </c>
      <c r="E3" s="1" t="s">
        <v>77</v>
      </c>
      <c r="G3" s="1" t="s">
        <v>79</v>
      </c>
      <c r="H3" s="1" t="s">
        <v>32</v>
      </c>
      <c r="I3" s="1" t="s">
        <v>45</v>
      </c>
      <c r="P3" s="1" t="s">
        <v>46</v>
      </c>
      <c r="Q3" s="9" t="s">
        <v>81</v>
      </c>
      <c r="R3" s="1" t="s">
        <v>65</v>
      </c>
      <c r="S3" s="1" t="s">
        <v>65</v>
      </c>
      <c r="T3" s="1" t="s">
        <v>65</v>
      </c>
      <c r="U3" s="1" t="s">
        <v>69</v>
      </c>
      <c r="AA3" s="1" t="s">
        <v>71</v>
      </c>
      <c r="AB3" s="1" t="s">
        <v>72</v>
      </c>
      <c r="AC3" s="1" t="s">
        <v>96</v>
      </c>
    </row>
    <row r="4">
      <c r="A4" s="1" t="s">
        <v>98</v>
      </c>
      <c r="B4" s="1" t="s">
        <v>48</v>
      </c>
      <c r="C4" s="1" t="s">
        <v>49</v>
      </c>
      <c r="D4" s="1" t="s">
        <v>50</v>
      </c>
      <c r="E4" s="1" t="s">
        <v>104</v>
      </c>
      <c r="G4" s="1" t="s">
        <v>105</v>
      </c>
      <c r="H4" s="1" t="s">
        <v>32</v>
      </c>
      <c r="I4" s="1" t="s">
        <v>51</v>
      </c>
      <c r="P4" s="1" t="s">
        <v>52</v>
      </c>
      <c r="Q4" s="9" t="s">
        <v>106</v>
      </c>
      <c r="R4" s="1" t="s">
        <v>65</v>
      </c>
      <c r="S4" s="1" t="s">
        <v>65</v>
      </c>
      <c r="T4" s="1" t="s">
        <v>65</v>
      </c>
      <c r="U4" s="1" t="s">
        <v>69</v>
      </c>
      <c r="AA4" s="1" t="s">
        <v>71</v>
      </c>
      <c r="AB4" s="1" t="s">
        <v>72</v>
      </c>
      <c r="AC4" s="1" t="s">
        <v>53</v>
      </c>
    </row>
    <row r="5">
      <c r="A5" s="1" t="s">
        <v>120</v>
      </c>
      <c r="B5" s="1" t="s">
        <v>54</v>
      </c>
      <c r="C5" s="1" t="s">
        <v>55</v>
      </c>
      <c r="D5" s="1" t="s">
        <v>56</v>
      </c>
      <c r="E5" s="1" t="s">
        <v>121</v>
      </c>
      <c r="G5" s="1" t="s">
        <v>122</v>
      </c>
      <c r="H5" s="1" t="s">
        <v>32</v>
      </c>
      <c r="I5" s="1" t="s">
        <v>57</v>
      </c>
      <c r="P5" s="1" t="s">
        <v>52</v>
      </c>
      <c r="Q5" s="9" t="s">
        <v>123</v>
      </c>
      <c r="R5" s="1" t="s">
        <v>65</v>
      </c>
      <c r="S5" s="1" t="s">
        <v>65</v>
      </c>
      <c r="T5" s="1" t="s">
        <v>65</v>
      </c>
      <c r="U5" s="1" t="s">
        <v>69</v>
      </c>
      <c r="AA5" s="1" t="s">
        <v>71</v>
      </c>
      <c r="AB5" s="1" t="s">
        <v>72</v>
      </c>
      <c r="AC5" s="1" t="s">
        <v>53</v>
      </c>
    </row>
    <row r="6">
      <c r="A6" s="1" t="s">
        <v>134</v>
      </c>
      <c r="B6" s="1" t="s">
        <v>58</v>
      </c>
      <c r="C6" s="1" t="s">
        <v>59</v>
      </c>
      <c r="D6" s="1" t="s">
        <v>60</v>
      </c>
      <c r="E6" s="1" t="s">
        <v>137</v>
      </c>
      <c r="G6" s="1" t="s">
        <v>139</v>
      </c>
      <c r="H6" s="1" t="s">
        <v>32</v>
      </c>
      <c r="I6" s="1" t="s">
        <v>61</v>
      </c>
      <c r="O6" s="1" t="s">
        <v>141</v>
      </c>
      <c r="Q6" s="9" t="s">
        <v>142</v>
      </c>
      <c r="R6" s="1" t="s">
        <v>65</v>
      </c>
      <c r="S6" s="1" t="s">
        <v>65</v>
      </c>
      <c r="T6" s="1" t="s">
        <v>65</v>
      </c>
      <c r="U6" s="1" t="s">
        <v>69</v>
      </c>
      <c r="AA6" s="1" t="s">
        <v>71</v>
      </c>
      <c r="AB6" s="1" t="s">
        <v>72</v>
      </c>
      <c r="AC6" s="1" t="s">
        <v>62</v>
      </c>
    </row>
    <row r="7">
      <c r="A7" s="1" t="s">
        <v>152</v>
      </c>
      <c r="B7" s="1" t="s">
        <v>63</v>
      </c>
      <c r="C7" s="1" t="s">
        <v>64</v>
      </c>
      <c r="D7" s="1" t="s">
        <v>66</v>
      </c>
      <c r="E7" s="1" t="s">
        <v>155</v>
      </c>
      <c r="G7" s="1" t="s">
        <v>157</v>
      </c>
      <c r="H7" s="1" t="s">
        <v>32</v>
      </c>
      <c r="Q7" s="9" t="s">
        <v>159</v>
      </c>
      <c r="R7" s="1" t="s">
        <v>65</v>
      </c>
      <c r="S7" s="1" t="s">
        <v>65</v>
      </c>
      <c r="T7" s="1" t="s">
        <v>65</v>
      </c>
      <c r="U7" s="1" t="s">
        <v>69</v>
      </c>
      <c r="AA7" s="1" t="s">
        <v>71</v>
      </c>
      <c r="AB7" s="1" t="s">
        <v>72</v>
      </c>
      <c r="AC7" s="1" t="s">
        <v>67</v>
      </c>
    </row>
    <row r="8">
      <c r="A8" s="1" t="s">
        <v>172</v>
      </c>
      <c r="B8" s="1" t="s">
        <v>68</v>
      </c>
      <c r="C8" s="1" t="s">
        <v>68</v>
      </c>
      <c r="E8" s="1" t="s">
        <v>174</v>
      </c>
      <c r="G8" s="1" t="s">
        <v>175</v>
      </c>
      <c r="H8" s="1" t="s">
        <v>32</v>
      </c>
      <c r="I8" s="1" t="s">
        <v>70</v>
      </c>
      <c r="O8" s="1" t="s">
        <v>141</v>
      </c>
      <c r="Q8" s="9" t="s">
        <v>176</v>
      </c>
      <c r="R8" s="1" t="s">
        <v>65</v>
      </c>
      <c r="S8" s="1" t="s">
        <v>65</v>
      </c>
      <c r="T8" s="1" t="s">
        <v>65</v>
      </c>
      <c r="U8" s="1" t="s">
        <v>69</v>
      </c>
      <c r="AA8" s="1" t="s">
        <v>71</v>
      </c>
      <c r="AB8" s="1" t="s">
        <v>72</v>
      </c>
      <c r="AC8" s="1" t="s">
        <v>73</v>
      </c>
    </row>
    <row r="9">
      <c r="A9" s="1" t="s">
        <v>186</v>
      </c>
      <c r="B9" s="1" t="s">
        <v>75</v>
      </c>
      <c r="C9" s="1" t="s">
        <v>76</v>
      </c>
      <c r="D9" s="1" t="s">
        <v>78</v>
      </c>
      <c r="E9" s="1" t="s">
        <v>189</v>
      </c>
      <c r="G9" s="1" t="s">
        <v>190</v>
      </c>
      <c r="H9" s="1" t="s">
        <v>32</v>
      </c>
      <c r="I9" s="1" t="s">
        <v>80</v>
      </c>
      <c r="P9" s="1" t="s">
        <v>52</v>
      </c>
      <c r="Q9" s="9" t="s">
        <v>191</v>
      </c>
      <c r="R9" s="1" t="s">
        <v>65</v>
      </c>
      <c r="S9" s="1" t="s">
        <v>65</v>
      </c>
      <c r="T9" s="1" t="s">
        <v>65</v>
      </c>
      <c r="U9" s="1" t="s">
        <v>69</v>
      </c>
      <c r="AA9" s="1" t="s">
        <v>71</v>
      </c>
      <c r="AB9" s="1" t="s">
        <v>72</v>
      </c>
      <c r="AC9" s="1" t="s">
        <v>73</v>
      </c>
    </row>
    <row r="10">
      <c r="A10" s="1" t="s">
        <v>202</v>
      </c>
      <c r="B10" s="1" t="s">
        <v>82</v>
      </c>
      <c r="C10" s="1" t="s">
        <v>83</v>
      </c>
      <c r="D10" s="1" t="s">
        <v>84</v>
      </c>
      <c r="E10" s="1" t="s">
        <v>46</v>
      </c>
      <c r="G10" s="1" t="s">
        <v>206</v>
      </c>
      <c r="H10" s="1" t="s">
        <v>32</v>
      </c>
      <c r="I10" s="1" t="s">
        <v>85</v>
      </c>
      <c r="P10" s="1" t="s">
        <v>86</v>
      </c>
      <c r="Q10" s="9" t="s">
        <v>208</v>
      </c>
      <c r="R10" s="1" t="s">
        <v>65</v>
      </c>
      <c r="S10" s="1" t="s">
        <v>65</v>
      </c>
      <c r="T10" s="1" t="s">
        <v>65</v>
      </c>
      <c r="U10" s="1" t="s">
        <v>69</v>
      </c>
      <c r="AA10" s="1" t="s">
        <v>71</v>
      </c>
      <c r="AB10" s="1" t="s">
        <v>72</v>
      </c>
      <c r="AC10" s="1" t="s">
        <v>87</v>
      </c>
    </row>
    <row r="11">
      <c r="A11" s="1" t="s">
        <v>216</v>
      </c>
      <c r="B11" s="1" t="s">
        <v>88</v>
      </c>
      <c r="C11" s="1" t="s">
        <v>89</v>
      </c>
      <c r="D11" s="1" t="s">
        <v>90</v>
      </c>
      <c r="E11" s="1" t="s">
        <v>220</v>
      </c>
      <c r="G11" s="1" t="s">
        <v>222</v>
      </c>
      <c r="H11" s="1" t="s">
        <v>32</v>
      </c>
      <c r="I11" s="1" t="s">
        <v>91</v>
      </c>
      <c r="Q11" s="9" t="s">
        <v>223</v>
      </c>
      <c r="R11" s="1" t="s">
        <v>65</v>
      </c>
      <c r="S11" s="1" t="s">
        <v>65</v>
      </c>
      <c r="T11" s="1" t="s">
        <v>65</v>
      </c>
      <c r="U11" s="1" t="s">
        <v>69</v>
      </c>
      <c r="AA11" s="1" t="s">
        <v>71</v>
      </c>
      <c r="AB11" s="1" t="s">
        <v>72</v>
      </c>
      <c r="AC11" s="1" t="s">
        <v>92</v>
      </c>
    </row>
    <row r="12">
      <c r="A12" s="1" t="s">
        <v>231</v>
      </c>
      <c r="B12" s="1" t="s">
        <v>93</v>
      </c>
      <c r="C12" s="1" t="s">
        <v>94</v>
      </c>
      <c r="D12" s="1" t="s">
        <v>44</v>
      </c>
      <c r="E12" s="1" t="s">
        <v>52</v>
      </c>
      <c r="G12" s="1" t="s">
        <v>232</v>
      </c>
      <c r="H12" s="1" t="s">
        <v>32</v>
      </c>
      <c r="I12" s="1" t="s">
        <v>95</v>
      </c>
      <c r="P12" s="1" t="s">
        <v>97</v>
      </c>
      <c r="Q12" s="9" t="s">
        <v>236</v>
      </c>
      <c r="R12" s="1" t="s">
        <v>65</v>
      </c>
      <c r="S12" s="1" t="s">
        <v>65</v>
      </c>
      <c r="T12" s="1" t="s">
        <v>65</v>
      </c>
      <c r="U12" s="1" t="s">
        <v>69</v>
      </c>
      <c r="AA12" s="1" t="s">
        <v>71</v>
      </c>
      <c r="AB12" s="1" t="s">
        <v>72</v>
      </c>
      <c r="AC12" s="1" t="s">
        <v>99</v>
      </c>
    </row>
    <row r="13">
      <c r="A13" s="1" t="s">
        <v>246</v>
      </c>
      <c r="B13" s="1" t="s">
        <v>100</v>
      </c>
      <c r="C13" s="1" t="s">
        <v>101</v>
      </c>
      <c r="D13" s="1" t="s">
        <v>102</v>
      </c>
      <c r="E13" s="1" t="s">
        <v>247</v>
      </c>
      <c r="G13" s="1" t="s">
        <v>248</v>
      </c>
      <c r="H13" s="1" t="s">
        <v>32</v>
      </c>
      <c r="I13" s="1" t="s">
        <v>103</v>
      </c>
      <c r="P13" s="1" t="s">
        <v>86</v>
      </c>
      <c r="Q13" s="9" t="s">
        <v>251</v>
      </c>
      <c r="R13" s="1" t="s">
        <v>65</v>
      </c>
      <c r="S13" s="1" t="s">
        <v>65</v>
      </c>
      <c r="T13" s="1" t="s">
        <v>65</v>
      </c>
      <c r="U13" s="1" t="s">
        <v>69</v>
      </c>
      <c r="AA13" s="1" t="s">
        <v>71</v>
      </c>
      <c r="AB13" s="1" t="s">
        <v>72</v>
      </c>
      <c r="AC13" s="1" t="s">
        <v>258</v>
      </c>
    </row>
    <row r="14">
      <c r="A14" s="1" t="s">
        <v>259</v>
      </c>
      <c r="B14" s="1" t="s">
        <v>107</v>
      </c>
      <c r="C14" s="1" t="s">
        <v>108</v>
      </c>
      <c r="D14" s="1" t="s">
        <v>109</v>
      </c>
      <c r="E14" s="1" t="s">
        <v>262</v>
      </c>
      <c r="G14" s="1" t="s">
        <v>264</v>
      </c>
      <c r="H14" s="1" t="s">
        <v>32</v>
      </c>
      <c r="I14" s="1" t="s">
        <v>110</v>
      </c>
      <c r="P14" s="1" t="s">
        <v>97</v>
      </c>
      <c r="Q14" s="9" t="s">
        <v>266</v>
      </c>
      <c r="R14" s="1" t="s">
        <v>65</v>
      </c>
      <c r="S14" s="1" t="s">
        <v>65</v>
      </c>
      <c r="T14" s="1" t="s">
        <v>65</v>
      </c>
      <c r="U14" s="1" t="s">
        <v>69</v>
      </c>
      <c r="AA14" s="1" t="s">
        <v>71</v>
      </c>
      <c r="AB14" s="1" t="s">
        <v>72</v>
      </c>
      <c r="AC14" s="1" t="s">
        <v>281</v>
      </c>
    </row>
    <row r="15">
      <c r="A15" s="1" t="s">
        <v>283</v>
      </c>
      <c r="B15" s="1" t="s">
        <v>111</v>
      </c>
      <c r="C15" s="1" t="s">
        <v>112</v>
      </c>
      <c r="D15" s="1" t="s">
        <v>113</v>
      </c>
      <c r="E15" s="1" t="s">
        <v>284</v>
      </c>
      <c r="G15" s="1" t="s">
        <v>286</v>
      </c>
      <c r="H15" s="1" t="s">
        <v>32</v>
      </c>
      <c r="I15" s="1" t="s">
        <v>114</v>
      </c>
      <c r="P15" s="1" t="s">
        <v>97</v>
      </c>
      <c r="Q15" s="9" t="s">
        <v>288</v>
      </c>
      <c r="R15" s="1" t="s">
        <v>65</v>
      </c>
      <c r="S15" s="1" t="s">
        <v>65</v>
      </c>
      <c r="T15" s="1" t="s">
        <v>65</v>
      </c>
      <c r="U15" s="1" t="s">
        <v>69</v>
      </c>
      <c r="AA15" s="1" t="s">
        <v>71</v>
      </c>
      <c r="AB15" s="1" t="s">
        <v>72</v>
      </c>
      <c r="AC15" s="1" t="s">
        <v>115</v>
      </c>
    </row>
    <row r="16">
      <c r="A16" s="1" t="s">
        <v>298</v>
      </c>
      <c r="B16" s="1" t="s">
        <v>116</v>
      </c>
      <c r="C16" s="1" t="s">
        <v>117</v>
      </c>
      <c r="D16" s="1" t="s">
        <v>118</v>
      </c>
      <c r="E16" s="1" t="s">
        <v>299</v>
      </c>
      <c r="G16" s="1" t="s">
        <v>300</v>
      </c>
      <c r="H16" s="1" t="s">
        <v>32</v>
      </c>
      <c r="I16" s="1" t="s">
        <v>119</v>
      </c>
      <c r="P16" s="1" t="s">
        <v>86</v>
      </c>
      <c r="Q16" s="9" t="s">
        <v>301</v>
      </c>
      <c r="R16" s="1" t="s">
        <v>65</v>
      </c>
      <c r="S16" s="1" t="s">
        <v>65</v>
      </c>
      <c r="T16" s="1" t="s">
        <v>65</v>
      </c>
      <c r="U16" s="1" t="s">
        <v>69</v>
      </c>
      <c r="AA16" s="1" t="s">
        <v>71</v>
      </c>
      <c r="AB16" s="1" t="s">
        <v>72</v>
      </c>
      <c r="AC16" s="1" t="s">
        <v>96</v>
      </c>
    </row>
    <row r="17">
      <c r="A17" s="1" t="s">
        <v>307</v>
      </c>
      <c r="B17" s="1" t="s">
        <v>124</v>
      </c>
      <c r="C17" s="1" t="s">
        <v>125</v>
      </c>
      <c r="D17" s="1" t="s">
        <v>126</v>
      </c>
      <c r="E17" s="1" t="s">
        <v>309</v>
      </c>
      <c r="G17" s="1" t="s">
        <v>310</v>
      </c>
      <c r="H17" s="1" t="s">
        <v>32</v>
      </c>
      <c r="I17" s="1" t="s">
        <v>127</v>
      </c>
      <c r="P17" s="1" t="s">
        <v>128</v>
      </c>
      <c r="Q17" s="9" t="s">
        <v>312</v>
      </c>
      <c r="R17" s="1" t="s">
        <v>65</v>
      </c>
      <c r="S17" s="1" t="s">
        <v>65</v>
      </c>
      <c r="T17" s="1" t="s">
        <v>65</v>
      </c>
      <c r="U17" s="1" t="s">
        <v>69</v>
      </c>
      <c r="AA17" s="1" t="s">
        <v>71</v>
      </c>
      <c r="AB17" s="1" t="s">
        <v>72</v>
      </c>
      <c r="AC17" s="1" t="s">
        <v>129</v>
      </c>
    </row>
    <row r="18">
      <c r="A18" s="1" t="s">
        <v>320</v>
      </c>
      <c r="B18" s="1" t="s">
        <v>130</v>
      </c>
      <c r="C18" s="1" t="s">
        <v>131</v>
      </c>
      <c r="D18" s="1" t="s">
        <v>132</v>
      </c>
      <c r="E18" s="1" t="s">
        <v>323</v>
      </c>
      <c r="G18" s="1" t="s">
        <v>325</v>
      </c>
      <c r="H18" s="1" t="s">
        <v>32</v>
      </c>
      <c r="I18" s="1" t="s">
        <v>133</v>
      </c>
      <c r="P18" s="1" t="s">
        <v>86</v>
      </c>
      <c r="Q18" s="9" t="s">
        <v>326</v>
      </c>
      <c r="R18" s="1" t="s">
        <v>65</v>
      </c>
      <c r="S18" s="1" t="s">
        <v>65</v>
      </c>
      <c r="T18" s="1" t="s">
        <v>65</v>
      </c>
      <c r="U18" s="1" t="s">
        <v>69</v>
      </c>
      <c r="AA18" s="1" t="s">
        <v>71</v>
      </c>
      <c r="AB18" s="1" t="s">
        <v>72</v>
      </c>
      <c r="AC18" s="1" t="s">
        <v>335</v>
      </c>
    </row>
    <row r="19">
      <c r="A19" s="1" t="s">
        <v>336</v>
      </c>
      <c r="B19" s="1" t="s">
        <v>135</v>
      </c>
      <c r="C19" s="1" t="s">
        <v>136</v>
      </c>
      <c r="D19" s="1" t="s">
        <v>138</v>
      </c>
      <c r="E19" s="1" t="s">
        <v>97</v>
      </c>
      <c r="G19" s="1" t="s">
        <v>340</v>
      </c>
      <c r="H19" s="1" t="s">
        <v>32</v>
      </c>
      <c r="I19" s="1" t="s">
        <v>140</v>
      </c>
      <c r="P19" s="1" t="s">
        <v>128</v>
      </c>
      <c r="Q19" s="9" t="s">
        <v>342</v>
      </c>
      <c r="R19" s="1" t="s">
        <v>65</v>
      </c>
      <c r="S19" s="1" t="s">
        <v>65</v>
      </c>
      <c r="T19" s="1" t="s">
        <v>65</v>
      </c>
      <c r="U19" s="1" t="s">
        <v>69</v>
      </c>
      <c r="AA19" s="1" t="s">
        <v>71</v>
      </c>
      <c r="AB19" s="1" t="s">
        <v>72</v>
      </c>
      <c r="AC19" s="1" t="s">
        <v>335</v>
      </c>
    </row>
    <row r="20">
      <c r="A20" s="1" t="s">
        <v>349</v>
      </c>
      <c r="B20" s="1" t="s">
        <v>143</v>
      </c>
      <c r="C20" s="1" t="s">
        <v>144</v>
      </c>
      <c r="D20" s="1" t="s">
        <v>145</v>
      </c>
      <c r="E20" s="1" t="s">
        <v>352</v>
      </c>
      <c r="G20" s="1" t="s">
        <v>354</v>
      </c>
      <c r="H20" s="1" t="s">
        <v>32</v>
      </c>
      <c r="I20" s="1" t="s">
        <v>146</v>
      </c>
      <c r="Q20" s="9" t="s">
        <v>355</v>
      </c>
      <c r="R20" s="1" t="s">
        <v>65</v>
      </c>
      <c r="S20" s="1" t="s">
        <v>65</v>
      </c>
      <c r="T20" s="1" t="s">
        <v>65</v>
      </c>
      <c r="U20" s="1" t="s">
        <v>69</v>
      </c>
      <c r="AA20" s="1" t="s">
        <v>71</v>
      </c>
      <c r="AB20" s="1" t="s">
        <v>72</v>
      </c>
      <c r="AC20" s="1" t="s">
        <v>378</v>
      </c>
    </row>
    <row r="21">
      <c r="A21" s="1" t="s">
        <v>379</v>
      </c>
      <c r="B21" s="1" t="s">
        <v>148</v>
      </c>
      <c r="C21" s="1" t="s">
        <v>149</v>
      </c>
      <c r="D21" s="1" t="s">
        <v>150</v>
      </c>
      <c r="E21" s="1" t="s">
        <v>380</v>
      </c>
      <c r="G21" s="1" t="s">
        <v>381</v>
      </c>
      <c r="H21" s="1" t="s">
        <v>32</v>
      </c>
      <c r="I21" s="1" t="s">
        <v>151</v>
      </c>
      <c r="Q21" s="9" t="s">
        <v>382</v>
      </c>
      <c r="R21" s="1" t="s">
        <v>65</v>
      </c>
      <c r="S21" s="1" t="s">
        <v>65</v>
      </c>
      <c r="T21" s="1" t="s">
        <v>65</v>
      </c>
      <c r="U21" s="1" t="s">
        <v>69</v>
      </c>
      <c r="AA21" s="1" t="s">
        <v>71</v>
      </c>
      <c r="AB21" s="1" t="s">
        <v>72</v>
      </c>
      <c r="AC21" s="1" t="s">
        <v>147</v>
      </c>
    </row>
    <row r="22">
      <c r="A22" s="1" t="s">
        <v>388</v>
      </c>
      <c r="B22" s="1" t="s">
        <v>153</v>
      </c>
      <c r="C22" s="1" t="s">
        <v>154</v>
      </c>
      <c r="D22" s="1" t="s">
        <v>156</v>
      </c>
      <c r="E22" s="1" t="s">
        <v>391</v>
      </c>
      <c r="G22" s="1" t="s">
        <v>392</v>
      </c>
      <c r="H22" s="1" t="s">
        <v>32</v>
      </c>
      <c r="I22" s="1" t="s">
        <v>158</v>
      </c>
      <c r="P22" s="1" t="s">
        <v>128</v>
      </c>
      <c r="Q22" s="9" t="s">
        <v>394</v>
      </c>
      <c r="R22" s="1" t="s">
        <v>65</v>
      </c>
      <c r="S22" s="1" t="s">
        <v>65</v>
      </c>
      <c r="T22" s="1" t="s">
        <v>65</v>
      </c>
      <c r="U22" s="1" t="s">
        <v>69</v>
      </c>
      <c r="AA22" s="1" t="s">
        <v>71</v>
      </c>
      <c r="AB22" s="1" t="s">
        <v>72</v>
      </c>
      <c r="AC22" s="1" t="s">
        <v>160</v>
      </c>
    </row>
    <row r="23">
      <c r="A23" s="1" t="s">
        <v>404</v>
      </c>
      <c r="B23" s="1" t="s">
        <v>161</v>
      </c>
      <c r="C23" s="1" t="s">
        <v>162</v>
      </c>
      <c r="D23" s="1" t="s">
        <v>163</v>
      </c>
      <c r="E23" s="1" t="s">
        <v>405</v>
      </c>
      <c r="G23" s="1" t="s">
        <v>407</v>
      </c>
      <c r="H23" s="1" t="s">
        <v>32</v>
      </c>
      <c r="I23" s="1" t="s">
        <v>164</v>
      </c>
      <c r="P23" s="1" t="s">
        <v>86</v>
      </c>
      <c r="Q23" s="9" t="s">
        <v>411</v>
      </c>
      <c r="R23" s="1" t="s">
        <v>65</v>
      </c>
      <c r="S23" s="1" t="s">
        <v>65</v>
      </c>
      <c r="T23" s="1" t="s">
        <v>65</v>
      </c>
      <c r="U23" s="1" t="s">
        <v>69</v>
      </c>
      <c r="AA23" s="1" t="s">
        <v>71</v>
      </c>
      <c r="AB23" s="1" t="s">
        <v>72</v>
      </c>
      <c r="AC23" s="1" t="s">
        <v>165</v>
      </c>
    </row>
    <row r="24">
      <c r="A24" s="1" t="s">
        <v>424</v>
      </c>
      <c r="B24" s="1" t="s">
        <v>166</v>
      </c>
      <c r="C24" s="1" t="s">
        <v>167</v>
      </c>
      <c r="D24" s="1" t="s">
        <v>168</v>
      </c>
      <c r="E24" s="1" t="s">
        <v>426</v>
      </c>
      <c r="G24" s="1" t="s">
        <v>427</v>
      </c>
      <c r="H24" s="1" t="s">
        <v>32</v>
      </c>
      <c r="I24" s="1" t="s">
        <v>169</v>
      </c>
      <c r="P24" s="1" t="s">
        <v>128</v>
      </c>
      <c r="Q24" s="9" t="s">
        <v>431</v>
      </c>
      <c r="R24" s="1" t="s">
        <v>65</v>
      </c>
      <c r="S24" s="1" t="s">
        <v>65</v>
      </c>
      <c r="T24" s="1" t="s">
        <v>65</v>
      </c>
      <c r="U24" s="1" t="s">
        <v>69</v>
      </c>
      <c r="AA24" s="1" t="s">
        <v>71</v>
      </c>
      <c r="AB24" s="1" t="s">
        <v>72</v>
      </c>
      <c r="AC24" s="1" t="s">
        <v>160</v>
      </c>
    </row>
    <row r="25">
      <c r="A25" s="1" t="s">
        <v>438</v>
      </c>
      <c r="B25" s="1" t="s">
        <v>170</v>
      </c>
      <c r="C25" s="1" t="s">
        <v>171</v>
      </c>
      <c r="D25" s="1" t="s">
        <v>132</v>
      </c>
      <c r="E25" s="1" t="s">
        <v>439</v>
      </c>
      <c r="G25" s="1" t="s">
        <v>440</v>
      </c>
      <c r="H25" s="1" t="s">
        <v>32</v>
      </c>
      <c r="I25" s="1" t="s">
        <v>173</v>
      </c>
      <c r="Q25" s="9" t="s">
        <v>442</v>
      </c>
      <c r="R25" s="1" t="s">
        <v>65</v>
      </c>
      <c r="S25" s="1" t="s">
        <v>65</v>
      </c>
      <c r="T25" s="1" t="s">
        <v>65</v>
      </c>
      <c r="U25" s="1" t="s">
        <v>69</v>
      </c>
      <c r="AA25" s="1" t="s">
        <v>71</v>
      </c>
      <c r="AB25" s="1" t="s">
        <v>72</v>
      </c>
      <c r="AC25" s="1" t="s">
        <v>449</v>
      </c>
    </row>
    <row r="26">
      <c r="A26" s="1" t="s">
        <v>450</v>
      </c>
      <c r="B26" s="1" t="s">
        <v>177</v>
      </c>
      <c r="C26" s="1" t="s">
        <v>178</v>
      </c>
      <c r="D26" s="1" t="s">
        <v>179</v>
      </c>
      <c r="E26" s="1" t="s">
        <v>451</v>
      </c>
      <c r="G26" s="1" t="s">
        <v>452</v>
      </c>
      <c r="H26" s="1" t="s">
        <v>32</v>
      </c>
      <c r="I26" s="1" t="s">
        <v>180</v>
      </c>
      <c r="P26" s="1" t="s">
        <v>128</v>
      </c>
      <c r="Q26" s="9" t="s">
        <v>454</v>
      </c>
      <c r="R26" s="1" t="s">
        <v>65</v>
      </c>
      <c r="S26" s="1" t="s">
        <v>65</v>
      </c>
      <c r="T26" s="1" t="s">
        <v>65</v>
      </c>
      <c r="U26" s="1" t="s">
        <v>69</v>
      </c>
      <c r="AA26" s="1" t="s">
        <v>71</v>
      </c>
      <c r="AB26" s="1" t="s">
        <v>72</v>
      </c>
      <c r="AC26" s="1" t="s">
        <v>160</v>
      </c>
    </row>
    <row r="27">
      <c r="A27" s="1" t="s">
        <v>465</v>
      </c>
      <c r="B27" s="1" t="s">
        <v>181</v>
      </c>
      <c r="C27" s="1" t="s">
        <v>181</v>
      </c>
      <c r="E27" s="1" t="s">
        <v>467</v>
      </c>
      <c r="G27" s="1" t="s">
        <v>468</v>
      </c>
      <c r="H27" s="1" t="s">
        <v>32</v>
      </c>
      <c r="I27" s="1" t="s">
        <v>182</v>
      </c>
      <c r="Q27" s="9" t="s">
        <v>469</v>
      </c>
      <c r="R27" s="1" t="s">
        <v>65</v>
      </c>
      <c r="S27" s="1" t="s">
        <v>65</v>
      </c>
      <c r="T27" s="1" t="s">
        <v>65</v>
      </c>
      <c r="U27" s="1" t="s">
        <v>69</v>
      </c>
      <c r="AA27" s="1" t="s">
        <v>71</v>
      </c>
      <c r="AB27" s="1" t="s">
        <v>72</v>
      </c>
      <c r="AC27" s="1" t="s">
        <v>183</v>
      </c>
    </row>
    <row r="28">
      <c r="A28" s="1" t="s">
        <v>479</v>
      </c>
      <c r="B28" s="1" t="s">
        <v>184</v>
      </c>
      <c r="C28" s="1" t="s">
        <v>185</v>
      </c>
      <c r="D28" s="1" t="s">
        <v>187</v>
      </c>
      <c r="E28" s="1" t="s">
        <v>481</v>
      </c>
      <c r="G28" s="1" t="s">
        <v>482</v>
      </c>
      <c r="H28" s="1" t="s">
        <v>32</v>
      </c>
      <c r="I28" s="1" t="s">
        <v>188</v>
      </c>
      <c r="P28" s="1" t="s">
        <v>128</v>
      </c>
      <c r="Q28" s="9" t="s">
        <v>484</v>
      </c>
      <c r="R28" s="1" t="s">
        <v>65</v>
      </c>
      <c r="S28" s="1" t="s">
        <v>65</v>
      </c>
      <c r="T28" s="1" t="s">
        <v>65</v>
      </c>
      <c r="U28" s="1" t="s">
        <v>69</v>
      </c>
      <c r="AA28" s="1" t="s">
        <v>71</v>
      </c>
      <c r="AB28" s="1" t="s">
        <v>72</v>
      </c>
      <c r="AC28" s="1" t="s">
        <v>192</v>
      </c>
    </row>
    <row r="29">
      <c r="A29" s="1" t="s">
        <v>500</v>
      </c>
      <c r="B29" s="1" t="s">
        <v>193</v>
      </c>
      <c r="C29" s="1" t="s">
        <v>194</v>
      </c>
      <c r="D29" s="1" t="s">
        <v>195</v>
      </c>
      <c r="E29" s="1" t="s">
        <v>501</v>
      </c>
      <c r="G29" s="1" t="s">
        <v>502</v>
      </c>
      <c r="H29" s="1" t="s">
        <v>32</v>
      </c>
      <c r="I29" s="1" t="s">
        <v>196</v>
      </c>
      <c r="Q29" s="9" t="s">
        <v>503</v>
      </c>
      <c r="R29" s="1" t="s">
        <v>65</v>
      </c>
      <c r="S29" s="1" t="s">
        <v>65</v>
      </c>
      <c r="T29" s="1" t="s">
        <v>65</v>
      </c>
      <c r="U29" s="1" t="s">
        <v>69</v>
      </c>
      <c r="AA29" s="1" t="s">
        <v>71</v>
      </c>
      <c r="AB29" s="1" t="s">
        <v>72</v>
      </c>
      <c r="AC29" s="1" t="s">
        <v>147</v>
      </c>
    </row>
    <row r="30">
      <c r="A30" s="1" t="s">
        <v>512</v>
      </c>
      <c r="B30" s="1" t="s">
        <v>197</v>
      </c>
      <c r="C30" s="1" t="s">
        <v>198</v>
      </c>
      <c r="D30" s="1" t="s">
        <v>199</v>
      </c>
      <c r="E30" s="1" t="s">
        <v>128</v>
      </c>
      <c r="G30" s="1" t="s">
        <v>527</v>
      </c>
      <c r="H30" s="1" t="s">
        <v>32</v>
      </c>
      <c r="I30" s="1" t="s">
        <v>200</v>
      </c>
      <c r="Q30" s="9" t="s">
        <v>535</v>
      </c>
      <c r="R30" s="1" t="s">
        <v>65</v>
      </c>
      <c r="S30" s="1" t="s">
        <v>65</v>
      </c>
      <c r="T30" s="1" t="s">
        <v>65</v>
      </c>
      <c r="U30" s="1" t="s">
        <v>69</v>
      </c>
      <c r="AA30" s="1" t="s">
        <v>71</v>
      </c>
      <c r="AB30" s="1" t="s">
        <v>72</v>
      </c>
      <c r="AC30" s="1" t="s">
        <v>201</v>
      </c>
    </row>
    <row r="31">
      <c r="A31" s="1" t="s">
        <v>546</v>
      </c>
      <c r="B31" s="1" t="s">
        <v>203</v>
      </c>
      <c r="C31" s="1" t="s">
        <v>204</v>
      </c>
      <c r="D31" s="1" t="s">
        <v>205</v>
      </c>
      <c r="E31" s="1" t="s">
        <v>549</v>
      </c>
      <c r="G31" s="1" t="s">
        <v>550</v>
      </c>
      <c r="H31" s="1" t="s">
        <v>32</v>
      </c>
      <c r="I31" s="1" t="s">
        <v>207</v>
      </c>
      <c r="P31" s="1" t="s">
        <v>209</v>
      </c>
      <c r="Q31" s="9" t="s">
        <v>552</v>
      </c>
      <c r="R31" s="1" t="s">
        <v>65</v>
      </c>
      <c r="S31" s="1" t="s">
        <v>65</v>
      </c>
      <c r="T31" s="1" t="s">
        <v>65</v>
      </c>
      <c r="U31" s="1" t="s">
        <v>69</v>
      </c>
      <c r="AA31" s="1" t="s">
        <v>71</v>
      </c>
      <c r="AB31" s="1" t="s">
        <v>72</v>
      </c>
      <c r="AC31" s="1" t="s">
        <v>147</v>
      </c>
    </row>
    <row r="32">
      <c r="A32" s="1" t="s">
        <v>563</v>
      </c>
      <c r="B32" s="1" t="s">
        <v>210</v>
      </c>
      <c r="C32" s="1" t="s">
        <v>211</v>
      </c>
      <c r="D32" s="1" t="s">
        <v>212</v>
      </c>
      <c r="E32" s="1" t="s">
        <v>567</v>
      </c>
      <c r="G32" s="1" t="s">
        <v>569</v>
      </c>
      <c r="H32" s="1" t="s">
        <v>32</v>
      </c>
      <c r="I32" s="1" t="s">
        <v>213</v>
      </c>
      <c r="Q32" s="9" t="s">
        <v>573</v>
      </c>
      <c r="R32" s="1" t="s">
        <v>65</v>
      </c>
      <c r="S32" s="1" t="s">
        <v>65</v>
      </c>
      <c r="T32" s="1" t="s">
        <v>65</v>
      </c>
      <c r="U32" s="1" t="s">
        <v>69</v>
      </c>
      <c r="AA32" s="1" t="s">
        <v>71</v>
      </c>
      <c r="AB32" s="1" t="s">
        <v>72</v>
      </c>
      <c r="AC32" s="1" t="s">
        <v>582</v>
      </c>
    </row>
    <row r="33">
      <c r="A33" s="1" t="s">
        <v>583</v>
      </c>
      <c r="B33" s="1" t="s">
        <v>214</v>
      </c>
      <c r="C33" s="1" t="s">
        <v>214</v>
      </c>
      <c r="E33" s="1" t="s">
        <v>584</v>
      </c>
      <c r="G33" s="1" t="s">
        <v>585</v>
      </c>
      <c r="H33" s="1" t="s">
        <v>32</v>
      </c>
      <c r="I33" s="1" t="s">
        <v>215</v>
      </c>
      <c r="Q33" s="9" t="s">
        <v>586</v>
      </c>
      <c r="R33" s="1" t="s">
        <v>65</v>
      </c>
      <c r="S33" s="1" t="s">
        <v>65</v>
      </c>
      <c r="T33" s="1" t="s">
        <v>65</v>
      </c>
      <c r="U33" s="1" t="s">
        <v>69</v>
      </c>
      <c r="AA33" s="1" t="s">
        <v>71</v>
      </c>
      <c r="AB33" s="1" t="s">
        <v>72</v>
      </c>
      <c r="AC33" s="1" t="s">
        <v>47</v>
      </c>
    </row>
    <row r="34">
      <c r="A34" s="1" t="s">
        <v>595</v>
      </c>
      <c r="B34" s="1" t="s">
        <v>217</v>
      </c>
      <c r="C34" s="1" t="s">
        <v>218</v>
      </c>
      <c r="D34" s="1" t="s">
        <v>219</v>
      </c>
      <c r="E34" s="1" t="s">
        <v>597</v>
      </c>
      <c r="G34" s="1" t="s">
        <v>598</v>
      </c>
      <c r="H34" s="1" t="s">
        <v>32</v>
      </c>
      <c r="I34" s="1" t="s">
        <v>221</v>
      </c>
      <c r="Q34" s="9" t="s">
        <v>599</v>
      </c>
      <c r="R34" s="1" t="s">
        <v>65</v>
      </c>
      <c r="S34" s="1" t="s">
        <v>65</v>
      </c>
      <c r="T34" s="1" t="s">
        <v>65</v>
      </c>
      <c r="U34" s="1" t="s">
        <v>69</v>
      </c>
      <c r="AA34" s="1" t="s">
        <v>71</v>
      </c>
      <c r="AB34" s="1" t="s">
        <v>72</v>
      </c>
      <c r="AC34" s="1" t="s">
        <v>47</v>
      </c>
    </row>
    <row r="35">
      <c r="A35" s="1" t="s">
        <v>610</v>
      </c>
      <c r="B35" s="1" t="s">
        <v>224</v>
      </c>
      <c r="C35" s="1" t="s">
        <v>225</v>
      </c>
      <c r="D35" s="1" t="s">
        <v>226</v>
      </c>
      <c r="E35" s="1" t="s">
        <v>611</v>
      </c>
      <c r="G35" s="1" t="s">
        <v>612</v>
      </c>
      <c r="H35" s="1" t="s">
        <v>32</v>
      </c>
      <c r="I35" s="1" t="s">
        <v>227</v>
      </c>
      <c r="O35" s="1" t="s">
        <v>141</v>
      </c>
      <c r="Q35" s="9" t="s">
        <v>613</v>
      </c>
      <c r="R35" s="1" t="s">
        <v>65</v>
      </c>
      <c r="S35" s="1" t="s">
        <v>65</v>
      </c>
      <c r="T35" s="1" t="s">
        <v>65</v>
      </c>
      <c r="U35" s="1" t="s">
        <v>69</v>
      </c>
      <c r="AA35" s="1" t="s">
        <v>71</v>
      </c>
      <c r="AB35" s="1" t="s">
        <v>72</v>
      </c>
      <c r="AC35" s="1" t="s">
        <v>620</v>
      </c>
    </row>
    <row r="36">
      <c r="A36" s="1" t="s">
        <v>621</v>
      </c>
      <c r="B36" s="1" t="s">
        <v>228</v>
      </c>
      <c r="C36" s="1" t="s">
        <v>229</v>
      </c>
      <c r="D36" s="1" t="s">
        <v>132</v>
      </c>
      <c r="E36" s="1" t="s">
        <v>624</v>
      </c>
      <c r="G36" s="1" t="s">
        <v>625</v>
      </c>
      <c r="H36" s="1" t="s">
        <v>32</v>
      </c>
      <c r="I36" s="1" t="s">
        <v>230</v>
      </c>
      <c r="Q36" s="9" t="s">
        <v>626</v>
      </c>
      <c r="R36" s="1" t="s">
        <v>65</v>
      </c>
      <c r="S36" s="1" t="s">
        <v>65</v>
      </c>
      <c r="T36" s="1" t="s">
        <v>65</v>
      </c>
      <c r="U36" s="1" t="s">
        <v>69</v>
      </c>
      <c r="AA36" s="1" t="s">
        <v>71</v>
      </c>
      <c r="AB36" s="1" t="s">
        <v>72</v>
      </c>
      <c r="AC36" s="1" t="s">
        <v>129</v>
      </c>
    </row>
    <row r="37">
      <c r="A37" s="1" t="s">
        <v>632</v>
      </c>
      <c r="B37" s="1" t="s">
        <v>233</v>
      </c>
      <c r="C37" s="1" t="s">
        <v>234</v>
      </c>
      <c r="D37" s="1" t="s">
        <v>235</v>
      </c>
      <c r="E37" s="1" t="s">
        <v>209</v>
      </c>
      <c r="G37" s="1" t="s">
        <v>635</v>
      </c>
      <c r="H37" s="1" t="s">
        <v>32</v>
      </c>
      <c r="I37" s="1" t="s">
        <v>237</v>
      </c>
      <c r="Q37" s="9" t="s">
        <v>636</v>
      </c>
      <c r="R37" s="1" t="s">
        <v>65</v>
      </c>
      <c r="S37" s="1" t="s">
        <v>65</v>
      </c>
      <c r="T37" s="1" t="s">
        <v>65</v>
      </c>
      <c r="U37" s="1" t="s">
        <v>69</v>
      </c>
      <c r="AA37" s="1" t="s">
        <v>71</v>
      </c>
      <c r="AB37" s="1" t="s">
        <v>72</v>
      </c>
      <c r="AC37" s="1" t="s">
        <v>147</v>
      </c>
    </row>
    <row r="38">
      <c r="A38" s="1" t="s">
        <v>645</v>
      </c>
      <c r="B38" s="1" t="s">
        <v>238</v>
      </c>
      <c r="C38" s="1" t="s">
        <v>239</v>
      </c>
      <c r="D38" s="1" t="s">
        <v>240</v>
      </c>
      <c r="E38" s="1" t="s">
        <v>649</v>
      </c>
      <c r="G38" s="1" t="s">
        <v>650</v>
      </c>
      <c r="H38" s="1" t="s">
        <v>32</v>
      </c>
      <c r="I38" s="1" t="s">
        <v>241</v>
      </c>
      <c r="Q38" s="9" t="s">
        <v>652</v>
      </c>
      <c r="R38" s="1" t="s">
        <v>65</v>
      </c>
      <c r="S38" s="1" t="s">
        <v>65</v>
      </c>
      <c r="T38" s="1" t="s">
        <v>65</v>
      </c>
      <c r="U38" s="1" t="s">
        <v>69</v>
      </c>
      <c r="AA38" s="1" t="s">
        <v>71</v>
      </c>
      <c r="AB38" s="1" t="s">
        <v>72</v>
      </c>
      <c r="AC38" s="1" t="s">
        <v>99</v>
      </c>
    </row>
    <row r="39">
      <c r="A39" s="1" t="s">
        <v>659</v>
      </c>
      <c r="B39" s="1" t="s">
        <v>242</v>
      </c>
      <c r="C39" s="1" t="s">
        <v>243</v>
      </c>
      <c r="D39" s="1" t="s">
        <v>244</v>
      </c>
      <c r="E39" s="1" t="s">
        <v>663</v>
      </c>
      <c r="G39" s="1" t="s">
        <v>664</v>
      </c>
      <c r="H39" s="1" t="s">
        <v>32</v>
      </c>
      <c r="I39" s="1" t="s">
        <v>245</v>
      </c>
      <c r="Q39" s="9" t="s">
        <v>665</v>
      </c>
      <c r="R39" s="1" t="s">
        <v>65</v>
      </c>
      <c r="S39" s="1" t="s">
        <v>65</v>
      </c>
      <c r="T39" s="1" t="s">
        <v>65</v>
      </c>
      <c r="U39" s="1" t="s">
        <v>69</v>
      </c>
      <c r="AA39" s="1" t="s">
        <v>71</v>
      </c>
      <c r="AB39" s="1" t="s">
        <v>72</v>
      </c>
      <c r="AC39" s="1" t="s">
        <v>249</v>
      </c>
    </row>
    <row r="40">
      <c r="A40" s="1" t="s">
        <v>677</v>
      </c>
      <c r="B40" s="1" t="s">
        <v>250</v>
      </c>
      <c r="C40" s="1" t="s">
        <v>252</v>
      </c>
      <c r="D40" s="1" t="s">
        <v>132</v>
      </c>
      <c r="E40" s="1" t="s">
        <v>679</v>
      </c>
      <c r="G40" s="1" t="s">
        <v>680</v>
      </c>
      <c r="H40" s="1" t="s">
        <v>32</v>
      </c>
      <c r="I40" s="1" t="s">
        <v>253</v>
      </c>
      <c r="Q40" s="9" t="s">
        <v>682</v>
      </c>
      <c r="R40" s="1" t="s">
        <v>65</v>
      </c>
      <c r="S40" s="1" t="s">
        <v>65</v>
      </c>
      <c r="T40" s="1" t="s">
        <v>65</v>
      </c>
      <c r="U40" s="1" t="s">
        <v>69</v>
      </c>
      <c r="AA40" s="1" t="s">
        <v>71</v>
      </c>
      <c r="AB40" s="1" t="s">
        <v>72</v>
      </c>
      <c r="AC40" s="1" t="s">
        <v>335</v>
      </c>
    </row>
    <row r="41">
      <c r="A41" s="1" t="s">
        <v>697</v>
      </c>
      <c r="B41" s="1" t="s">
        <v>254</v>
      </c>
      <c r="C41" s="1" t="s">
        <v>255</v>
      </c>
      <c r="D41" s="1" t="s">
        <v>44</v>
      </c>
      <c r="E41" s="1" t="s">
        <v>698</v>
      </c>
      <c r="G41" s="1" t="s">
        <v>699</v>
      </c>
      <c r="H41" s="1" t="s">
        <v>32</v>
      </c>
      <c r="Q41" s="9" t="s">
        <v>701</v>
      </c>
      <c r="R41" s="1" t="s">
        <v>65</v>
      </c>
      <c r="S41" s="1" t="s">
        <v>65</v>
      </c>
      <c r="T41" s="1" t="s">
        <v>65</v>
      </c>
      <c r="U41" s="1" t="s">
        <v>69</v>
      </c>
      <c r="AA41" s="1" t="s">
        <v>71</v>
      </c>
      <c r="AB41" s="1" t="s">
        <v>72</v>
      </c>
      <c r="AC41" s="1" t="s">
        <v>73</v>
      </c>
    </row>
    <row r="42">
      <c r="A42" s="1" t="s">
        <v>710</v>
      </c>
      <c r="B42" s="1" t="s">
        <v>256</v>
      </c>
      <c r="E42" s="1" t="s">
        <v>711</v>
      </c>
      <c r="G42" s="1" t="s">
        <v>713</v>
      </c>
      <c r="H42" s="1" t="s">
        <v>32</v>
      </c>
      <c r="I42" s="1" t="s">
        <v>257</v>
      </c>
      <c r="Q42" s="9" t="s">
        <v>717</v>
      </c>
      <c r="R42" s="1" t="s">
        <v>65</v>
      </c>
      <c r="S42" s="1" t="s">
        <v>65</v>
      </c>
      <c r="T42" s="1" t="s">
        <v>65</v>
      </c>
      <c r="U42" s="1" t="s">
        <v>69</v>
      </c>
      <c r="AA42" s="1" t="s">
        <v>71</v>
      </c>
      <c r="AB42" s="1" t="s">
        <v>72</v>
      </c>
      <c r="AC42" s="1" t="s">
        <v>73</v>
      </c>
    </row>
    <row r="43">
      <c r="A43" s="1" t="s">
        <v>726</v>
      </c>
      <c r="B43" s="1" t="s">
        <v>260</v>
      </c>
      <c r="C43" s="1" t="s">
        <v>261</v>
      </c>
      <c r="D43" s="1" t="s">
        <v>263</v>
      </c>
      <c r="E43" s="1" t="s">
        <v>729</v>
      </c>
      <c r="G43" s="1" t="s">
        <v>730</v>
      </c>
      <c r="H43" s="1" t="s">
        <v>32</v>
      </c>
      <c r="I43" s="1" t="s">
        <v>265</v>
      </c>
      <c r="Q43" s="9" t="s">
        <v>732</v>
      </c>
      <c r="R43" s="1" t="s">
        <v>65</v>
      </c>
      <c r="S43" s="1" t="s">
        <v>65</v>
      </c>
      <c r="T43" s="1" t="s">
        <v>65</v>
      </c>
      <c r="U43" s="1" t="s">
        <v>69</v>
      </c>
      <c r="AA43" s="1" t="s">
        <v>71</v>
      </c>
      <c r="AB43" s="1" t="s">
        <v>72</v>
      </c>
      <c r="AC43" s="1" t="s">
        <v>739</v>
      </c>
    </row>
    <row r="44">
      <c r="A44" s="1" t="s">
        <v>740</v>
      </c>
      <c r="B44" s="1" t="s">
        <v>267</v>
      </c>
      <c r="C44" s="1" t="s">
        <v>268</v>
      </c>
      <c r="D44" s="1" t="s">
        <v>269</v>
      </c>
      <c r="E44" s="1" t="s">
        <v>741</v>
      </c>
      <c r="G44" s="1" t="s">
        <v>742</v>
      </c>
      <c r="H44" s="1" t="s">
        <v>32</v>
      </c>
      <c r="I44" s="1" t="s">
        <v>270</v>
      </c>
      <c r="Q44" s="9" t="s">
        <v>743</v>
      </c>
      <c r="R44" s="1" t="s">
        <v>65</v>
      </c>
      <c r="S44" s="1" t="s">
        <v>65</v>
      </c>
      <c r="T44" s="1" t="s">
        <v>65</v>
      </c>
      <c r="U44" s="1" t="s">
        <v>69</v>
      </c>
      <c r="AA44" s="1" t="s">
        <v>71</v>
      </c>
      <c r="AB44" s="1" t="s">
        <v>72</v>
      </c>
      <c r="AC44" s="1" t="s">
        <v>129</v>
      </c>
    </row>
    <row r="45">
      <c r="A45" s="1" t="s">
        <v>744</v>
      </c>
      <c r="B45" s="1" t="s">
        <v>271</v>
      </c>
      <c r="C45" s="1" t="s">
        <v>272</v>
      </c>
      <c r="D45" s="1" t="s">
        <v>273</v>
      </c>
      <c r="E45" s="1" t="s">
        <v>745</v>
      </c>
      <c r="G45" s="1" t="s">
        <v>746</v>
      </c>
      <c r="H45" s="1" t="s">
        <v>32</v>
      </c>
      <c r="Q45" s="9" t="s">
        <v>747</v>
      </c>
      <c r="R45" s="1" t="s">
        <v>65</v>
      </c>
      <c r="S45" s="1" t="s">
        <v>65</v>
      </c>
      <c r="T45" s="1" t="s">
        <v>65</v>
      </c>
      <c r="U45" s="1" t="s">
        <v>69</v>
      </c>
      <c r="AA45" s="1" t="s">
        <v>71</v>
      </c>
      <c r="AB45" s="1" t="s">
        <v>72</v>
      </c>
      <c r="AC45" s="1" t="s">
        <v>183</v>
      </c>
    </row>
    <row r="46">
      <c r="A46" s="1" t="s">
        <v>748</v>
      </c>
      <c r="B46" s="1" t="s">
        <v>274</v>
      </c>
      <c r="C46" s="1" t="s">
        <v>275</v>
      </c>
      <c r="D46" s="1" t="s">
        <v>276</v>
      </c>
      <c r="E46" s="1" t="s">
        <v>749</v>
      </c>
      <c r="G46" s="1" t="s">
        <v>750</v>
      </c>
      <c r="H46" s="1" t="s">
        <v>32</v>
      </c>
      <c r="I46" s="1" t="s">
        <v>277</v>
      </c>
      <c r="Q46" s="9" t="s">
        <v>751</v>
      </c>
      <c r="R46" s="1" t="s">
        <v>65</v>
      </c>
      <c r="S46" s="1" t="s">
        <v>65</v>
      </c>
      <c r="T46" s="1" t="s">
        <v>65</v>
      </c>
      <c r="U46" s="1" t="s">
        <v>69</v>
      </c>
      <c r="AA46" s="1" t="s">
        <v>71</v>
      </c>
      <c r="AB46" s="1" t="s">
        <v>72</v>
      </c>
      <c r="AC46" s="1" t="s">
        <v>99</v>
      </c>
    </row>
    <row r="47">
      <c r="A47" s="1" t="s">
        <v>752</v>
      </c>
      <c r="B47" s="1" t="s">
        <v>278</v>
      </c>
      <c r="C47" s="1" t="s">
        <v>279</v>
      </c>
      <c r="D47" s="1" t="s">
        <v>212</v>
      </c>
      <c r="E47" s="1" t="s">
        <v>753</v>
      </c>
      <c r="G47" s="1" t="s">
        <v>754</v>
      </c>
      <c r="H47" s="1" t="s">
        <v>32</v>
      </c>
      <c r="I47" s="1" t="s">
        <v>280</v>
      </c>
      <c r="Q47" s="9" t="s">
        <v>755</v>
      </c>
      <c r="R47" s="1" t="s">
        <v>65</v>
      </c>
      <c r="S47" s="1" t="s">
        <v>65</v>
      </c>
      <c r="T47" s="1" t="s">
        <v>65</v>
      </c>
      <c r="U47" s="1" t="s">
        <v>69</v>
      </c>
      <c r="AA47" s="1" t="s">
        <v>71</v>
      </c>
      <c r="AB47" s="1" t="s">
        <v>72</v>
      </c>
      <c r="AC47" s="1" t="s">
        <v>147</v>
      </c>
    </row>
    <row r="48">
      <c r="A48" s="1" t="s">
        <v>756</v>
      </c>
      <c r="B48" s="1" t="s">
        <v>282</v>
      </c>
      <c r="C48" s="1" t="s">
        <v>282</v>
      </c>
      <c r="E48" s="1" t="s">
        <v>757</v>
      </c>
      <c r="G48" s="1" t="s">
        <v>758</v>
      </c>
      <c r="H48" s="1" t="s">
        <v>32</v>
      </c>
      <c r="Q48" s="9" t="s">
        <v>759</v>
      </c>
      <c r="R48" s="1" t="s">
        <v>65</v>
      </c>
      <c r="S48" s="1" t="s">
        <v>65</v>
      </c>
      <c r="T48" s="1" t="s">
        <v>65</v>
      </c>
      <c r="U48" s="1" t="s">
        <v>69</v>
      </c>
      <c r="AA48" s="1" t="s">
        <v>71</v>
      </c>
      <c r="AB48" s="1" t="s">
        <v>72</v>
      </c>
      <c r="AC48" s="1" t="s">
        <v>285</v>
      </c>
    </row>
    <row r="49">
      <c r="A49" s="1" t="s">
        <v>760</v>
      </c>
      <c r="B49" s="1" t="s">
        <v>287</v>
      </c>
      <c r="C49" s="1" t="s">
        <v>287</v>
      </c>
      <c r="E49" s="1" t="s">
        <v>761</v>
      </c>
      <c r="G49" s="1" t="s">
        <v>762</v>
      </c>
      <c r="H49" s="1" t="s">
        <v>32</v>
      </c>
      <c r="P49" s="1" t="s">
        <v>289</v>
      </c>
      <c r="Q49" s="9" t="s">
        <v>763</v>
      </c>
      <c r="R49" s="1" t="s">
        <v>65</v>
      </c>
      <c r="S49" s="1" t="s">
        <v>65</v>
      </c>
      <c r="T49" s="1" t="s">
        <v>65</v>
      </c>
      <c r="U49" s="1" t="s">
        <v>69</v>
      </c>
      <c r="AA49" s="1" t="s">
        <v>71</v>
      </c>
      <c r="AB49" s="1" t="s">
        <v>72</v>
      </c>
      <c r="AC49" s="1" t="s">
        <v>129</v>
      </c>
    </row>
    <row r="50">
      <c r="A50" s="1" t="s">
        <v>764</v>
      </c>
      <c r="B50" s="1" t="s">
        <v>290</v>
      </c>
      <c r="C50" s="1" t="s">
        <v>291</v>
      </c>
      <c r="D50" s="1" t="s">
        <v>292</v>
      </c>
      <c r="E50" s="1" t="s">
        <v>765</v>
      </c>
      <c r="G50" s="1" t="s">
        <v>766</v>
      </c>
      <c r="H50" s="1" t="s">
        <v>32</v>
      </c>
      <c r="I50" s="1" t="s">
        <v>293</v>
      </c>
      <c r="Q50" s="9" t="s">
        <v>767</v>
      </c>
      <c r="R50" s="1" t="s">
        <v>65</v>
      </c>
      <c r="S50" s="1" t="s">
        <v>65</v>
      </c>
      <c r="T50" s="1" t="s">
        <v>65</v>
      </c>
      <c r="U50" s="1" t="s">
        <v>69</v>
      </c>
      <c r="AA50" s="1" t="s">
        <v>71</v>
      </c>
      <c r="AB50" s="1" t="s">
        <v>72</v>
      </c>
      <c r="AC50" s="1" t="s">
        <v>294</v>
      </c>
    </row>
    <row r="51">
      <c r="A51" s="1" t="s">
        <v>768</v>
      </c>
      <c r="B51" s="1" t="s">
        <v>295</v>
      </c>
      <c r="C51" s="1" t="s">
        <v>296</v>
      </c>
      <c r="D51" s="1" t="s">
        <v>297</v>
      </c>
      <c r="E51" s="1" t="s">
        <v>769</v>
      </c>
      <c r="G51" s="1" t="s">
        <v>770</v>
      </c>
      <c r="H51" s="1" t="s">
        <v>32</v>
      </c>
      <c r="Q51" s="9" t="s">
        <v>771</v>
      </c>
      <c r="R51" s="1" t="s">
        <v>65</v>
      </c>
      <c r="S51" s="1" t="s">
        <v>65</v>
      </c>
      <c r="T51" s="1" t="s">
        <v>65</v>
      </c>
      <c r="U51" s="1" t="s">
        <v>69</v>
      </c>
      <c r="AA51" s="1" t="s">
        <v>71</v>
      </c>
      <c r="AB51" s="1" t="s">
        <v>72</v>
      </c>
      <c r="AC51" s="1" t="s">
        <v>335</v>
      </c>
    </row>
    <row r="52">
      <c r="A52" s="1" t="s">
        <v>772</v>
      </c>
      <c r="B52" s="1" t="s">
        <v>302</v>
      </c>
      <c r="C52" s="1" t="s">
        <v>303</v>
      </c>
      <c r="D52" s="1" t="s">
        <v>297</v>
      </c>
      <c r="E52" s="1" t="s">
        <v>773</v>
      </c>
      <c r="G52" s="1" t="s">
        <v>774</v>
      </c>
      <c r="H52" s="1" t="s">
        <v>32</v>
      </c>
      <c r="Q52" s="9" t="s">
        <v>775</v>
      </c>
      <c r="R52" s="1" t="s">
        <v>65</v>
      </c>
      <c r="S52" s="1" t="s">
        <v>65</v>
      </c>
      <c r="T52" s="1" t="s">
        <v>65</v>
      </c>
      <c r="U52" s="1" t="s">
        <v>69</v>
      </c>
      <c r="AA52" s="1" t="s">
        <v>71</v>
      </c>
      <c r="AB52" s="1" t="s">
        <v>72</v>
      </c>
      <c r="AC52" s="1" t="s">
        <v>335</v>
      </c>
    </row>
    <row r="53">
      <c r="A53" s="1" t="s">
        <v>776</v>
      </c>
      <c r="B53" s="1" t="s">
        <v>304</v>
      </c>
      <c r="C53" s="1" t="s">
        <v>305</v>
      </c>
      <c r="D53" s="1" t="s">
        <v>306</v>
      </c>
      <c r="E53" s="1" t="s">
        <v>777</v>
      </c>
      <c r="G53" s="1" t="s">
        <v>778</v>
      </c>
      <c r="H53" s="1" t="s">
        <v>32</v>
      </c>
      <c r="I53" s="1" t="s">
        <v>308</v>
      </c>
      <c r="Q53" s="9" t="s">
        <v>779</v>
      </c>
      <c r="R53" s="1" t="s">
        <v>65</v>
      </c>
      <c r="S53" s="1" t="s">
        <v>65</v>
      </c>
      <c r="T53" s="1" t="s">
        <v>65</v>
      </c>
      <c r="U53" s="1" t="s">
        <v>69</v>
      </c>
      <c r="AA53" s="1" t="s">
        <v>71</v>
      </c>
      <c r="AB53" s="1" t="s">
        <v>72</v>
      </c>
      <c r="AC53" s="1" t="s">
        <v>311</v>
      </c>
    </row>
    <row r="54">
      <c r="A54" s="1" t="s">
        <v>780</v>
      </c>
      <c r="B54" s="1" t="s">
        <v>313</v>
      </c>
      <c r="C54" s="1" t="s">
        <v>314</v>
      </c>
      <c r="D54" s="1" t="s">
        <v>306</v>
      </c>
      <c r="E54" s="1" t="s">
        <v>781</v>
      </c>
      <c r="G54" s="1" t="s">
        <v>782</v>
      </c>
      <c r="H54" s="1" t="s">
        <v>32</v>
      </c>
      <c r="I54" s="1" t="s">
        <v>315</v>
      </c>
      <c r="Q54" s="9" t="s">
        <v>783</v>
      </c>
      <c r="R54" s="1" t="s">
        <v>65</v>
      </c>
      <c r="S54" s="1" t="s">
        <v>65</v>
      </c>
      <c r="T54" s="1" t="s">
        <v>65</v>
      </c>
      <c r="U54" s="1" t="s">
        <v>69</v>
      </c>
      <c r="AA54" s="1" t="s">
        <v>71</v>
      </c>
      <c r="AB54" s="1" t="s">
        <v>72</v>
      </c>
      <c r="AC54" s="1" t="s">
        <v>311</v>
      </c>
    </row>
    <row r="55">
      <c r="A55" s="1" t="s">
        <v>784</v>
      </c>
      <c r="B55" s="1" t="s">
        <v>316</v>
      </c>
      <c r="C55" s="1" t="s">
        <v>317</v>
      </c>
      <c r="D55" s="1" t="s">
        <v>318</v>
      </c>
      <c r="E55" s="1" t="s">
        <v>785</v>
      </c>
      <c r="G55" s="1" t="s">
        <v>786</v>
      </c>
      <c r="H55" s="1" t="s">
        <v>32</v>
      </c>
      <c r="Q55" s="9" t="s">
        <v>787</v>
      </c>
      <c r="R55" s="1" t="s">
        <v>65</v>
      </c>
      <c r="S55" s="1" t="s">
        <v>65</v>
      </c>
      <c r="T55" s="1" t="s">
        <v>65</v>
      </c>
      <c r="U55" s="1" t="s">
        <v>69</v>
      </c>
      <c r="AA55" s="1" t="s">
        <v>71</v>
      </c>
      <c r="AB55" s="1" t="s">
        <v>72</v>
      </c>
      <c r="AC55" s="1" t="s">
        <v>788</v>
      </c>
    </row>
    <row r="56">
      <c r="A56" s="1" t="s">
        <v>789</v>
      </c>
      <c r="B56" s="1" t="s">
        <v>319</v>
      </c>
      <c r="C56" s="1" t="s">
        <v>321</v>
      </c>
      <c r="D56" s="1" t="s">
        <v>322</v>
      </c>
      <c r="E56" s="1" t="s">
        <v>790</v>
      </c>
      <c r="G56" s="1" t="s">
        <v>791</v>
      </c>
      <c r="H56" s="1" t="s">
        <v>32</v>
      </c>
      <c r="I56" s="1" t="s">
        <v>324</v>
      </c>
      <c r="Q56" s="9" t="s">
        <v>792</v>
      </c>
      <c r="R56" s="1" t="s">
        <v>65</v>
      </c>
      <c r="S56" s="1" t="s">
        <v>65</v>
      </c>
      <c r="T56" s="1" t="s">
        <v>65</v>
      </c>
      <c r="U56" s="1" t="s">
        <v>69</v>
      </c>
      <c r="AA56" s="1" t="s">
        <v>71</v>
      </c>
      <c r="AB56" s="1" t="s">
        <v>72</v>
      </c>
      <c r="AC56" s="1" t="s">
        <v>192</v>
      </c>
    </row>
    <row r="57">
      <c r="A57" s="1" t="s">
        <v>793</v>
      </c>
      <c r="B57" s="1" t="s">
        <v>327</v>
      </c>
      <c r="C57" s="1" t="s">
        <v>328</v>
      </c>
      <c r="D57" s="1" t="s">
        <v>329</v>
      </c>
      <c r="E57" s="1" t="s">
        <v>794</v>
      </c>
      <c r="G57" s="1" t="s">
        <v>795</v>
      </c>
      <c r="H57" s="1" t="s">
        <v>32</v>
      </c>
      <c r="I57" s="1" t="s">
        <v>330</v>
      </c>
      <c r="Q57" s="9" t="s">
        <v>796</v>
      </c>
      <c r="R57" s="1" t="s">
        <v>65</v>
      </c>
      <c r="S57" s="1" t="s">
        <v>65</v>
      </c>
      <c r="T57" s="1" t="s">
        <v>65</v>
      </c>
      <c r="U57" s="1" t="s">
        <v>69</v>
      </c>
      <c r="AA57" s="1" t="s">
        <v>71</v>
      </c>
      <c r="AB57" s="1" t="s">
        <v>72</v>
      </c>
      <c r="AC57" s="1" t="s">
        <v>47</v>
      </c>
    </row>
    <row r="58">
      <c r="A58" s="1" t="s">
        <v>797</v>
      </c>
      <c r="B58" s="1" t="s">
        <v>331</v>
      </c>
      <c r="C58" s="1" t="s">
        <v>332</v>
      </c>
      <c r="D58" s="1" t="s">
        <v>333</v>
      </c>
      <c r="E58" s="1" t="s">
        <v>289</v>
      </c>
      <c r="G58" s="1" t="s">
        <v>798</v>
      </c>
      <c r="H58" s="1" t="s">
        <v>32</v>
      </c>
      <c r="I58" s="1" t="s">
        <v>334</v>
      </c>
      <c r="Q58" s="9" t="s">
        <v>799</v>
      </c>
      <c r="R58" s="1" t="s">
        <v>65</v>
      </c>
      <c r="S58" s="1" t="s">
        <v>65</v>
      </c>
      <c r="T58" s="1" t="s">
        <v>65</v>
      </c>
      <c r="U58" s="1" t="s">
        <v>69</v>
      </c>
      <c r="AA58" s="1" t="s">
        <v>71</v>
      </c>
      <c r="AB58" s="1" t="s">
        <v>72</v>
      </c>
      <c r="AC58" s="1" t="s">
        <v>129</v>
      </c>
    </row>
    <row r="59">
      <c r="A59" s="1" t="s">
        <v>800</v>
      </c>
      <c r="B59" s="1" t="s">
        <v>337</v>
      </c>
      <c r="C59" s="1" t="s">
        <v>338</v>
      </c>
      <c r="D59" s="1" t="s">
        <v>339</v>
      </c>
      <c r="E59" s="1" t="s">
        <v>801</v>
      </c>
      <c r="G59" s="1" t="s">
        <v>802</v>
      </c>
      <c r="H59" s="1" t="s">
        <v>32</v>
      </c>
      <c r="I59" s="1" t="s">
        <v>341</v>
      </c>
      <c r="Q59" s="9" t="s">
        <v>803</v>
      </c>
      <c r="R59" s="1" t="s">
        <v>65</v>
      </c>
      <c r="S59" s="1" t="s">
        <v>65</v>
      </c>
      <c r="T59" s="1" t="s">
        <v>65</v>
      </c>
      <c r="U59" s="1" t="s">
        <v>69</v>
      </c>
      <c r="AA59" s="1" t="s">
        <v>71</v>
      </c>
      <c r="AB59" s="1" t="s">
        <v>72</v>
      </c>
      <c r="AC59" s="1" t="s">
        <v>129</v>
      </c>
    </row>
    <row r="60">
      <c r="A60" s="1" t="s">
        <v>804</v>
      </c>
      <c r="B60" s="1" t="s">
        <v>343</v>
      </c>
      <c r="C60" s="1" t="s">
        <v>314</v>
      </c>
      <c r="D60" s="1" t="s">
        <v>344</v>
      </c>
      <c r="E60" s="1" t="s">
        <v>805</v>
      </c>
      <c r="G60" s="1" t="s">
        <v>806</v>
      </c>
      <c r="H60" s="1" t="s">
        <v>32</v>
      </c>
      <c r="Q60" s="9" t="s">
        <v>807</v>
      </c>
      <c r="R60" s="1" t="s">
        <v>65</v>
      </c>
      <c r="S60" s="1" t="s">
        <v>65</v>
      </c>
      <c r="T60" s="1" t="s">
        <v>65</v>
      </c>
      <c r="U60" s="1" t="s">
        <v>69</v>
      </c>
      <c r="AA60" s="1" t="s">
        <v>71</v>
      </c>
      <c r="AB60" s="1" t="s">
        <v>72</v>
      </c>
      <c r="AC60" s="1" t="s">
        <v>345</v>
      </c>
    </row>
    <row r="61">
      <c r="A61" s="1" t="s">
        <v>808</v>
      </c>
      <c r="B61" s="1" t="s">
        <v>346</v>
      </c>
      <c r="C61" s="1" t="s">
        <v>347</v>
      </c>
      <c r="D61" s="1" t="s">
        <v>348</v>
      </c>
      <c r="E61" s="1" t="s">
        <v>809</v>
      </c>
      <c r="G61" s="1" t="s">
        <v>810</v>
      </c>
      <c r="H61" s="1" t="s">
        <v>32</v>
      </c>
      <c r="Q61" s="9" t="s">
        <v>811</v>
      </c>
      <c r="R61" s="1" t="s">
        <v>65</v>
      </c>
      <c r="S61" s="1" t="s">
        <v>65</v>
      </c>
      <c r="T61" s="1" t="s">
        <v>65</v>
      </c>
      <c r="U61" s="1" t="s">
        <v>69</v>
      </c>
      <c r="AA61" s="1" t="s">
        <v>71</v>
      </c>
      <c r="AB61" s="1" t="s">
        <v>72</v>
      </c>
      <c r="AC61" s="1" t="s">
        <v>115</v>
      </c>
    </row>
    <row r="62">
      <c r="A62" s="1" t="s">
        <v>812</v>
      </c>
      <c r="B62" s="1" t="s">
        <v>350</v>
      </c>
      <c r="C62" s="1" t="s">
        <v>351</v>
      </c>
      <c r="D62" s="1" t="s">
        <v>353</v>
      </c>
      <c r="E62" s="1" t="s">
        <v>813</v>
      </c>
      <c r="G62" s="1" t="s">
        <v>814</v>
      </c>
      <c r="H62" s="1" t="s">
        <v>32</v>
      </c>
      <c r="Q62" s="9" t="s">
        <v>815</v>
      </c>
      <c r="R62" s="1" t="s">
        <v>65</v>
      </c>
      <c r="S62" s="1" t="s">
        <v>65</v>
      </c>
      <c r="T62" s="1" t="s">
        <v>65</v>
      </c>
      <c r="U62" s="1" t="s">
        <v>69</v>
      </c>
      <c r="AA62" s="1" t="s">
        <v>71</v>
      </c>
      <c r="AB62" s="1" t="s">
        <v>72</v>
      </c>
      <c r="AC62" s="1" t="s">
        <v>201</v>
      </c>
    </row>
    <row r="63">
      <c r="A63" s="1" t="s">
        <v>816</v>
      </c>
      <c r="B63" s="1" t="s">
        <v>356</v>
      </c>
      <c r="C63" s="1" t="s">
        <v>356</v>
      </c>
      <c r="E63" s="1" t="s">
        <v>817</v>
      </c>
      <c r="G63" s="1" t="s">
        <v>818</v>
      </c>
      <c r="H63" s="1" t="s">
        <v>32</v>
      </c>
      <c r="I63" s="1" t="s">
        <v>357</v>
      </c>
      <c r="Q63" s="9" t="s">
        <v>819</v>
      </c>
      <c r="R63" s="1" t="s">
        <v>65</v>
      </c>
      <c r="S63" s="1" t="s">
        <v>65</v>
      </c>
      <c r="T63" s="1" t="s">
        <v>65</v>
      </c>
      <c r="U63" s="1" t="s">
        <v>69</v>
      </c>
      <c r="AA63" s="1" t="s">
        <v>71</v>
      </c>
      <c r="AB63" s="1" t="s">
        <v>72</v>
      </c>
      <c r="AC63" s="1" t="s">
        <v>820</v>
      </c>
    </row>
    <row r="64">
      <c r="A64" s="1" t="s">
        <v>821</v>
      </c>
      <c r="B64" s="1" t="s">
        <v>358</v>
      </c>
      <c r="C64" s="1" t="s">
        <v>359</v>
      </c>
      <c r="D64" s="1" t="s">
        <v>360</v>
      </c>
      <c r="E64" s="1" t="s">
        <v>822</v>
      </c>
      <c r="G64" s="1" t="s">
        <v>823</v>
      </c>
      <c r="H64" s="1" t="s">
        <v>32</v>
      </c>
      <c r="Q64" s="9" t="s">
        <v>824</v>
      </c>
      <c r="R64" s="1" t="s">
        <v>65</v>
      </c>
      <c r="S64" s="1" t="s">
        <v>65</v>
      </c>
      <c r="T64" s="1" t="s">
        <v>65</v>
      </c>
      <c r="U64" s="1" t="s">
        <v>69</v>
      </c>
      <c r="AA64" s="1" t="s">
        <v>71</v>
      </c>
      <c r="AB64" s="1" t="s">
        <v>72</v>
      </c>
      <c r="AC64" s="1" t="s">
        <v>165</v>
      </c>
    </row>
    <row r="65">
      <c r="A65" s="1" t="s">
        <v>825</v>
      </c>
      <c r="B65" s="1" t="s">
        <v>362</v>
      </c>
      <c r="C65" s="1" t="s">
        <v>364</v>
      </c>
      <c r="D65" s="1" t="s">
        <v>365</v>
      </c>
      <c r="E65" s="1" t="s">
        <v>826</v>
      </c>
      <c r="G65" s="1" t="s">
        <v>827</v>
      </c>
      <c r="H65" s="1" t="s">
        <v>32</v>
      </c>
      <c r="Q65" s="9" t="s">
        <v>828</v>
      </c>
      <c r="R65" s="1" t="s">
        <v>65</v>
      </c>
      <c r="S65" s="1" t="s">
        <v>65</v>
      </c>
      <c r="T65" s="1" t="s">
        <v>65</v>
      </c>
      <c r="U65" s="1" t="s">
        <v>69</v>
      </c>
      <c r="AA65" s="1" t="s">
        <v>71</v>
      </c>
      <c r="AB65" s="1" t="s">
        <v>72</v>
      </c>
      <c r="AC65" s="1" t="s">
        <v>367</v>
      </c>
    </row>
    <row r="66">
      <c r="A66" s="1" t="s">
        <v>829</v>
      </c>
      <c r="B66" s="1" t="s">
        <v>368</v>
      </c>
      <c r="C66" s="1" t="s">
        <v>369</v>
      </c>
      <c r="D66" s="1" t="s">
        <v>370</v>
      </c>
      <c r="E66" s="1" t="s">
        <v>830</v>
      </c>
      <c r="G66" s="1" t="s">
        <v>831</v>
      </c>
      <c r="H66" s="1" t="s">
        <v>32</v>
      </c>
      <c r="Q66" s="9" t="s">
        <v>832</v>
      </c>
      <c r="R66" s="1" t="s">
        <v>65</v>
      </c>
      <c r="S66" s="1" t="s">
        <v>65</v>
      </c>
      <c r="T66" s="1" t="s">
        <v>65</v>
      </c>
      <c r="U66" s="1" t="s">
        <v>69</v>
      </c>
      <c r="AA66" s="1" t="s">
        <v>71</v>
      </c>
      <c r="AB66" s="1" t="s">
        <v>72</v>
      </c>
      <c r="AC66" s="1" t="s">
        <v>582</v>
      </c>
    </row>
    <row r="67">
      <c r="A67" s="1" t="s">
        <v>833</v>
      </c>
      <c r="B67" s="1" t="s">
        <v>371</v>
      </c>
      <c r="C67" s="1" t="s">
        <v>372</v>
      </c>
      <c r="D67" s="1" t="s">
        <v>373</v>
      </c>
      <c r="E67" s="1" t="s">
        <v>834</v>
      </c>
      <c r="G67" s="1" t="s">
        <v>835</v>
      </c>
      <c r="H67" s="1" t="s">
        <v>32</v>
      </c>
      <c r="Q67" s="9" t="s">
        <v>836</v>
      </c>
      <c r="R67" s="1" t="s">
        <v>65</v>
      </c>
      <c r="S67" s="1" t="s">
        <v>65</v>
      </c>
      <c r="T67" s="1" t="s">
        <v>65</v>
      </c>
      <c r="U67" s="1" t="s">
        <v>69</v>
      </c>
      <c r="AA67" s="1" t="s">
        <v>71</v>
      </c>
      <c r="AB67" s="1" t="s">
        <v>72</v>
      </c>
      <c r="AC67" s="1" t="s">
        <v>582</v>
      </c>
    </row>
    <row r="68">
      <c r="A68" s="1" t="s">
        <v>837</v>
      </c>
      <c r="B68" s="1" t="s">
        <v>374</v>
      </c>
      <c r="C68" s="1" t="s">
        <v>375</v>
      </c>
      <c r="D68" s="1" t="s">
        <v>376</v>
      </c>
      <c r="E68" s="1" t="s">
        <v>838</v>
      </c>
      <c r="G68" s="1" t="s">
        <v>839</v>
      </c>
      <c r="H68" s="1" t="s">
        <v>32</v>
      </c>
      <c r="I68" s="1" t="s">
        <v>377</v>
      </c>
      <c r="Q68" s="9" t="s">
        <v>840</v>
      </c>
      <c r="R68" s="1" t="s">
        <v>65</v>
      </c>
      <c r="S68" s="1" t="s">
        <v>65</v>
      </c>
      <c r="T68" s="1" t="s">
        <v>65</v>
      </c>
      <c r="U68" s="1" t="s">
        <v>69</v>
      </c>
      <c r="AA68" s="1" t="s">
        <v>71</v>
      </c>
      <c r="AB68" s="1" t="s">
        <v>72</v>
      </c>
      <c r="AC68" s="1" t="s">
        <v>99</v>
      </c>
    </row>
    <row r="69">
      <c r="A69" s="1" t="s">
        <v>841</v>
      </c>
      <c r="B69" s="1" t="s">
        <v>181</v>
      </c>
      <c r="C69" s="1" t="s">
        <v>181</v>
      </c>
      <c r="E69" s="1" t="s">
        <v>842</v>
      </c>
      <c r="G69" s="1" t="s">
        <v>843</v>
      </c>
      <c r="H69" s="1" t="s">
        <v>32</v>
      </c>
      <c r="Q69" s="9" t="s">
        <v>844</v>
      </c>
      <c r="R69" s="1" t="s">
        <v>65</v>
      </c>
      <c r="S69" s="1" t="s">
        <v>65</v>
      </c>
      <c r="T69" s="1" t="s">
        <v>65</v>
      </c>
      <c r="U69" s="1" t="s">
        <v>69</v>
      </c>
      <c r="AA69" s="1" t="s">
        <v>71</v>
      </c>
      <c r="AB69" s="1" t="s">
        <v>72</v>
      </c>
      <c r="AC69" s="1" t="s">
        <v>183</v>
      </c>
    </row>
    <row r="70">
      <c r="A70" s="1" t="s">
        <v>845</v>
      </c>
      <c r="B70" s="1" t="s">
        <v>383</v>
      </c>
      <c r="C70" s="1" t="s">
        <v>384</v>
      </c>
      <c r="D70" s="1" t="s">
        <v>386</v>
      </c>
      <c r="E70" s="1" t="s">
        <v>846</v>
      </c>
      <c r="G70" s="1" t="s">
        <v>847</v>
      </c>
      <c r="H70" s="1" t="s">
        <v>32</v>
      </c>
      <c r="Q70" s="9" t="s">
        <v>848</v>
      </c>
      <c r="R70" s="1" t="s">
        <v>65</v>
      </c>
      <c r="S70" s="1" t="s">
        <v>65</v>
      </c>
      <c r="T70" s="1" t="s">
        <v>65</v>
      </c>
      <c r="U70" s="1" t="s">
        <v>69</v>
      </c>
      <c r="AA70" s="1" t="s">
        <v>71</v>
      </c>
      <c r="AB70" s="1" t="s">
        <v>72</v>
      </c>
      <c r="AC70" s="1" t="s">
        <v>387</v>
      </c>
    </row>
    <row r="71">
      <c r="A71" s="1" t="s">
        <v>849</v>
      </c>
      <c r="B71" s="1" t="s">
        <v>389</v>
      </c>
      <c r="C71" s="1" t="s">
        <v>390</v>
      </c>
      <c r="D71" s="1" t="s">
        <v>386</v>
      </c>
      <c r="E71" s="1" t="s">
        <v>850</v>
      </c>
      <c r="G71" s="1" t="s">
        <v>851</v>
      </c>
      <c r="H71" s="1" t="s">
        <v>32</v>
      </c>
      <c r="I71" s="1" t="s">
        <v>393</v>
      </c>
      <c r="Q71" s="9" t="s">
        <v>852</v>
      </c>
      <c r="R71" s="1" t="s">
        <v>65</v>
      </c>
      <c r="S71" s="1" t="s">
        <v>65</v>
      </c>
      <c r="T71" s="1" t="s">
        <v>65</v>
      </c>
      <c r="U71" s="1" t="s">
        <v>69</v>
      </c>
      <c r="AA71" s="1" t="s">
        <v>71</v>
      </c>
      <c r="AB71" s="1" t="s">
        <v>72</v>
      </c>
      <c r="AC71" s="1" t="s">
        <v>387</v>
      </c>
    </row>
    <row r="72">
      <c r="A72" s="1" t="s">
        <v>853</v>
      </c>
      <c r="B72" s="1" t="s">
        <v>396</v>
      </c>
      <c r="C72" s="1" t="s">
        <v>397</v>
      </c>
      <c r="D72" s="1" t="s">
        <v>398</v>
      </c>
      <c r="E72" s="1" t="s">
        <v>854</v>
      </c>
      <c r="G72" s="1" t="s">
        <v>855</v>
      </c>
      <c r="H72" s="1" t="s">
        <v>32</v>
      </c>
      <c r="I72" s="1" t="s">
        <v>399</v>
      </c>
      <c r="Q72" s="9" t="s">
        <v>856</v>
      </c>
      <c r="R72" s="1" t="s">
        <v>65</v>
      </c>
      <c r="S72" s="1" t="s">
        <v>65</v>
      </c>
      <c r="T72" s="1" t="s">
        <v>65</v>
      </c>
      <c r="U72" s="1" t="s">
        <v>69</v>
      </c>
      <c r="AA72" s="1" t="s">
        <v>71</v>
      </c>
      <c r="AB72" s="1" t="s">
        <v>72</v>
      </c>
      <c r="AC72" s="1" t="s">
        <v>387</v>
      </c>
    </row>
    <row r="73">
      <c r="A73" s="1" t="s">
        <v>857</v>
      </c>
      <c r="B73" s="1" t="s">
        <v>400</v>
      </c>
      <c r="C73" s="1" t="s">
        <v>401</v>
      </c>
      <c r="D73" s="1" t="s">
        <v>402</v>
      </c>
      <c r="E73" s="1" t="s">
        <v>858</v>
      </c>
      <c r="G73" s="1" t="s">
        <v>859</v>
      </c>
      <c r="H73" s="1" t="s">
        <v>32</v>
      </c>
      <c r="I73" s="1" t="s">
        <v>403</v>
      </c>
      <c r="Q73" s="9" t="s">
        <v>860</v>
      </c>
      <c r="R73" s="1" t="s">
        <v>65</v>
      </c>
      <c r="S73" s="1" t="s">
        <v>65</v>
      </c>
      <c r="T73" s="1" t="s">
        <v>65</v>
      </c>
      <c r="U73" s="1" t="s">
        <v>69</v>
      </c>
      <c r="AA73" s="1" t="s">
        <v>71</v>
      </c>
      <c r="AB73" s="1" t="s">
        <v>72</v>
      </c>
      <c r="AC73" s="1" t="s">
        <v>387</v>
      </c>
    </row>
    <row r="74">
      <c r="A74" s="1" t="s">
        <v>861</v>
      </c>
      <c r="B74" s="1" t="s">
        <v>408</v>
      </c>
      <c r="C74" s="1" t="s">
        <v>409</v>
      </c>
      <c r="D74" s="1" t="s">
        <v>410</v>
      </c>
      <c r="E74" s="1" t="s">
        <v>862</v>
      </c>
      <c r="G74" s="1" t="s">
        <v>863</v>
      </c>
      <c r="H74" s="1" t="s">
        <v>32</v>
      </c>
      <c r="Q74" s="9" t="s">
        <v>864</v>
      </c>
      <c r="R74" s="1" t="s">
        <v>65</v>
      </c>
      <c r="S74" s="1" t="s">
        <v>65</v>
      </c>
      <c r="T74" s="1" t="s">
        <v>65</v>
      </c>
      <c r="U74" s="1" t="s">
        <v>69</v>
      </c>
      <c r="AA74" s="1" t="s">
        <v>71</v>
      </c>
      <c r="AB74" s="1" t="s">
        <v>72</v>
      </c>
      <c r="AC74" s="1" t="s">
        <v>412</v>
      </c>
    </row>
    <row r="75">
      <c r="A75" s="1" t="s">
        <v>865</v>
      </c>
      <c r="B75" s="1" t="s">
        <v>413</v>
      </c>
      <c r="C75" s="1" t="s">
        <v>414</v>
      </c>
      <c r="D75" s="1" t="s">
        <v>402</v>
      </c>
      <c r="E75" s="1" t="s">
        <v>866</v>
      </c>
      <c r="G75" s="1" t="s">
        <v>867</v>
      </c>
      <c r="H75" s="1" t="s">
        <v>32</v>
      </c>
      <c r="Q75" s="9" t="s">
        <v>868</v>
      </c>
      <c r="R75" s="1" t="s">
        <v>65</v>
      </c>
      <c r="S75" s="1" t="s">
        <v>65</v>
      </c>
      <c r="T75" s="1" t="s">
        <v>65</v>
      </c>
      <c r="U75" s="1" t="s">
        <v>69</v>
      </c>
      <c r="AA75" s="1" t="s">
        <v>71</v>
      </c>
      <c r="AB75" s="1" t="s">
        <v>72</v>
      </c>
      <c r="AC75" s="1" t="s">
        <v>416</v>
      </c>
    </row>
    <row r="76">
      <c r="A76" s="1" t="s">
        <v>869</v>
      </c>
      <c r="B76" s="1" t="s">
        <v>417</v>
      </c>
      <c r="C76" s="1" t="s">
        <v>418</v>
      </c>
      <c r="D76" s="1" t="s">
        <v>419</v>
      </c>
      <c r="E76" s="1" t="s">
        <v>870</v>
      </c>
      <c r="G76" s="1" t="s">
        <v>871</v>
      </c>
      <c r="H76" s="1" t="s">
        <v>32</v>
      </c>
      <c r="Q76" s="9" t="s">
        <v>872</v>
      </c>
      <c r="R76" s="1" t="s">
        <v>65</v>
      </c>
      <c r="S76" s="1" t="s">
        <v>65</v>
      </c>
      <c r="T76" s="1" t="s">
        <v>65</v>
      </c>
      <c r="U76" s="1" t="s">
        <v>69</v>
      </c>
      <c r="AA76" s="1" t="s">
        <v>71</v>
      </c>
      <c r="AB76" s="1" t="s">
        <v>72</v>
      </c>
      <c r="AC76" s="1" t="s">
        <v>416</v>
      </c>
    </row>
    <row r="77">
      <c r="A77" s="1" t="s">
        <v>873</v>
      </c>
      <c r="B77" s="1" t="s">
        <v>420</v>
      </c>
      <c r="C77" s="1" t="s">
        <v>421</v>
      </c>
      <c r="D77" s="1" t="s">
        <v>422</v>
      </c>
      <c r="E77" s="1" t="s">
        <v>874</v>
      </c>
      <c r="G77" s="1" t="s">
        <v>875</v>
      </c>
      <c r="H77" s="1" t="s">
        <v>32</v>
      </c>
      <c r="I77" s="1" t="s">
        <v>423</v>
      </c>
      <c r="Q77" s="9" t="s">
        <v>876</v>
      </c>
      <c r="R77" s="1" t="s">
        <v>65</v>
      </c>
      <c r="S77" s="1" t="s">
        <v>65</v>
      </c>
      <c r="T77" s="1" t="s">
        <v>65</v>
      </c>
      <c r="U77" s="1" t="s">
        <v>69</v>
      </c>
      <c r="AA77" s="1" t="s">
        <v>71</v>
      </c>
      <c r="AB77" s="1" t="s">
        <v>72</v>
      </c>
      <c r="AC77" s="1" t="s">
        <v>425</v>
      </c>
    </row>
    <row r="78">
      <c r="A78" s="1" t="s">
        <v>877</v>
      </c>
      <c r="B78" s="1" t="s">
        <v>428</v>
      </c>
      <c r="C78" s="1" t="s">
        <v>429</v>
      </c>
      <c r="D78" s="1" t="s">
        <v>430</v>
      </c>
      <c r="E78" s="1" t="s">
        <v>878</v>
      </c>
      <c r="G78" s="1" t="s">
        <v>879</v>
      </c>
      <c r="H78" s="1" t="s">
        <v>32</v>
      </c>
      <c r="Q78" s="9" t="s">
        <v>880</v>
      </c>
      <c r="R78" s="1" t="s">
        <v>65</v>
      </c>
      <c r="S78" s="1" t="s">
        <v>65</v>
      </c>
      <c r="T78" s="1" t="s">
        <v>65</v>
      </c>
      <c r="U78" s="1" t="s">
        <v>69</v>
      </c>
      <c r="AA78" s="1" t="s">
        <v>71</v>
      </c>
      <c r="AB78" s="1" t="s">
        <v>72</v>
      </c>
      <c r="AC78" s="1" t="s">
        <v>129</v>
      </c>
    </row>
    <row r="79">
      <c r="A79" s="1" t="s">
        <v>881</v>
      </c>
      <c r="B79" s="1" t="s">
        <v>432</v>
      </c>
      <c r="C79" s="1" t="s">
        <v>433</v>
      </c>
      <c r="D79" s="1" t="s">
        <v>434</v>
      </c>
      <c r="E79" s="1" t="s">
        <v>882</v>
      </c>
      <c r="G79" s="1" t="s">
        <v>883</v>
      </c>
      <c r="H79" s="1" t="s">
        <v>32</v>
      </c>
      <c r="Q79" s="9" t="s">
        <v>884</v>
      </c>
      <c r="R79" s="1" t="s">
        <v>65</v>
      </c>
      <c r="S79" s="1" t="s">
        <v>65</v>
      </c>
      <c r="T79" s="1" t="s">
        <v>65</v>
      </c>
      <c r="U79" s="1" t="s">
        <v>69</v>
      </c>
      <c r="AA79" s="1" t="s">
        <v>71</v>
      </c>
      <c r="AB79" s="1" t="s">
        <v>72</v>
      </c>
      <c r="AC79" s="1" t="s">
        <v>435</v>
      </c>
    </row>
    <row r="80">
      <c r="A80" s="1" t="s">
        <v>885</v>
      </c>
      <c r="B80" s="1" t="s">
        <v>436</v>
      </c>
      <c r="C80" s="1" t="s">
        <v>433</v>
      </c>
      <c r="D80" s="1" t="s">
        <v>437</v>
      </c>
      <c r="E80" s="1" t="s">
        <v>886</v>
      </c>
      <c r="G80" s="1" t="s">
        <v>887</v>
      </c>
      <c r="H80" s="1" t="s">
        <v>32</v>
      </c>
      <c r="Q80" s="9" t="s">
        <v>888</v>
      </c>
      <c r="R80" s="1" t="s">
        <v>65</v>
      </c>
      <c r="S80" s="1" t="s">
        <v>65</v>
      </c>
      <c r="T80" s="1" t="s">
        <v>65</v>
      </c>
      <c r="U80" s="1" t="s">
        <v>69</v>
      </c>
      <c r="AA80" s="1" t="s">
        <v>71</v>
      </c>
      <c r="AB80" s="1" t="s">
        <v>72</v>
      </c>
      <c r="AC80" s="1" t="s">
        <v>435</v>
      </c>
    </row>
    <row r="81">
      <c r="A81" s="1" t="s">
        <v>889</v>
      </c>
      <c r="B81" s="1" t="s">
        <v>441</v>
      </c>
      <c r="C81" s="1" t="s">
        <v>441</v>
      </c>
      <c r="E81" s="1" t="s">
        <v>890</v>
      </c>
      <c r="G81" s="1" t="s">
        <v>891</v>
      </c>
      <c r="H81" s="1" t="s">
        <v>32</v>
      </c>
      <c r="Q81" s="9" t="s">
        <v>892</v>
      </c>
      <c r="R81" s="1" t="s">
        <v>65</v>
      </c>
      <c r="S81" s="1" t="s">
        <v>65</v>
      </c>
      <c r="T81" s="1" t="s">
        <v>65</v>
      </c>
      <c r="U81" s="1" t="s">
        <v>69</v>
      </c>
      <c r="AA81" s="1" t="s">
        <v>71</v>
      </c>
      <c r="AB81" s="1" t="s">
        <v>72</v>
      </c>
      <c r="AC81" s="1" t="s">
        <v>443</v>
      </c>
    </row>
    <row r="82">
      <c r="A82" s="1" t="s">
        <v>893</v>
      </c>
      <c r="B82" s="1" t="s">
        <v>444</v>
      </c>
      <c r="C82" s="1" t="s">
        <v>444</v>
      </c>
      <c r="E82" s="1" t="s">
        <v>894</v>
      </c>
      <c r="G82" s="1" t="s">
        <v>895</v>
      </c>
      <c r="H82" s="1" t="s">
        <v>32</v>
      </c>
      <c r="Q82" s="9" t="s">
        <v>896</v>
      </c>
      <c r="R82" s="1" t="s">
        <v>65</v>
      </c>
      <c r="S82" s="1" t="s">
        <v>65</v>
      </c>
      <c r="T82" s="1" t="s">
        <v>65</v>
      </c>
      <c r="U82" s="1" t="s">
        <v>69</v>
      </c>
      <c r="AA82" s="1" t="s">
        <v>71</v>
      </c>
      <c r="AB82" s="1" t="s">
        <v>72</v>
      </c>
      <c r="AC82" s="1" t="s">
        <v>41</v>
      </c>
    </row>
    <row r="83">
      <c r="A83" s="1" t="s">
        <v>897</v>
      </c>
      <c r="B83" s="1" t="s">
        <v>445</v>
      </c>
      <c r="C83" s="1" t="s">
        <v>446</v>
      </c>
      <c r="D83" s="1" t="s">
        <v>447</v>
      </c>
      <c r="E83" s="1" t="s">
        <v>898</v>
      </c>
      <c r="G83" s="1" t="s">
        <v>899</v>
      </c>
      <c r="H83" s="1" t="s">
        <v>32</v>
      </c>
      <c r="I83" s="1" t="s">
        <v>448</v>
      </c>
      <c r="Q83" s="9" t="s">
        <v>900</v>
      </c>
      <c r="R83" s="1" t="s">
        <v>65</v>
      </c>
      <c r="S83" s="1" t="s">
        <v>65</v>
      </c>
      <c r="T83" s="1" t="s">
        <v>65</v>
      </c>
      <c r="U83" s="1" t="s">
        <v>69</v>
      </c>
      <c r="AA83" s="1" t="s">
        <v>71</v>
      </c>
      <c r="AB83" s="1" t="s">
        <v>72</v>
      </c>
      <c r="AC83" s="1" t="s">
        <v>147</v>
      </c>
    </row>
    <row r="84">
      <c r="A84" s="1" t="s">
        <v>901</v>
      </c>
      <c r="B84" s="1" t="s">
        <v>453</v>
      </c>
      <c r="C84" s="1" t="s">
        <v>455</v>
      </c>
      <c r="D84" s="1" t="s">
        <v>456</v>
      </c>
      <c r="E84" s="1" t="s">
        <v>902</v>
      </c>
      <c r="G84" s="1" t="s">
        <v>903</v>
      </c>
      <c r="H84" s="1" t="s">
        <v>32</v>
      </c>
      <c r="I84" s="1" t="s">
        <v>457</v>
      </c>
      <c r="Q84" s="9" t="s">
        <v>904</v>
      </c>
      <c r="R84" s="1" t="s">
        <v>65</v>
      </c>
      <c r="S84" s="1" t="s">
        <v>65</v>
      </c>
      <c r="T84" s="1" t="s">
        <v>65</v>
      </c>
      <c r="U84" s="1" t="s">
        <v>69</v>
      </c>
      <c r="AA84" s="1" t="s">
        <v>71</v>
      </c>
      <c r="AB84" s="1" t="s">
        <v>72</v>
      </c>
      <c r="AC84" s="1" t="s">
        <v>582</v>
      </c>
    </row>
    <row r="85">
      <c r="A85" s="1" t="s">
        <v>905</v>
      </c>
      <c r="B85" s="1" t="s">
        <v>458</v>
      </c>
      <c r="C85" s="1" t="s">
        <v>459</v>
      </c>
      <c r="D85" s="1" t="s">
        <v>460</v>
      </c>
      <c r="E85" s="1" t="s">
        <v>906</v>
      </c>
      <c r="G85" s="1" t="s">
        <v>907</v>
      </c>
      <c r="H85" s="1" t="s">
        <v>32</v>
      </c>
      <c r="Q85" s="9" t="s">
        <v>908</v>
      </c>
      <c r="R85" s="1" t="s">
        <v>65</v>
      </c>
      <c r="S85" s="1" t="s">
        <v>65</v>
      </c>
      <c r="T85" s="1" t="s">
        <v>65</v>
      </c>
      <c r="U85" s="1" t="s">
        <v>69</v>
      </c>
      <c r="AA85" s="1" t="s">
        <v>71</v>
      </c>
      <c r="AB85" s="1" t="s">
        <v>72</v>
      </c>
      <c r="AC85" s="1" t="s">
        <v>461</v>
      </c>
    </row>
    <row r="86">
      <c r="A86" s="1" t="s">
        <v>909</v>
      </c>
      <c r="B86" s="1" t="s">
        <v>462</v>
      </c>
      <c r="C86" s="1" t="s">
        <v>463</v>
      </c>
      <c r="D86" s="1" t="s">
        <v>464</v>
      </c>
      <c r="E86" s="1" t="s">
        <v>910</v>
      </c>
      <c r="G86" s="1" t="s">
        <v>911</v>
      </c>
      <c r="H86" s="1" t="s">
        <v>32</v>
      </c>
      <c r="I86" s="1" t="s">
        <v>466</v>
      </c>
      <c r="Q86" s="9" t="s">
        <v>912</v>
      </c>
      <c r="R86" s="1" t="s">
        <v>65</v>
      </c>
      <c r="S86" s="1" t="s">
        <v>65</v>
      </c>
      <c r="T86" s="1" t="s">
        <v>65</v>
      </c>
      <c r="U86" s="1" t="s">
        <v>69</v>
      </c>
      <c r="AA86" s="1" t="s">
        <v>71</v>
      </c>
      <c r="AB86" s="1" t="s">
        <v>72</v>
      </c>
      <c r="AC86" s="1" t="s">
        <v>99</v>
      </c>
    </row>
    <row r="87">
      <c r="A87" s="1" t="s">
        <v>913</v>
      </c>
      <c r="B87" s="1" t="s">
        <v>470</v>
      </c>
      <c r="C87" s="1" t="s">
        <v>384</v>
      </c>
      <c r="D87" s="1" t="s">
        <v>471</v>
      </c>
      <c r="E87" s="1" t="s">
        <v>914</v>
      </c>
      <c r="G87" s="1" t="s">
        <v>915</v>
      </c>
      <c r="H87" s="1" t="s">
        <v>32</v>
      </c>
      <c r="I87" s="1" t="s">
        <v>472</v>
      </c>
      <c r="Q87" s="9" t="s">
        <v>916</v>
      </c>
      <c r="R87" s="1" t="s">
        <v>65</v>
      </c>
      <c r="S87" s="1" t="s">
        <v>65</v>
      </c>
      <c r="T87" s="1" t="s">
        <v>65</v>
      </c>
      <c r="U87" s="1" t="s">
        <v>69</v>
      </c>
      <c r="AA87" s="1" t="s">
        <v>71</v>
      </c>
      <c r="AB87" s="1" t="s">
        <v>72</v>
      </c>
      <c r="AC87" s="1" t="s">
        <v>99</v>
      </c>
    </row>
    <row r="88">
      <c r="A88" s="1" t="s">
        <v>917</v>
      </c>
      <c r="B88" s="1" t="s">
        <v>473</v>
      </c>
      <c r="C88" s="1" t="s">
        <v>474</v>
      </c>
      <c r="D88" s="1" t="s">
        <v>475</v>
      </c>
      <c r="E88" s="1" t="s">
        <v>918</v>
      </c>
      <c r="G88" s="1" t="s">
        <v>919</v>
      </c>
      <c r="H88" s="1" t="s">
        <v>32</v>
      </c>
      <c r="I88" s="1" t="s">
        <v>476</v>
      </c>
      <c r="Q88" s="9" t="s">
        <v>920</v>
      </c>
      <c r="R88" s="1" t="s">
        <v>65</v>
      </c>
      <c r="S88" s="1" t="s">
        <v>65</v>
      </c>
      <c r="T88" s="1" t="s">
        <v>65</v>
      </c>
      <c r="U88" s="1" t="s">
        <v>69</v>
      </c>
      <c r="AA88" s="1" t="s">
        <v>71</v>
      </c>
      <c r="AB88" s="1" t="s">
        <v>72</v>
      </c>
      <c r="AC88" s="1" t="s">
        <v>99</v>
      </c>
    </row>
    <row r="89">
      <c r="A89" s="1" t="s">
        <v>921</v>
      </c>
      <c r="B89" s="1" t="s">
        <v>477</v>
      </c>
      <c r="C89" s="1" t="s">
        <v>478</v>
      </c>
      <c r="D89" s="1" t="s">
        <v>480</v>
      </c>
      <c r="E89" s="1" t="s">
        <v>922</v>
      </c>
      <c r="G89" s="1" t="s">
        <v>923</v>
      </c>
      <c r="H89" s="1" t="s">
        <v>32</v>
      </c>
      <c r="Q89" s="9" t="s">
        <v>924</v>
      </c>
      <c r="R89" s="1" t="s">
        <v>65</v>
      </c>
      <c r="S89" s="1" t="s">
        <v>65</v>
      </c>
      <c r="T89" s="1" t="s">
        <v>65</v>
      </c>
      <c r="U89" s="1" t="s">
        <v>69</v>
      </c>
      <c r="AA89" s="1" t="s">
        <v>71</v>
      </c>
      <c r="AB89" s="1" t="s">
        <v>72</v>
      </c>
      <c r="AC89" s="1" t="s">
        <v>483</v>
      </c>
    </row>
    <row r="90">
      <c r="A90" s="1" t="s">
        <v>925</v>
      </c>
      <c r="B90" s="1" t="s">
        <v>485</v>
      </c>
      <c r="C90" s="1" t="s">
        <v>486</v>
      </c>
      <c r="D90" s="1" t="s">
        <v>487</v>
      </c>
      <c r="E90" s="1" t="s">
        <v>926</v>
      </c>
      <c r="G90" s="1" t="s">
        <v>927</v>
      </c>
      <c r="H90" s="1" t="s">
        <v>32</v>
      </c>
      <c r="Q90" s="9" t="s">
        <v>928</v>
      </c>
      <c r="R90" s="1" t="s">
        <v>65</v>
      </c>
      <c r="S90" s="1" t="s">
        <v>65</v>
      </c>
      <c r="T90" s="1" t="s">
        <v>65</v>
      </c>
      <c r="U90" s="1" t="s">
        <v>69</v>
      </c>
      <c r="AA90" s="1" t="s">
        <v>71</v>
      </c>
      <c r="AB90" s="1" t="s">
        <v>72</v>
      </c>
      <c r="AC90" s="1" t="s">
        <v>488</v>
      </c>
    </row>
    <row r="91">
      <c r="A91" s="1" t="s">
        <v>929</v>
      </c>
      <c r="B91" s="1" t="s">
        <v>489</v>
      </c>
      <c r="C91" s="1" t="s">
        <v>490</v>
      </c>
      <c r="D91" s="1" t="s">
        <v>491</v>
      </c>
      <c r="E91" s="1" t="s">
        <v>930</v>
      </c>
      <c r="G91" s="1" t="s">
        <v>931</v>
      </c>
      <c r="H91" s="1" t="s">
        <v>32</v>
      </c>
      <c r="Q91" s="9" t="s">
        <v>932</v>
      </c>
      <c r="R91" s="1" t="s">
        <v>65</v>
      </c>
      <c r="S91" s="1" t="s">
        <v>65</v>
      </c>
      <c r="T91" s="1" t="s">
        <v>65</v>
      </c>
      <c r="U91" s="1" t="s">
        <v>69</v>
      </c>
      <c r="AA91" s="1" t="s">
        <v>71</v>
      </c>
      <c r="AB91" s="1" t="s">
        <v>72</v>
      </c>
      <c r="AC91" s="1" t="s">
        <v>933</v>
      </c>
    </row>
    <row r="92">
      <c r="A92" s="1" t="s">
        <v>934</v>
      </c>
      <c r="B92" s="1" t="s">
        <v>492</v>
      </c>
      <c r="C92" s="1" t="s">
        <v>493</v>
      </c>
      <c r="D92" s="1" t="s">
        <v>494</v>
      </c>
      <c r="E92" s="1" t="s">
        <v>935</v>
      </c>
      <c r="G92" s="1" t="s">
        <v>936</v>
      </c>
      <c r="H92" s="1" t="s">
        <v>32</v>
      </c>
      <c r="Q92" s="9" t="s">
        <v>937</v>
      </c>
      <c r="R92" s="1" t="s">
        <v>65</v>
      </c>
      <c r="S92" s="1" t="s">
        <v>65</v>
      </c>
      <c r="T92" s="1" t="s">
        <v>65</v>
      </c>
      <c r="U92" s="1" t="s">
        <v>69</v>
      </c>
      <c r="AA92" s="1" t="s">
        <v>71</v>
      </c>
      <c r="AB92" s="1" t="s">
        <v>72</v>
      </c>
      <c r="AC92" s="1" t="s">
        <v>495</v>
      </c>
    </row>
    <row r="93">
      <c r="A93" s="1" t="s">
        <v>938</v>
      </c>
      <c r="B93" s="1" t="s">
        <v>496</v>
      </c>
      <c r="C93" s="1" t="s">
        <v>497</v>
      </c>
      <c r="D93" s="1" t="s">
        <v>498</v>
      </c>
      <c r="E93" s="1" t="s">
        <v>939</v>
      </c>
      <c r="G93" s="1" t="s">
        <v>940</v>
      </c>
      <c r="H93" s="1" t="s">
        <v>32</v>
      </c>
      <c r="I93" s="1" t="s">
        <v>499</v>
      </c>
      <c r="Q93" s="9" t="s">
        <v>941</v>
      </c>
      <c r="R93" s="1" t="s">
        <v>65</v>
      </c>
      <c r="S93" s="1" t="s">
        <v>65</v>
      </c>
      <c r="T93" s="1" t="s">
        <v>65</v>
      </c>
      <c r="U93" s="1" t="s">
        <v>69</v>
      </c>
      <c r="AA93" s="1" t="s">
        <v>71</v>
      </c>
      <c r="AB93" s="1" t="s">
        <v>72</v>
      </c>
      <c r="AC93" s="1" t="s">
        <v>201</v>
      </c>
    </row>
    <row r="94">
      <c r="A94" s="1" t="s">
        <v>942</v>
      </c>
      <c r="B94" s="1" t="s">
        <v>504</v>
      </c>
      <c r="C94" s="1" t="s">
        <v>505</v>
      </c>
      <c r="D94" s="1" t="s">
        <v>506</v>
      </c>
      <c r="E94" s="1" t="s">
        <v>943</v>
      </c>
      <c r="G94" s="1" t="s">
        <v>944</v>
      </c>
      <c r="H94" s="1" t="s">
        <v>32</v>
      </c>
      <c r="Q94" s="9" t="s">
        <v>945</v>
      </c>
      <c r="R94" s="1" t="s">
        <v>65</v>
      </c>
      <c r="S94" s="1" t="s">
        <v>65</v>
      </c>
      <c r="T94" s="1" t="s">
        <v>65</v>
      </c>
      <c r="U94" s="1" t="s">
        <v>69</v>
      </c>
      <c r="AA94" s="1" t="s">
        <v>71</v>
      </c>
      <c r="AB94" s="1" t="s">
        <v>72</v>
      </c>
      <c r="AC94" s="1" t="s">
        <v>495</v>
      </c>
    </row>
    <row r="95">
      <c r="A95" s="1" t="s">
        <v>946</v>
      </c>
      <c r="B95" s="1" t="s">
        <v>507</v>
      </c>
      <c r="C95" s="1" t="s">
        <v>508</v>
      </c>
      <c r="D95" s="1" t="s">
        <v>509</v>
      </c>
      <c r="E95" s="1" t="s">
        <v>947</v>
      </c>
      <c r="G95" s="1" t="s">
        <v>948</v>
      </c>
      <c r="H95" s="1" t="s">
        <v>32</v>
      </c>
      <c r="Q95" s="9" t="s">
        <v>949</v>
      </c>
      <c r="R95" s="1" t="s">
        <v>65</v>
      </c>
      <c r="S95" s="1" t="s">
        <v>65</v>
      </c>
      <c r="T95" s="1" t="s">
        <v>65</v>
      </c>
      <c r="U95" s="1" t="s">
        <v>69</v>
      </c>
      <c r="AA95" s="1" t="s">
        <v>71</v>
      </c>
      <c r="AB95" s="1" t="s">
        <v>72</v>
      </c>
      <c r="AC95" s="1" t="s">
        <v>435</v>
      </c>
    </row>
    <row r="96">
      <c r="A96" s="1" t="s">
        <v>950</v>
      </c>
      <c r="B96" s="1" t="s">
        <v>510</v>
      </c>
      <c r="C96" s="1" t="s">
        <v>511</v>
      </c>
      <c r="D96" s="1" t="s">
        <v>509</v>
      </c>
      <c r="E96" s="1" t="s">
        <v>951</v>
      </c>
      <c r="G96" s="1" t="s">
        <v>952</v>
      </c>
      <c r="H96" s="1" t="s">
        <v>32</v>
      </c>
      <c r="Q96" s="9" t="s">
        <v>953</v>
      </c>
      <c r="R96" s="1" t="s">
        <v>65</v>
      </c>
      <c r="S96" s="1" t="s">
        <v>65</v>
      </c>
      <c r="T96" s="1" t="s">
        <v>65</v>
      </c>
      <c r="U96" s="1" t="s">
        <v>69</v>
      </c>
      <c r="AA96" s="1" t="s">
        <v>71</v>
      </c>
      <c r="AB96" s="1" t="s">
        <v>72</v>
      </c>
      <c r="AC96" s="1" t="s">
        <v>435</v>
      </c>
    </row>
    <row r="97">
      <c r="A97" s="1" t="s">
        <v>954</v>
      </c>
      <c r="B97" s="1" t="s">
        <v>513</v>
      </c>
      <c r="C97" s="1" t="s">
        <v>514</v>
      </c>
      <c r="D97" s="1" t="s">
        <v>515</v>
      </c>
      <c r="E97" s="1" t="s">
        <v>955</v>
      </c>
      <c r="G97" s="1" t="s">
        <v>956</v>
      </c>
      <c r="H97" s="1" t="s">
        <v>32</v>
      </c>
      <c r="Q97" s="9" t="s">
        <v>957</v>
      </c>
      <c r="R97" s="1" t="s">
        <v>65</v>
      </c>
      <c r="S97" s="1" t="s">
        <v>65</v>
      </c>
      <c r="T97" s="1" t="s">
        <v>65</v>
      </c>
      <c r="U97" s="1" t="s">
        <v>69</v>
      </c>
      <c r="AA97" s="1" t="s">
        <v>71</v>
      </c>
      <c r="AB97" s="1" t="s">
        <v>72</v>
      </c>
      <c r="AC97" s="1" t="s">
        <v>516</v>
      </c>
    </row>
    <row r="98">
      <c r="A98" s="1" t="s">
        <v>958</v>
      </c>
      <c r="B98" s="1" t="s">
        <v>517</v>
      </c>
      <c r="C98" s="1" t="s">
        <v>518</v>
      </c>
      <c r="D98" s="1" t="s">
        <v>519</v>
      </c>
      <c r="E98" s="1" t="s">
        <v>959</v>
      </c>
      <c r="G98" s="1" t="s">
        <v>960</v>
      </c>
      <c r="H98" s="1" t="s">
        <v>32</v>
      </c>
      <c r="I98" s="1" t="s">
        <v>520</v>
      </c>
      <c r="Q98" s="9" t="s">
        <v>961</v>
      </c>
      <c r="R98" s="1" t="s">
        <v>65</v>
      </c>
      <c r="S98" s="1" t="s">
        <v>65</v>
      </c>
      <c r="T98" s="1" t="s">
        <v>65</v>
      </c>
      <c r="U98" s="1" t="s">
        <v>69</v>
      </c>
      <c r="AA98" s="1" t="s">
        <v>71</v>
      </c>
      <c r="AB98" s="1" t="s">
        <v>72</v>
      </c>
      <c r="AC98" s="1" t="s">
        <v>449</v>
      </c>
    </row>
    <row r="99">
      <c r="A99" s="1" t="s">
        <v>962</v>
      </c>
      <c r="B99" s="1" t="s">
        <v>521</v>
      </c>
      <c r="C99" s="1" t="s">
        <v>522</v>
      </c>
      <c r="D99" s="1" t="s">
        <v>523</v>
      </c>
      <c r="E99" s="1" t="s">
        <v>963</v>
      </c>
      <c r="G99" s="1" t="s">
        <v>964</v>
      </c>
      <c r="H99" s="1" t="s">
        <v>32</v>
      </c>
      <c r="Q99" s="9" t="s">
        <v>965</v>
      </c>
      <c r="R99" s="1" t="s">
        <v>65</v>
      </c>
      <c r="S99" s="1" t="s">
        <v>65</v>
      </c>
      <c r="T99" s="1" t="s">
        <v>65</v>
      </c>
      <c r="U99" s="1" t="s">
        <v>69</v>
      </c>
      <c r="AA99" s="1" t="s">
        <v>71</v>
      </c>
      <c r="AB99" s="1" t="s">
        <v>72</v>
      </c>
      <c r="AC99" s="1" t="s">
        <v>966</v>
      </c>
    </row>
    <row r="100">
      <c r="A100" s="1" t="s">
        <v>967</v>
      </c>
      <c r="B100" s="1" t="s">
        <v>526</v>
      </c>
      <c r="C100" s="1" t="s">
        <v>526</v>
      </c>
      <c r="E100" s="1" t="s">
        <v>968</v>
      </c>
      <c r="G100" s="1" t="s">
        <v>969</v>
      </c>
      <c r="H100" s="1" t="s">
        <v>32</v>
      </c>
      <c r="Q100" s="9" t="s">
        <v>970</v>
      </c>
      <c r="R100" s="1" t="s">
        <v>65</v>
      </c>
      <c r="S100" s="1" t="s">
        <v>65</v>
      </c>
      <c r="T100" s="1" t="s">
        <v>65</v>
      </c>
      <c r="U100" s="1" t="s">
        <v>69</v>
      </c>
      <c r="AA100" s="1" t="s">
        <v>71</v>
      </c>
      <c r="AB100" s="1" t="s">
        <v>72</v>
      </c>
      <c r="AC100" s="1" t="s">
        <v>529</v>
      </c>
    </row>
    <row r="101">
      <c r="A101" s="1" t="s">
        <v>971</v>
      </c>
      <c r="B101" s="1" t="s">
        <v>531</v>
      </c>
      <c r="C101" s="1" t="s">
        <v>533</v>
      </c>
      <c r="D101" s="1" t="s">
        <v>534</v>
      </c>
      <c r="E101" s="1" t="s">
        <v>972</v>
      </c>
      <c r="G101" s="1" t="s">
        <v>973</v>
      </c>
      <c r="H101" s="1" t="s">
        <v>32</v>
      </c>
      <c r="Q101" s="9" t="s">
        <v>974</v>
      </c>
      <c r="R101" s="1" t="s">
        <v>65</v>
      </c>
      <c r="S101" s="1" t="s">
        <v>65</v>
      </c>
      <c r="T101" s="1" t="s">
        <v>65</v>
      </c>
      <c r="U101" s="1" t="s">
        <v>69</v>
      </c>
      <c r="AA101" s="1" t="s">
        <v>71</v>
      </c>
      <c r="AB101" s="1" t="s">
        <v>72</v>
      </c>
      <c r="AC101" s="1" t="s">
        <v>529</v>
      </c>
    </row>
    <row r="102">
      <c r="A102" s="1" t="s">
        <v>975</v>
      </c>
      <c r="B102" s="1" t="s">
        <v>536</v>
      </c>
      <c r="C102" s="1" t="s">
        <v>537</v>
      </c>
      <c r="D102" s="1" t="s">
        <v>538</v>
      </c>
      <c r="E102" s="1" t="s">
        <v>976</v>
      </c>
      <c r="G102" s="1" t="s">
        <v>977</v>
      </c>
      <c r="H102" s="1" t="s">
        <v>32</v>
      </c>
      <c r="Q102" s="9" t="s">
        <v>978</v>
      </c>
      <c r="R102" s="1" t="s">
        <v>65</v>
      </c>
      <c r="S102" s="1" t="s">
        <v>65</v>
      </c>
      <c r="T102" s="1" t="s">
        <v>65</v>
      </c>
      <c r="U102" s="1" t="s">
        <v>69</v>
      </c>
      <c r="AA102" s="1" t="s">
        <v>71</v>
      </c>
      <c r="AB102" s="1" t="s">
        <v>72</v>
      </c>
      <c r="AC102" s="1" t="s">
        <v>62</v>
      </c>
    </row>
    <row r="103">
      <c r="A103" s="1" t="s">
        <v>979</v>
      </c>
      <c r="B103" s="1" t="s">
        <v>539</v>
      </c>
      <c r="C103" s="1" t="s">
        <v>540</v>
      </c>
      <c r="D103" s="1" t="s">
        <v>541</v>
      </c>
      <c r="E103" s="1" t="s">
        <v>980</v>
      </c>
      <c r="G103" s="1" t="s">
        <v>981</v>
      </c>
      <c r="H103" s="1" t="s">
        <v>32</v>
      </c>
      <c r="Q103" s="9" t="s">
        <v>982</v>
      </c>
      <c r="R103" s="1" t="s">
        <v>65</v>
      </c>
      <c r="S103" s="1" t="s">
        <v>65</v>
      </c>
      <c r="T103" s="1" t="s">
        <v>65</v>
      </c>
      <c r="U103" s="1" t="s">
        <v>69</v>
      </c>
      <c r="AA103" s="1" t="s">
        <v>71</v>
      </c>
      <c r="AB103" s="1" t="s">
        <v>72</v>
      </c>
      <c r="AC103" s="1" t="s">
        <v>53</v>
      </c>
    </row>
    <row r="104">
      <c r="A104" s="1" t="s">
        <v>983</v>
      </c>
      <c r="B104" s="1" t="s">
        <v>542</v>
      </c>
      <c r="C104" s="1" t="s">
        <v>543</v>
      </c>
      <c r="D104" s="1" t="s">
        <v>544</v>
      </c>
      <c r="E104" s="1" t="s">
        <v>984</v>
      </c>
      <c r="G104" s="1" t="s">
        <v>985</v>
      </c>
      <c r="H104" s="1" t="s">
        <v>32</v>
      </c>
      <c r="Q104" s="9" t="s">
        <v>986</v>
      </c>
      <c r="R104" s="1" t="s">
        <v>65</v>
      </c>
      <c r="S104" s="1" t="s">
        <v>65</v>
      </c>
      <c r="T104" s="1" t="s">
        <v>65</v>
      </c>
      <c r="U104" s="1" t="s">
        <v>69</v>
      </c>
      <c r="AA104" s="1" t="s">
        <v>71</v>
      </c>
      <c r="AB104" s="1" t="s">
        <v>72</v>
      </c>
      <c r="AC104" s="1" t="s">
        <v>966</v>
      </c>
    </row>
    <row r="105">
      <c r="A105" s="1" t="s">
        <v>987</v>
      </c>
      <c r="B105" s="1" t="s">
        <v>547</v>
      </c>
      <c r="C105" s="1" t="s">
        <v>547</v>
      </c>
      <c r="E105" s="1" t="s">
        <v>86</v>
      </c>
      <c r="G105" s="1" t="s">
        <v>988</v>
      </c>
      <c r="H105" s="1" t="s">
        <v>32</v>
      </c>
      <c r="Q105" s="9" t="s">
        <v>989</v>
      </c>
      <c r="R105" s="1" t="s">
        <v>65</v>
      </c>
      <c r="S105" s="1" t="s">
        <v>65</v>
      </c>
      <c r="T105" s="1" t="s">
        <v>65</v>
      </c>
      <c r="U105" s="1" t="s">
        <v>69</v>
      </c>
      <c r="AA105" s="1" t="s">
        <v>71</v>
      </c>
      <c r="AB105" s="1" t="s">
        <v>72</v>
      </c>
      <c r="AC105" s="1" t="s">
        <v>165</v>
      </c>
    </row>
    <row r="106">
      <c r="A106" s="1" t="s">
        <v>990</v>
      </c>
      <c r="B106" s="1" t="s">
        <v>548</v>
      </c>
      <c r="C106" s="1" t="s">
        <v>548</v>
      </c>
      <c r="E106" s="1" t="s">
        <v>991</v>
      </c>
      <c r="G106" s="1" t="s">
        <v>992</v>
      </c>
      <c r="H106" s="1" t="s">
        <v>32</v>
      </c>
      <c r="Q106" s="9" t="s">
        <v>993</v>
      </c>
      <c r="R106" s="1" t="s">
        <v>65</v>
      </c>
      <c r="S106" s="1" t="s">
        <v>65</v>
      </c>
      <c r="T106" s="1" t="s">
        <v>65</v>
      </c>
      <c r="U106" s="1" t="s">
        <v>69</v>
      </c>
      <c r="AA106" s="1" t="s">
        <v>71</v>
      </c>
      <c r="AB106" s="1" t="s">
        <v>72</v>
      </c>
      <c r="AC106" s="1" t="s">
        <v>165</v>
      </c>
    </row>
    <row r="107">
      <c r="A107" s="1" t="s">
        <v>994</v>
      </c>
      <c r="B107" s="1" t="s">
        <v>551</v>
      </c>
      <c r="C107" s="1" t="s">
        <v>268</v>
      </c>
      <c r="D107" s="1" t="s">
        <v>553</v>
      </c>
      <c r="E107" s="1" t="s">
        <v>995</v>
      </c>
      <c r="G107" s="1" t="s">
        <v>996</v>
      </c>
      <c r="H107" s="1" t="s">
        <v>32</v>
      </c>
      <c r="I107" s="1" t="s">
        <v>554</v>
      </c>
      <c r="Q107" s="9" t="s">
        <v>997</v>
      </c>
      <c r="R107" s="1" t="s">
        <v>65</v>
      </c>
      <c r="S107" s="1" t="s">
        <v>65</v>
      </c>
      <c r="T107" s="1" t="s">
        <v>65</v>
      </c>
      <c r="U107" s="1" t="s">
        <v>69</v>
      </c>
      <c r="AA107" s="1" t="s">
        <v>71</v>
      </c>
      <c r="AB107" s="1" t="s">
        <v>72</v>
      </c>
      <c r="AC107" s="1" t="s">
        <v>335</v>
      </c>
    </row>
    <row r="108">
      <c r="A108" s="1" t="s">
        <v>998</v>
      </c>
      <c r="B108" s="1" t="s">
        <v>556</v>
      </c>
      <c r="C108" s="1" t="s">
        <v>557</v>
      </c>
      <c r="D108" s="1" t="s">
        <v>558</v>
      </c>
      <c r="E108" s="1" t="s">
        <v>999</v>
      </c>
      <c r="G108" s="1" t="s">
        <v>1000</v>
      </c>
      <c r="H108" s="1" t="s">
        <v>32</v>
      </c>
      <c r="I108" s="1" t="s">
        <v>560</v>
      </c>
      <c r="Q108" s="9" t="s">
        <v>1001</v>
      </c>
      <c r="R108" s="1" t="s">
        <v>65</v>
      </c>
      <c r="S108" s="1" t="s">
        <v>65</v>
      </c>
      <c r="T108" s="1" t="s">
        <v>65</v>
      </c>
      <c r="U108" s="1" t="s">
        <v>69</v>
      </c>
      <c r="AA108" s="1" t="s">
        <v>71</v>
      </c>
      <c r="AB108" s="1" t="s">
        <v>72</v>
      </c>
      <c r="AC108" s="1" t="s">
        <v>62</v>
      </c>
    </row>
    <row r="109">
      <c r="A109" s="1" t="s">
        <v>1002</v>
      </c>
      <c r="B109" s="1" t="s">
        <v>561</v>
      </c>
      <c r="C109" s="1" t="s">
        <v>561</v>
      </c>
      <c r="E109" s="1" t="s">
        <v>1003</v>
      </c>
      <c r="G109" s="1" t="s">
        <v>1004</v>
      </c>
      <c r="H109" s="1" t="s">
        <v>32</v>
      </c>
      <c r="I109" s="1" t="s">
        <v>562</v>
      </c>
      <c r="Q109" s="9" t="s">
        <v>1005</v>
      </c>
      <c r="R109" s="1" t="s">
        <v>65</v>
      </c>
      <c r="S109" s="1" t="s">
        <v>65</v>
      </c>
      <c r="T109" s="1" t="s">
        <v>65</v>
      </c>
      <c r="U109" s="1" t="s">
        <v>69</v>
      </c>
      <c r="AA109" s="1" t="s">
        <v>71</v>
      </c>
      <c r="AB109" s="1" t="s">
        <v>72</v>
      </c>
      <c r="AC109" s="1" t="s">
        <v>165</v>
      </c>
    </row>
    <row r="110">
      <c r="A110" s="1" t="s">
        <v>1006</v>
      </c>
      <c r="B110" s="1" t="s">
        <v>564</v>
      </c>
      <c r="C110" s="1" t="s">
        <v>565</v>
      </c>
      <c r="E110" s="1" t="s">
        <v>1007</v>
      </c>
      <c r="G110" s="1" t="s">
        <v>1008</v>
      </c>
      <c r="H110" s="1" t="s">
        <v>32</v>
      </c>
      <c r="Q110" s="9" t="s">
        <v>1009</v>
      </c>
      <c r="R110" s="1" t="s">
        <v>65</v>
      </c>
      <c r="S110" s="1" t="s">
        <v>65</v>
      </c>
      <c r="T110" s="1" t="s">
        <v>65</v>
      </c>
      <c r="U110" s="1" t="s">
        <v>69</v>
      </c>
      <c r="AA110" s="1" t="s">
        <v>71</v>
      </c>
      <c r="AB110" s="1" t="s">
        <v>72</v>
      </c>
      <c r="AC110" s="1" t="s">
        <v>1010</v>
      </c>
    </row>
    <row r="111">
      <c r="A111" s="1" t="s">
        <v>1011</v>
      </c>
      <c r="B111" s="1" t="s">
        <v>571</v>
      </c>
      <c r="C111" s="1" t="s">
        <v>572</v>
      </c>
      <c r="D111" s="1" t="s">
        <v>574</v>
      </c>
      <c r="E111" s="1" t="s">
        <v>1012</v>
      </c>
      <c r="G111" s="1" t="s">
        <v>1013</v>
      </c>
      <c r="H111" s="1" t="s">
        <v>32</v>
      </c>
      <c r="Q111" s="9" t="s">
        <v>1014</v>
      </c>
      <c r="R111" s="1" t="s">
        <v>65</v>
      </c>
      <c r="S111" s="1" t="s">
        <v>65</v>
      </c>
      <c r="T111" s="1" t="s">
        <v>65</v>
      </c>
      <c r="U111" s="1" t="s">
        <v>69</v>
      </c>
      <c r="AA111" s="1" t="s">
        <v>71</v>
      </c>
      <c r="AB111" s="1" t="s">
        <v>72</v>
      </c>
      <c r="AC111" s="1" t="s">
        <v>555</v>
      </c>
    </row>
    <row r="112">
      <c r="A112" s="1" t="s">
        <v>1015</v>
      </c>
      <c r="B112" s="1" t="s">
        <v>576</v>
      </c>
      <c r="C112" s="1" t="s">
        <v>578</v>
      </c>
      <c r="D112" s="1" t="s">
        <v>579</v>
      </c>
      <c r="E112" s="1" t="s">
        <v>1016</v>
      </c>
      <c r="G112" s="1" t="s">
        <v>1017</v>
      </c>
      <c r="H112" s="1" t="s">
        <v>32</v>
      </c>
      <c r="Q112" s="9" t="s">
        <v>1018</v>
      </c>
      <c r="R112" s="1" t="s">
        <v>65</v>
      </c>
      <c r="S112" s="1" t="s">
        <v>65</v>
      </c>
      <c r="T112" s="1" t="s">
        <v>65</v>
      </c>
      <c r="U112" s="1" t="s">
        <v>69</v>
      </c>
      <c r="AA112" s="1" t="s">
        <v>71</v>
      </c>
      <c r="AB112" s="1" t="s">
        <v>72</v>
      </c>
      <c r="AC112" s="1" t="s">
        <v>1019</v>
      </c>
    </row>
    <row r="113">
      <c r="A113" s="1" t="s">
        <v>1020</v>
      </c>
      <c r="B113" s="1" t="s">
        <v>581</v>
      </c>
      <c r="C113" s="1" t="s">
        <v>581</v>
      </c>
      <c r="E113" s="1" t="s">
        <v>1021</v>
      </c>
      <c r="G113" s="1" t="s">
        <v>1022</v>
      </c>
      <c r="H113" s="1" t="s">
        <v>32</v>
      </c>
      <c r="Q113" s="9" t="s">
        <v>1023</v>
      </c>
      <c r="R113" s="1" t="s">
        <v>65</v>
      </c>
      <c r="S113" s="1" t="s">
        <v>65</v>
      </c>
      <c r="T113" s="1" t="s">
        <v>65</v>
      </c>
      <c r="U113" s="1" t="s">
        <v>69</v>
      </c>
      <c r="AA113" s="1" t="s">
        <v>71</v>
      </c>
      <c r="AB113" s="1" t="s">
        <v>72</v>
      </c>
      <c r="AC113" s="1" t="s">
        <v>192</v>
      </c>
    </row>
    <row r="114">
      <c r="A114" s="1" t="s">
        <v>1024</v>
      </c>
      <c r="B114" s="1" t="s">
        <v>565</v>
      </c>
      <c r="C114" s="1" t="s">
        <v>565</v>
      </c>
      <c r="E114" s="1" t="s">
        <v>1025</v>
      </c>
      <c r="G114" s="1" t="s">
        <v>1026</v>
      </c>
      <c r="H114" s="1" t="s">
        <v>32</v>
      </c>
      <c r="Q114" s="9" t="s">
        <v>1027</v>
      </c>
      <c r="R114" s="1" t="s">
        <v>65</v>
      </c>
      <c r="S114" s="1" t="s">
        <v>65</v>
      </c>
      <c r="T114" s="1" t="s">
        <v>65</v>
      </c>
      <c r="U114" s="1" t="s">
        <v>69</v>
      </c>
      <c r="AA114" s="1" t="s">
        <v>71</v>
      </c>
      <c r="AB114" s="1" t="s">
        <v>72</v>
      </c>
      <c r="AC114" s="1" t="s">
        <v>1010</v>
      </c>
    </row>
    <row r="115">
      <c r="A115" s="1" t="s">
        <v>1028</v>
      </c>
      <c r="B115" s="1" t="s">
        <v>587</v>
      </c>
      <c r="C115" s="1" t="s">
        <v>588</v>
      </c>
      <c r="D115" s="1" t="s">
        <v>589</v>
      </c>
      <c r="E115" s="1" t="s">
        <v>1029</v>
      </c>
      <c r="G115" s="1" t="s">
        <v>1030</v>
      </c>
      <c r="H115" s="1" t="s">
        <v>32</v>
      </c>
      <c r="I115" s="1" t="s">
        <v>590</v>
      </c>
      <c r="Q115" s="9" t="s">
        <v>1031</v>
      </c>
      <c r="R115" s="1" t="s">
        <v>65</v>
      </c>
      <c r="S115" s="1" t="s">
        <v>65</v>
      </c>
      <c r="T115" s="1" t="s">
        <v>65</v>
      </c>
      <c r="U115" s="1" t="s">
        <v>69</v>
      </c>
      <c r="AA115" s="1" t="s">
        <v>71</v>
      </c>
      <c r="AB115" s="1" t="s">
        <v>72</v>
      </c>
      <c r="AC115" s="1" t="s">
        <v>47</v>
      </c>
    </row>
    <row r="116">
      <c r="A116" s="1" t="s">
        <v>1032</v>
      </c>
      <c r="B116" s="1" t="s">
        <v>591</v>
      </c>
      <c r="C116" s="1" t="s">
        <v>592</v>
      </c>
      <c r="D116" s="1" t="s">
        <v>589</v>
      </c>
      <c r="E116" s="1" t="s">
        <v>1033</v>
      </c>
      <c r="G116" s="1" t="s">
        <v>1034</v>
      </c>
      <c r="H116" s="1" t="s">
        <v>32</v>
      </c>
      <c r="Q116" s="9" t="s">
        <v>1035</v>
      </c>
      <c r="R116" s="1" t="s">
        <v>65</v>
      </c>
      <c r="S116" s="1" t="s">
        <v>65</v>
      </c>
      <c r="T116" s="1" t="s">
        <v>65</v>
      </c>
      <c r="U116" s="1" t="s">
        <v>69</v>
      </c>
      <c r="AA116" s="1" t="s">
        <v>71</v>
      </c>
      <c r="AB116" s="1" t="s">
        <v>72</v>
      </c>
      <c r="AC116" s="1" t="s">
        <v>47</v>
      </c>
    </row>
    <row r="117">
      <c r="A117" s="1" t="s">
        <v>1036</v>
      </c>
      <c r="B117" s="1" t="s">
        <v>593</v>
      </c>
      <c r="C117" s="1" t="s">
        <v>594</v>
      </c>
      <c r="D117" s="1" t="s">
        <v>78</v>
      </c>
      <c r="E117" s="1" t="s">
        <v>1037</v>
      </c>
      <c r="G117" s="1" t="s">
        <v>1038</v>
      </c>
      <c r="H117" s="1" t="s">
        <v>32</v>
      </c>
      <c r="I117" s="1" t="s">
        <v>596</v>
      </c>
      <c r="Q117" s="9" t="s">
        <v>1039</v>
      </c>
      <c r="R117" s="1" t="s">
        <v>65</v>
      </c>
      <c r="S117" s="1" t="s">
        <v>65</v>
      </c>
      <c r="T117" s="1" t="s">
        <v>65</v>
      </c>
      <c r="U117" s="1" t="s">
        <v>69</v>
      </c>
      <c r="AA117" s="1" t="s">
        <v>71</v>
      </c>
      <c r="AB117" s="1" t="s">
        <v>72</v>
      </c>
      <c r="AC117" s="1" t="s">
        <v>165</v>
      </c>
    </row>
    <row r="118">
      <c r="A118" s="1" t="s">
        <v>1040</v>
      </c>
      <c r="B118" s="1" t="s">
        <v>600</v>
      </c>
      <c r="C118" s="1" t="s">
        <v>601</v>
      </c>
      <c r="D118" s="1" t="s">
        <v>602</v>
      </c>
      <c r="E118" s="1" t="s">
        <v>1041</v>
      </c>
      <c r="G118" s="1" t="s">
        <v>1042</v>
      </c>
      <c r="H118" s="1" t="s">
        <v>32</v>
      </c>
      <c r="P118" s="1" t="s">
        <v>603</v>
      </c>
      <c r="Q118" s="9" t="s">
        <v>1043</v>
      </c>
      <c r="R118" s="1" t="s">
        <v>65</v>
      </c>
      <c r="S118" s="1" t="s">
        <v>65</v>
      </c>
      <c r="T118" s="1" t="s">
        <v>65</v>
      </c>
      <c r="U118" s="1" t="s">
        <v>69</v>
      </c>
      <c r="AA118" s="1" t="s">
        <v>71</v>
      </c>
      <c r="AB118" s="1" t="s">
        <v>72</v>
      </c>
      <c r="AC118" s="1" t="s">
        <v>345</v>
      </c>
    </row>
    <row r="119">
      <c r="A119" s="1" t="s">
        <v>1044</v>
      </c>
      <c r="B119" s="1" t="s">
        <v>604</v>
      </c>
      <c r="C119" s="1" t="s">
        <v>605</v>
      </c>
      <c r="D119" s="1" t="s">
        <v>606</v>
      </c>
      <c r="E119" s="1" t="s">
        <v>1045</v>
      </c>
      <c r="G119" s="1" t="s">
        <v>1046</v>
      </c>
      <c r="H119" s="1" t="s">
        <v>32</v>
      </c>
      <c r="P119" s="1" t="s">
        <v>603</v>
      </c>
      <c r="Q119" s="9" t="s">
        <v>1047</v>
      </c>
      <c r="R119" s="1" t="s">
        <v>65</v>
      </c>
      <c r="S119" s="1" t="s">
        <v>65</v>
      </c>
      <c r="T119" s="1" t="s">
        <v>65</v>
      </c>
      <c r="U119" s="1" t="s">
        <v>69</v>
      </c>
      <c r="AA119" s="1" t="s">
        <v>71</v>
      </c>
      <c r="AB119" s="1" t="s">
        <v>72</v>
      </c>
      <c r="AC119" s="1" t="s">
        <v>345</v>
      </c>
    </row>
    <row r="120">
      <c r="A120" s="1" t="s">
        <v>1048</v>
      </c>
      <c r="B120" s="1" t="s">
        <v>607</v>
      </c>
      <c r="C120" s="1" t="s">
        <v>608</v>
      </c>
      <c r="D120" s="1" t="s">
        <v>609</v>
      </c>
      <c r="E120" s="1" t="s">
        <v>1049</v>
      </c>
      <c r="G120" s="1" t="s">
        <v>1050</v>
      </c>
      <c r="H120" s="1" t="s">
        <v>32</v>
      </c>
      <c r="Q120" s="9" t="s">
        <v>1051</v>
      </c>
      <c r="R120" s="1" t="s">
        <v>65</v>
      </c>
      <c r="S120" s="1" t="s">
        <v>65</v>
      </c>
      <c r="T120" s="1" t="s">
        <v>65</v>
      </c>
      <c r="U120" s="1" t="s">
        <v>69</v>
      </c>
      <c r="AA120" s="1" t="s">
        <v>71</v>
      </c>
      <c r="AB120" s="1" t="s">
        <v>72</v>
      </c>
      <c r="AC120" s="1" t="s">
        <v>345</v>
      </c>
    </row>
    <row r="121">
      <c r="A121" s="1" t="s">
        <v>1052</v>
      </c>
      <c r="B121" s="1" t="s">
        <v>605</v>
      </c>
      <c r="C121" s="1" t="s">
        <v>605</v>
      </c>
      <c r="D121" s="1" t="s">
        <v>609</v>
      </c>
      <c r="E121" s="1" t="s">
        <v>603</v>
      </c>
      <c r="G121" s="1" t="s">
        <v>1053</v>
      </c>
      <c r="H121" s="1" t="s">
        <v>32</v>
      </c>
      <c r="Q121" s="9" t="s">
        <v>1054</v>
      </c>
      <c r="R121" s="1" t="s">
        <v>65</v>
      </c>
      <c r="S121" s="1" t="s">
        <v>65</v>
      </c>
      <c r="T121" s="1" t="s">
        <v>65</v>
      </c>
      <c r="U121" s="1" t="s">
        <v>69</v>
      </c>
      <c r="AA121" s="1" t="s">
        <v>71</v>
      </c>
      <c r="AB121" s="1" t="s">
        <v>72</v>
      </c>
      <c r="AC121" s="1" t="s">
        <v>345</v>
      </c>
    </row>
    <row r="122">
      <c r="A122" s="1" t="s">
        <v>1055</v>
      </c>
      <c r="B122" s="1" t="s">
        <v>614</v>
      </c>
      <c r="C122" s="1" t="s">
        <v>615</v>
      </c>
      <c r="D122" s="1" t="s">
        <v>322</v>
      </c>
      <c r="E122" s="1" t="s">
        <v>1056</v>
      </c>
      <c r="G122" s="1" t="s">
        <v>1057</v>
      </c>
      <c r="H122" s="1" t="s">
        <v>32</v>
      </c>
      <c r="Q122" s="9" t="s">
        <v>1058</v>
      </c>
      <c r="R122" s="1" t="s">
        <v>65</v>
      </c>
      <c r="S122" s="1" t="s">
        <v>65</v>
      </c>
      <c r="T122" s="1" t="s">
        <v>65</v>
      </c>
      <c r="U122" s="1" t="s">
        <v>69</v>
      </c>
      <c r="AA122" s="1" t="s">
        <v>71</v>
      </c>
      <c r="AB122" s="1" t="s">
        <v>72</v>
      </c>
      <c r="AC122" s="1" t="s">
        <v>345</v>
      </c>
    </row>
    <row r="123">
      <c r="A123" s="1" t="s">
        <v>1059</v>
      </c>
      <c r="B123" s="1" t="s">
        <v>616</v>
      </c>
      <c r="C123" s="1" t="s">
        <v>617</v>
      </c>
      <c r="D123" s="1" t="s">
        <v>618</v>
      </c>
      <c r="E123" s="1" t="s">
        <v>1060</v>
      </c>
      <c r="G123" s="1" t="s">
        <v>1061</v>
      </c>
      <c r="H123" s="1" t="s">
        <v>32</v>
      </c>
      <c r="I123" s="1" t="s">
        <v>619</v>
      </c>
      <c r="Q123" s="9" t="s">
        <v>1062</v>
      </c>
      <c r="R123" s="1" t="s">
        <v>65</v>
      </c>
      <c r="S123" s="1" t="s">
        <v>65</v>
      </c>
      <c r="T123" s="1" t="s">
        <v>65</v>
      </c>
      <c r="U123" s="1" t="s">
        <v>69</v>
      </c>
      <c r="AA123" s="1" t="s">
        <v>71</v>
      </c>
      <c r="AB123" s="1" t="s">
        <v>72</v>
      </c>
      <c r="AC123" s="1" t="s">
        <v>285</v>
      </c>
    </row>
    <row r="124">
      <c r="A124" s="1" t="s">
        <v>1063</v>
      </c>
      <c r="B124" s="1" t="s">
        <v>622</v>
      </c>
      <c r="C124" s="1" t="s">
        <v>291</v>
      </c>
      <c r="D124" s="1" t="s">
        <v>623</v>
      </c>
      <c r="E124" s="1" t="s">
        <v>1064</v>
      </c>
      <c r="G124" s="1" t="s">
        <v>1065</v>
      </c>
      <c r="H124" s="1" t="s">
        <v>32</v>
      </c>
      <c r="O124" s="1" t="s">
        <v>1066</v>
      </c>
      <c r="Q124" s="9" t="s">
        <v>1067</v>
      </c>
      <c r="R124" s="1" t="s">
        <v>65</v>
      </c>
      <c r="S124" s="1" t="s">
        <v>65</v>
      </c>
      <c r="T124" s="1" t="s">
        <v>65</v>
      </c>
      <c r="U124" s="1" t="s">
        <v>69</v>
      </c>
      <c r="AA124" s="1" t="s">
        <v>71</v>
      </c>
      <c r="AB124" s="1" t="s">
        <v>72</v>
      </c>
      <c r="AC124" s="1" t="s">
        <v>733</v>
      </c>
    </row>
    <row r="125">
      <c r="A125" s="1" t="s">
        <v>1068</v>
      </c>
      <c r="B125" s="1" t="s">
        <v>627</v>
      </c>
      <c r="C125" s="1" t="s">
        <v>303</v>
      </c>
      <c r="D125" s="1" t="s">
        <v>589</v>
      </c>
      <c r="E125" s="1" t="s">
        <v>1069</v>
      </c>
      <c r="G125" s="1" t="s">
        <v>1070</v>
      </c>
      <c r="H125" s="1" t="s">
        <v>32</v>
      </c>
      <c r="I125" s="1" t="s">
        <v>628</v>
      </c>
      <c r="Q125" s="9" t="s">
        <v>1071</v>
      </c>
      <c r="R125" s="1" t="s">
        <v>65</v>
      </c>
      <c r="S125" s="1" t="s">
        <v>65</v>
      </c>
      <c r="T125" s="1" t="s">
        <v>65</v>
      </c>
      <c r="U125" s="1" t="s">
        <v>69</v>
      </c>
      <c r="AA125" s="1" t="s">
        <v>71</v>
      </c>
      <c r="AB125" s="1" t="s">
        <v>72</v>
      </c>
      <c r="AC125" s="1" t="s">
        <v>47</v>
      </c>
    </row>
    <row r="126">
      <c r="A126" s="1" t="s">
        <v>1072</v>
      </c>
      <c r="B126" s="1" t="s">
        <v>629</v>
      </c>
      <c r="C126" s="1" t="s">
        <v>630</v>
      </c>
      <c r="D126" s="1" t="s">
        <v>179</v>
      </c>
      <c r="E126" s="1" t="s">
        <v>1073</v>
      </c>
      <c r="G126" s="1" t="s">
        <v>1074</v>
      </c>
      <c r="H126" s="1" t="s">
        <v>32</v>
      </c>
      <c r="Q126" s="9" t="s">
        <v>1075</v>
      </c>
      <c r="R126" s="1" t="s">
        <v>65</v>
      </c>
      <c r="S126" s="1" t="s">
        <v>65</v>
      </c>
      <c r="T126" s="1" t="s">
        <v>65</v>
      </c>
      <c r="U126" s="1" t="s">
        <v>69</v>
      </c>
      <c r="AA126" s="1" t="s">
        <v>71</v>
      </c>
      <c r="AB126" s="1" t="s">
        <v>72</v>
      </c>
      <c r="AC126" s="1" t="s">
        <v>525</v>
      </c>
    </row>
    <row r="127">
      <c r="A127" s="1" t="s">
        <v>1076</v>
      </c>
      <c r="B127" s="1" t="s">
        <v>631</v>
      </c>
      <c r="C127" s="1" t="s">
        <v>633</v>
      </c>
      <c r="D127" s="1" t="s">
        <v>634</v>
      </c>
      <c r="E127" s="1" t="s">
        <v>1077</v>
      </c>
      <c r="G127" s="1" t="s">
        <v>1078</v>
      </c>
      <c r="H127" s="1" t="s">
        <v>32</v>
      </c>
      <c r="Q127" s="9" t="s">
        <v>1079</v>
      </c>
      <c r="R127" s="1" t="s">
        <v>65</v>
      </c>
      <c r="S127" s="1" t="s">
        <v>65</v>
      </c>
      <c r="T127" s="1" t="s">
        <v>65</v>
      </c>
      <c r="U127" s="1" t="s">
        <v>69</v>
      </c>
      <c r="AA127" s="1" t="s">
        <v>71</v>
      </c>
      <c r="AB127" s="1" t="s">
        <v>72</v>
      </c>
      <c r="AC127" s="1" t="s">
        <v>637</v>
      </c>
    </row>
    <row r="128">
      <c r="A128" s="1" t="s">
        <v>1080</v>
      </c>
      <c r="B128" s="1" t="s">
        <v>638</v>
      </c>
      <c r="C128" s="1" t="s">
        <v>639</v>
      </c>
      <c r="D128" s="1" t="s">
        <v>640</v>
      </c>
      <c r="E128" s="1" t="s">
        <v>1081</v>
      </c>
      <c r="G128" s="1" t="s">
        <v>1082</v>
      </c>
      <c r="H128" s="1" t="s">
        <v>32</v>
      </c>
      <c r="Q128" s="9" t="s">
        <v>1083</v>
      </c>
      <c r="R128" s="1" t="s">
        <v>65</v>
      </c>
      <c r="S128" s="1" t="s">
        <v>65</v>
      </c>
      <c r="T128" s="1" t="s">
        <v>65</v>
      </c>
      <c r="U128" s="1" t="s">
        <v>69</v>
      </c>
      <c r="AA128" s="1" t="s">
        <v>71</v>
      </c>
      <c r="AB128" s="1" t="s">
        <v>72</v>
      </c>
      <c r="AC128" s="1" t="s">
        <v>1084</v>
      </c>
    </row>
    <row r="129">
      <c r="A129" s="1" t="s">
        <v>1085</v>
      </c>
      <c r="B129" s="1" t="s">
        <v>641</v>
      </c>
      <c r="C129" s="1" t="s">
        <v>642</v>
      </c>
      <c r="D129" s="1" t="s">
        <v>643</v>
      </c>
      <c r="E129" s="1" t="s">
        <v>1086</v>
      </c>
      <c r="G129" s="1" t="s">
        <v>1087</v>
      </c>
      <c r="H129" s="1" t="s">
        <v>32</v>
      </c>
      <c r="P129" s="1" t="s">
        <v>644</v>
      </c>
      <c r="Q129" s="9" t="s">
        <v>1088</v>
      </c>
      <c r="R129" s="1" t="s">
        <v>65</v>
      </c>
      <c r="S129" s="1" t="s">
        <v>65</v>
      </c>
      <c r="T129" s="1" t="s">
        <v>65</v>
      </c>
      <c r="U129" s="1" t="s">
        <v>69</v>
      </c>
      <c r="AA129" s="1" t="s">
        <v>71</v>
      </c>
      <c r="AB129" s="1" t="s">
        <v>72</v>
      </c>
      <c r="AC129" s="1" t="s">
        <v>1089</v>
      </c>
    </row>
    <row r="130">
      <c r="A130" s="1" t="s">
        <v>1090</v>
      </c>
      <c r="B130" s="1" t="s">
        <v>646</v>
      </c>
      <c r="C130" s="1" t="s">
        <v>647</v>
      </c>
      <c r="D130" s="1" t="s">
        <v>648</v>
      </c>
      <c r="E130" s="1" t="s">
        <v>1091</v>
      </c>
      <c r="G130" s="1" t="s">
        <v>1092</v>
      </c>
      <c r="H130" s="1" t="s">
        <v>32</v>
      </c>
      <c r="I130" s="1" t="s">
        <v>651</v>
      </c>
      <c r="Q130" s="9" t="s">
        <v>1093</v>
      </c>
      <c r="R130" s="1" t="s">
        <v>65</v>
      </c>
      <c r="S130" s="1" t="s">
        <v>65</v>
      </c>
      <c r="T130" s="1" t="s">
        <v>65</v>
      </c>
      <c r="U130" s="1" t="s">
        <v>69</v>
      </c>
      <c r="AA130" s="1" t="s">
        <v>71</v>
      </c>
      <c r="AB130" s="1" t="s">
        <v>72</v>
      </c>
      <c r="AC130" s="1" t="s">
        <v>201</v>
      </c>
    </row>
    <row r="131">
      <c r="A131" s="1" t="s">
        <v>1094</v>
      </c>
      <c r="B131" s="1" t="s">
        <v>653</v>
      </c>
      <c r="C131" s="1" t="s">
        <v>654</v>
      </c>
      <c r="D131" s="1" t="s">
        <v>44</v>
      </c>
      <c r="E131" s="1" t="s">
        <v>1095</v>
      </c>
      <c r="G131" s="1" t="s">
        <v>1096</v>
      </c>
      <c r="H131" s="1" t="s">
        <v>32</v>
      </c>
      <c r="I131" s="1" t="s">
        <v>655</v>
      </c>
      <c r="Q131" s="9" t="s">
        <v>1097</v>
      </c>
      <c r="R131" s="1" t="s">
        <v>65</v>
      </c>
      <c r="S131" s="1" t="s">
        <v>65</v>
      </c>
      <c r="T131" s="1" t="s">
        <v>65</v>
      </c>
      <c r="U131" s="1" t="s">
        <v>69</v>
      </c>
      <c r="AA131" s="1" t="s">
        <v>71</v>
      </c>
      <c r="AB131" s="1" t="s">
        <v>72</v>
      </c>
      <c r="AC131" s="1" t="s">
        <v>201</v>
      </c>
    </row>
    <row r="132">
      <c r="A132" s="1" t="s">
        <v>1098</v>
      </c>
      <c r="B132" s="1" t="s">
        <v>656</v>
      </c>
      <c r="C132" s="1" t="s">
        <v>657</v>
      </c>
      <c r="D132" s="1" t="s">
        <v>658</v>
      </c>
      <c r="E132" s="1" t="s">
        <v>1099</v>
      </c>
      <c r="G132" s="1" t="s">
        <v>1100</v>
      </c>
      <c r="H132" s="1" t="s">
        <v>32</v>
      </c>
      <c r="Q132" s="9" t="s">
        <v>1101</v>
      </c>
      <c r="R132" s="1" t="s">
        <v>65</v>
      </c>
      <c r="S132" s="1" t="s">
        <v>65</v>
      </c>
      <c r="T132" s="1" t="s">
        <v>65</v>
      </c>
      <c r="U132" s="1" t="s">
        <v>69</v>
      </c>
      <c r="AA132" s="1" t="s">
        <v>71</v>
      </c>
      <c r="AB132" s="1" t="s">
        <v>72</v>
      </c>
      <c r="AC132" s="1" t="s">
        <v>183</v>
      </c>
    </row>
    <row r="133">
      <c r="A133" s="1" t="s">
        <v>1102</v>
      </c>
      <c r="B133" s="1" t="s">
        <v>660</v>
      </c>
      <c r="C133" s="1" t="s">
        <v>661</v>
      </c>
      <c r="D133" s="1" t="s">
        <v>662</v>
      </c>
      <c r="E133" s="1" t="s">
        <v>1103</v>
      </c>
      <c r="G133" s="1" t="s">
        <v>1104</v>
      </c>
      <c r="H133" s="1" t="s">
        <v>32</v>
      </c>
      <c r="Q133" s="9" t="s">
        <v>1105</v>
      </c>
      <c r="R133" s="1" t="s">
        <v>65</v>
      </c>
      <c r="S133" s="1" t="s">
        <v>65</v>
      </c>
      <c r="T133" s="1" t="s">
        <v>65</v>
      </c>
      <c r="U133" s="1" t="s">
        <v>69</v>
      </c>
      <c r="AA133" s="1" t="s">
        <v>71</v>
      </c>
      <c r="AB133" s="1" t="s">
        <v>72</v>
      </c>
      <c r="AC133" s="1" t="s">
        <v>525</v>
      </c>
    </row>
    <row r="134">
      <c r="A134" s="1" t="s">
        <v>1106</v>
      </c>
      <c r="B134" s="1" t="s">
        <v>666</v>
      </c>
      <c r="C134" s="1" t="s">
        <v>667</v>
      </c>
      <c r="D134" s="1" t="s">
        <v>668</v>
      </c>
      <c r="E134" s="1" t="s">
        <v>1107</v>
      </c>
      <c r="G134" s="1" t="s">
        <v>1108</v>
      </c>
      <c r="H134" s="1" t="s">
        <v>32</v>
      </c>
      <c r="I134" s="1" t="s">
        <v>669</v>
      </c>
      <c r="Q134" s="9" t="s">
        <v>1109</v>
      </c>
      <c r="R134" s="1" t="s">
        <v>65</v>
      </c>
      <c r="S134" s="1" t="s">
        <v>65</v>
      </c>
      <c r="T134" s="1" t="s">
        <v>65</v>
      </c>
      <c r="U134" s="1" t="s">
        <v>69</v>
      </c>
      <c r="AA134" s="1" t="s">
        <v>71</v>
      </c>
      <c r="AB134" s="1" t="s">
        <v>72</v>
      </c>
      <c r="AC134" s="1" t="s">
        <v>73</v>
      </c>
    </row>
    <row r="135">
      <c r="A135" s="1" t="s">
        <v>1110</v>
      </c>
      <c r="B135" s="1" t="s">
        <v>670</v>
      </c>
      <c r="C135" s="1" t="s">
        <v>671</v>
      </c>
      <c r="D135" s="1" t="s">
        <v>672</v>
      </c>
      <c r="E135" s="1" t="s">
        <v>1111</v>
      </c>
      <c r="G135" s="1" t="s">
        <v>1112</v>
      </c>
      <c r="H135" s="1" t="s">
        <v>32</v>
      </c>
      <c r="I135" s="1" t="s">
        <v>673</v>
      </c>
      <c r="Q135" s="9" t="s">
        <v>1113</v>
      </c>
      <c r="R135" s="1" t="s">
        <v>65</v>
      </c>
      <c r="S135" s="1" t="s">
        <v>65</v>
      </c>
      <c r="T135" s="1" t="s">
        <v>65</v>
      </c>
      <c r="U135" s="1" t="s">
        <v>69</v>
      </c>
      <c r="AA135" s="1" t="s">
        <v>71</v>
      </c>
      <c r="AB135" s="1" t="s">
        <v>72</v>
      </c>
      <c r="AC135" s="1" t="s">
        <v>674</v>
      </c>
    </row>
    <row r="136">
      <c r="A136" s="1" t="s">
        <v>1114</v>
      </c>
      <c r="B136" s="1" t="s">
        <v>675</v>
      </c>
      <c r="C136" s="1" t="s">
        <v>676</v>
      </c>
      <c r="D136" s="1" t="s">
        <v>678</v>
      </c>
      <c r="E136" s="1" t="s">
        <v>644</v>
      </c>
      <c r="G136" s="1" t="s">
        <v>1115</v>
      </c>
      <c r="H136" s="1" t="s">
        <v>32</v>
      </c>
      <c r="Q136" s="9" t="s">
        <v>1116</v>
      </c>
      <c r="R136" s="1" t="s">
        <v>65</v>
      </c>
      <c r="S136" s="1" t="s">
        <v>65</v>
      </c>
      <c r="T136" s="1" t="s">
        <v>65</v>
      </c>
      <c r="U136" s="1" t="s">
        <v>69</v>
      </c>
      <c r="AA136" s="1" t="s">
        <v>71</v>
      </c>
      <c r="AB136" s="1" t="s">
        <v>72</v>
      </c>
      <c r="AC136" s="1" t="s">
        <v>1089</v>
      </c>
    </row>
    <row r="137">
      <c r="A137" s="1" t="s">
        <v>1117</v>
      </c>
      <c r="B137" s="1" t="s">
        <v>681</v>
      </c>
      <c r="C137" s="1" t="s">
        <v>683</v>
      </c>
      <c r="D137" s="1" t="s">
        <v>684</v>
      </c>
      <c r="E137" s="1" t="s">
        <v>1118</v>
      </c>
      <c r="G137" s="1" t="s">
        <v>1119</v>
      </c>
      <c r="H137" s="1" t="s">
        <v>32</v>
      </c>
      <c r="Q137" s="9" t="s">
        <v>1120</v>
      </c>
      <c r="R137" s="1" t="s">
        <v>65</v>
      </c>
      <c r="S137" s="1" t="s">
        <v>65</v>
      </c>
      <c r="T137" s="1" t="s">
        <v>65</v>
      </c>
      <c r="U137" s="1" t="s">
        <v>69</v>
      </c>
      <c r="AA137" s="1" t="s">
        <v>71</v>
      </c>
      <c r="AB137" s="1" t="s">
        <v>72</v>
      </c>
      <c r="AC137" s="1" t="s">
        <v>62</v>
      </c>
    </row>
    <row r="138">
      <c r="A138" s="1" t="s">
        <v>1121</v>
      </c>
      <c r="B138" s="1" t="s">
        <v>685</v>
      </c>
      <c r="C138" s="1" t="s">
        <v>686</v>
      </c>
      <c r="D138" s="1" t="s">
        <v>687</v>
      </c>
      <c r="E138" s="1" t="s">
        <v>1122</v>
      </c>
      <c r="G138" s="1" t="s">
        <v>1123</v>
      </c>
      <c r="H138" s="1" t="s">
        <v>32</v>
      </c>
      <c r="Q138" s="9" t="s">
        <v>1124</v>
      </c>
      <c r="R138" s="1" t="s">
        <v>65</v>
      </c>
      <c r="S138" s="1" t="s">
        <v>65</v>
      </c>
      <c r="T138" s="1" t="s">
        <v>65</v>
      </c>
      <c r="U138" s="1" t="s">
        <v>69</v>
      </c>
      <c r="AA138" s="1" t="s">
        <v>71</v>
      </c>
      <c r="AB138" s="1" t="s">
        <v>72</v>
      </c>
      <c r="AC138" s="1" t="s">
        <v>165</v>
      </c>
    </row>
    <row r="139">
      <c r="A139" s="1" t="s">
        <v>1125</v>
      </c>
      <c r="B139" s="1" t="s">
        <v>688</v>
      </c>
      <c r="C139" s="1" t="s">
        <v>689</v>
      </c>
      <c r="D139" s="1" t="s">
        <v>690</v>
      </c>
      <c r="E139" s="1" t="s">
        <v>1126</v>
      </c>
      <c r="G139" s="1" t="s">
        <v>1127</v>
      </c>
      <c r="H139" s="1" t="s">
        <v>32</v>
      </c>
      <c r="I139" s="1" t="s">
        <v>691</v>
      </c>
      <c r="Q139" s="9" t="s">
        <v>1128</v>
      </c>
      <c r="R139" s="1" t="s">
        <v>65</v>
      </c>
      <c r="S139" s="1" t="s">
        <v>65</v>
      </c>
      <c r="T139" s="1" t="s">
        <v>65</v>
      </c>
      <c r="U139" s="1" t="s">
        <v>69</v>
      </c>
      <c r="AA139" s="1" t="s">
        <v>71</v>
      </c>
      <c r="AB139" s="1" t="s">
        <v>72</v>
      </c>
      <c r="AC139" s="1" t="s">
        <v>692</v>
      </c>
    </row>
    <row r="140">
      <c r="A140" s="1" t="s">
        <v>1129</v>
      </c>
      <c r="B140" s="1" t="s">
        <v>693</v>
      </c>
      <c r="C140" s="1" t="s">
        <v>694</v>
      </c>
      <c r="D140" s="1" t="s">
        <v>695</v>
      </c>
      <c r="E140" s="1" t="s">
        <v>1130</v>
      </c>
      <c r="G140" s="1" t="s">
        <v>1131</v>
      </c>
      <c r="H140" s="1" t="s">
        <v>32</v>
      </c>
      <c r="I140" s="1" t="s">
        <v>696</v>
      </c>
      <c r="Q140" s="9" t="s">
        <v>1132</v>
      </c>
      <c r="R140" s="1" t="s">
        <v>65</v>
      </c>
      <c r="S140" s="1" t="s">
        <v>65</v>
      </c>
      <c r="T140" s="1" t="s">
        <v>65</v>
      </c>
      <c r="U140" s="1" t="s">
        <v>69</v>
      </c>
      <c r="AA140" s="1" t="s">
        <v>71</v>
      </c>
      <c r="AB140" s="1" t="s">
        <v>72</v>
      </c>
      <c r="AC140" s="1" t="s">
        <v>443</v>
      </c>
    </row>
    <row r="141">
      <c r="A141" s="1" t="s">
        <v>1133</v>
      </c>
      <c r="B141" s="1" t="s">
        <v>700</v>
      </c>
      <c r="C141" s="1" t="s">
        <v>702</v>
      </c>
      <c r="D141" s="1" t="s">
        <v>703</v>
      </c>
      <c r="E141" s="1" t="s">
        <v>1134</v>
      </c>
      <c r="G141" s="1" t="s">
        <v>1135</v>
      </c>
      <c r="H141" s="1" t="s">
        <v>32</v>
      </c>
      <c r="I141" s="1" t="s">
        <v>704</v>
      </c>
      <c r="Q141" s="9" t="s">
        <v>1136</v>
      </c>
      <c r="R141" s="1" t="s">
        <v>65</v>
      </c>
      <c r="S141" s="1" t="s">
        <v>65</v>
      </c>
      <c r="T141" s="1" t="s">
        <v>65</v>
      </c>
      <c r="U141" s="1" t="s">
        <v>69</v>
      </c>
      <c r="AA141" s="1" t="s">
        <v>71</v>
      </c>
      <c r="AB141" s="1" t="s">
        <v>72</v>
      </c>
      <c r="AC141" s="1" t="s">
        <v>73</v>
      </c>
    </row>
    <row r="142">
      <c r="A142" s="1" t="s">
        <v>1137</v>
      </c>
      <c r="B142" s="1" t="s">
        <v>705</v>
      </c>
      <c r="C142" s="1" t="s">
        <v>706</v>
      </c>
      <c r="D142" s="1" t="s">
        <v>707</v>
      </c>
      <c r="E142" s="1" t="s">
        <v>1138</v>
      </c>
      <c r="G142" s="1" t="s">
        <v>1139</v>
      </c>
      <c r="H142" s="1" t="s">
        <v>32</v>
      </c>
      <c r="Q142" s="9" t="s">
        <v>1140</v>
      </c>
      <c r="R142" s="1" t="s">
        <v>65</v>
      </c>
      <c r="S142" s="1" t="s">
        <v>65</v>
      </c>
      <c r="T142" s="1" t="s">
        <v>65</v>
      </c>
      <c r="U142" s="1" t="s">
        <v>69</v>
      </c>
      <c r="AA142" s="1" t="s">
        <v>71</v>
      </c>
      <c r="AB142" s="1" t="s">
        <v>72</v>
      </c>
      <c r="AC142" s="1" t="s">
        <v>115</v>
      </c>
    </row>
    <row r="143">
      <c r="A143" s="1" t="s">
        <v>1141</v>
      </c>
      <c r="B143" s="1" t="s">
        <v>708</v>
      </c>
      <c r="C143" s="1" t="s">
        <v>709</v>
      </c>
      <c r="D143" s="1" t="s">
        <v>643</v>
      </c>
      <c r="E143" s="1" t="s">
        <v>1142</v>
      </c>
      <c r="G143" s="1" t="s">
        <v>1143</v>
      </c>
      <c r="H143" s="1" t="s">
        <v>32</v>
      </c>
      <c r="Q143" s="9" t="s">
        <v>1144</v>
      </c>
      <c r="R143" s="1" t="s">
        <v>65</v>
      </c>
      <c r="S143" s="1" t="s">
        <v>65</v>
      </c>
      <c r="T143" s="1" t="s">
        <v>65</v>
      </c>
      <c r="U143" s="1" t="s">
        <v>69</v>
      </c>
      <c r="AA143" s="1" t="s">
        <v>71</v>
      </c>
      <c r="AB143" s="1" t="s">
        <v>72</v>
      </c>
      <c r="AC143" s="1" t="s">
        <v>525</v>
      </c>
    </row>
    <row r="144">
      <c r="A144" s="1" t="s">
        <v>1145</v>
      </c>
      <c r="B144" s="1" t="s">
        <v>712</v>
      </c>
      <c r="C144" s="1" t="s">
        <v>714</v>
      </c>
      <c r="D144" s="1" t="s">
        <v>715</v>
      </c>
      <c r="E144" s="1" t="s">
        <v>1146</v>
      </c>
      <c r="G144" s="1" t="s">
        <v>1147</v>
      </c>
      <c r="H144" s="1" t="s">
        <v>32</v>
      </c>
      <c r="I144" s="1" t="s">
        <v>716</v>
      </c>
      <c r="Q144" s="9" t="s">
        <v>1148</v>
      </c>
      <c r="R144" s="1" t="s">
        <v>65</v>
      </c>
      <c r="S144" s="1" t="s">
        <v>65</v>
      </c>
      <c r="T144" s="1" t="s">
        <v>65</v>
      </c>
      <c r="U144" s="1" t="s">
        <v>69</v>
      </c>
      <c r="AA144" s="1" t="s">
        <v>71</v>
      </c>
      <c r="AB144" s="1" t="s">
        <v>72</v>
      </c>
      <c r="AC144" s="1" t="s">
        <v>718</v>
      </c>
    </row>
    <row r="145">
      <c r="A145" s="1" t="s">
        <v>1149</v>
      </c>
      <c r="B145" s="1" t="s">
        <v>719</v>
      </c>
      <c r="C145" s="1" t="s">
        <v>720</v>
      </c>
      <c r="D145" s="1" t="s">
        <v>640</v>
      </c>
      <c r="E145" s="1" t="s">
        <v>1150</v>
      </c>
      <c r="G145" s="1" t="s">
        <v>1151</v>
      </c>
      <c r="H145" s="1" t="s">
        <v>32</v>
      </c>
      <c r="I145" s="1" t="s">
        <v>721</v>
      </c>
      <c r="Q145" s="9" t="s">
        <v>1152</v>
      </c>
      <c r="R145" s="1" t="s">
        <v>65</v>
      </c>
      <c r="S145" s="1" t="s">
        <v>65</v>
      </c>
      <c r="T145" s="1" t="s">
        <v>65</v>
      </c>
      <c r="U145" s="1" t="s">
        <v>69</v>
      </c>
      <c r="AA145" s="1" t="s">
        <v>71</v>
      </c>
      <c r="AB145" s="1" t="s">
        <v>72</v>
      </c>
      <c r="AC145" s="1" t="s">
        <v>201</v>
      </c>
    </row>
    <row r="146">
      <c r="A146" s="1" t="s">
        <v>1153</v>
      </c>
      <c r="B146" s="1" t="s">
        <v>722</v>
      </c>
      <c r="C146" s="1" t="s">
        <v>723</v>
      </c>
      <c r="D146" s="1" t="s">
        <v>724</v>
      </c>
      <c r="E146" s="1" t="s">
        <v>1154</v>
      </c>
      <c r="G146" s="1" t="s">
        <v>1155</v>
      </c>
      <c r="H146" s="1" t="s">
        <v>32</v>
      </c>
      <c r="I146" s="1" t="s">
        <v>725</v>
      </c>
      <c r="Q146" s="9" t="s">
        <v>1156</v>
      </c>
      <c r="R146" s="1" t="s">
        <v>65</v>
      </c>
      <c r="S146" s="1" t="s">
        <v>65</v>
      </c>
      <c r="T146" s="1" t="s">
        <v>65</v>
      </c>
      <c r="U146" s="1" t="s">
        <v>69</v>
      </c>
      <c r="AA146" s="1" t="s">
        <v>71</v>
      </c>
      <c r="AB146" s="1" t="s">
        <v>72</v>
      </c>
      <c r="AC146" s="1" t="s">
        <v>183</v>
      </c>
    </row>
    <row r="147">
      <c r="A147" s="1" t="s">
        <v>1157</v>
      </c>
      <c r="B147" s="1" t="s">
        <v>727</v>
      </c>
      <c r="C147" s="1" t="s">
        <v>728</v>
      </c>
      <c r="D147" s="1" t="s">
        <v>78</v>
      </c>
      <c r="E147" s="1" t="s">
        <v>1158</v>
      </c>
      <c r="G147" s="1" t="s">
        <v>1159</v>
      </c>
      <c r="H147" s="1" t="s">
        <v>32</v>
      </c>
      <c r="I147" s="1" t="s">
        <v>731</v>
      </c>
      <c r="Q147" s="9" t="s">
        <v>1160</v>
      </c>
      <c r="R147" s="1" t="s">
        <v>65</v>
      </c>
      <c r="S147" s="1" t="s">
        <v>65</v>
      </c>
      <c r="T147" s="1" t="s">
        <v>65</v>
      </c>
      <c r="U147" s="1" t="s">
        <v>69</v>
      </c>
      <c r="AA147" s="1" t="s">
        <v>71</v>
      </c>
      <c r="AB147" s="1" t="s">
        <v>72</v>
      </c>
      <c r="AC147" s="1" t="s">
        <v>165</v>
      </c>
    </row>
    <row r="148">
      <c r="A148" s="1" t="s">
        <v>1161</v>
      </c>
      <c r="B148" s="1" t="s">
        <v>733</v>
      </c>
      <c r="C148" s="1" t="s">
        <v>734</v>
      </c>
      <c r="E148" s="1" t="s">
        <v>1162</v>
      </c>
      <c r="G148" s="1" t="s">
        <v>1163</v>
      </c>
      <c r="H148" s="1" t="s">
        <v>735</v>
      </c>
      <c r="Q148" s="9" t="s">
        <v>1164</v>
      </c>
    </row>
    <row r="149">
      <c r="A149" s="1" t="s">
        <v>1165</v>
      </c>
      <c r="B149" s="1" t="s">
        <v>736</v>
      </c>
      <c r="C149" s="1" t="s">
        <v>737</v>
      </c>
      <c r="D149" s="1" t="s">
        <v>738</v>
      </c>
      <c r="E149" s="1" t="s">
        <v>1166</v>
      </c>
      <c r="G149" s="1" t="s">
        <v>1167</v>
      </c>
      <c r="H149" s="1" t="s">
        <v>735</v>
      </c>
      <c r="Q149" s="9" t="s">
        <v>1168</v>
      </c>
      <c r="AC149" s="1" t="s">
        <v>53</v>
      </c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  <hyperlink r:id="rId122" ref="Q123"/>
    <hyperlink r:id="rId123" ref="Q124"/>
    <hyperlink r:id="rId124" ref="Q125"/>
    <hyperlink r:id="rId125" ref="Q126"/>
    <hyperlink r:id="rId126" ref="Q127"/>
    <hyperlink r:id="rId127" ref="Q128"/>
    <hyperlink r:id="rId128" ref="Q129"/>
    <hyperlink r:id="rId129" ref="Q130"/>
    <hyperlink r:id="rId130" ref="Q131"/>
    <hyperlink r:id="rId131" ref="Q132"/>
    <hyperlink r:id="rId132" ref="Q133"/>
    <hyperlink r:id="rId133" ref="Q134"/>
    <hyperlink r:id="rId134" ref="Q135"/>
    <hyperlink r:id="rId135" ref="Q136"/>
    <hyperlink r:id="rId136" ref="Q137"/>
    <hyperlink r:id="rId137" ref="Q138"/>
    <hyperlink r:id="rId138" ref="Q139"/>
    <hyperlink r:id="rId139" ref="Q140"/>
    <hyperlink r:id="rId140" ref="Q141"/>
    <hyperlink r:id="rId141" ref="Q142"/>
    <hyperlink r:id="rId142" ref="Q143"/>
    <hyperlink r:id="rId143" ref="Q144"/>
    <hyperlink r:id="rId144" ref="Q145"/>
    <hyperlink r:id="rId145" ref="Q146"/>
    <hyperlink r:id="rId146" ref="Q147"/>
    <hyperlink r:id="rId147" ref="Q148"/>
    <hyperlink r:id="rId148" ref="Q149"/>
  </hyperlinks>
  <drawing r:id="rId149"/>
</worksheet>
</file>